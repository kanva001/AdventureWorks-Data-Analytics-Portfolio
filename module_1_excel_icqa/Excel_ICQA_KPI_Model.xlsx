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va\jupyternotebook_wokspace\AdventureWorks-Data-Analytics-Portfolio\module_1_excel_icqa\"/>
    </mc:Choice>
  </mc:AlternateContent>
  <xr:revisionPtr revIDLastSave="0" documentId="13_ncr:1_{44C1EFC1-2F5F-48E8-A58A-F5307819D70F}" xr6:coauthVersionLast="47" xr6:coauthVersionMax="47" xr10:uidLastSave="{00000000-0000-0000-0000-000000000000}"/>
  <bookViews>
    <workbookView xWindow="28680" yWindow="-4245" windowWidth="38640" windowHeight="21120" tabRatio="898" firstSheet="3" activeTab="10" xr2:uid="{F1FBC082-B17A-4F47-898D-9D6307ECF787}"/>
  </bookViews>
  <sheets>
    <sheet name="00_Readme" sheetId="1" r:id="rId1"/>
    <sheet name="01_Source_Inventory" sheetId="2" r:id="rId2"/>
    <sheet name="02_Source_Product" sheetId="3" r:id="rId3"/>
    <sheet name="03_Source_Location" sheetId="4" r:id="rId4"/>
    <sheet name="Sheet18" sheetId="25" r:id="rId5"/>
    <sheet name="Sheet20" sheetId="27" r:id="rId6"/>
    <sheet name="05_KPI_Calcs" sheetId="6" r:id="rId7"/>
    <sheet name="04_Model_SKU_Location" sheetId="5" r:id="rId8"/>
    <sheet name="Sheet16" sheetId="23" r:id="rId9"/>
    <sheet name="06_Pivots" sheetId="22" r:id="rId10"/>
    <sheet name="07_Dashboard" sheetId="8" r:id="rId11"/>
    <sheet name="99_Controls_Tests" sheetId="9" r:id="rId12"/>
  </sheets>
  <definedNames>
    <definedName name="_xlcn.WorksheetConnection_Excel_ICQA_KPI_Model.xlsxtbl_inventory1" hidden="1">tbl_inventory[]</definedName>
    <definedName name="_xlcn.WorksheetConnection_Excel_ICQA_KPI_Model.xlsxtbl_kpi1" hidden="1">tbl_kpi[]</definedName>
    <definedName name="_xlcn.WorksheetConnection_Excel_ICQA_KPI_Model.xlsxtbl_location1" hidden="1">tbl_location[]</definedName>
    <definedName name="_xlcn.WorksheetConnection_Excel_ICQA_KPI_Model.xlsxtbl_product1" hidden="1">tbl_product[]</definedName>
    <definedName name="ExternalData_1" localSheetId="1" hidden="1">'01_Source_Inventory'!$A$1:$C$1070</definedName>
    <definedName name="ExternalData_1" localSheetId="2" hidden="1">'02_Source_Product'!$A$1:$C$505</definedName>
    <definedName name="ExternalData_1" localSheetId="3" hidden="1">'03_Source_Location'!$A$1:$B$15</definedName>
  </definedNames>
  <calcPr calcId="191029"/>
  <pivotCaches>
    <pivotCache cacheId="95" r:id="rId13"/>
    <pivotCache cacheId="241" r:id="rId14"/>
    <pivotCache cacheId="244" r:id="rId15"/>
    <pivotCache cacheId="247" r:id="rId16"/>
    <pivotCache cacheId="254" r:id="rId17"/>
    <pivotCache cacheId="257" r:id="rId18"/>
    <pivotCache cacheId="260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bl_kpi" name="tbl_kpi" connection="WorksheetConnection_Excel_ICQA_KPI_Model.xlsx!tbl_kpi"/>
          <x15:modelTable id="tbl_location" name="tbl_location" connection="WorksheetConnection_Excel_ICQA_KPI_Model.xlsx!tbl_location"/>
          <x15:modelTable id="tbl_product" name="tbl_product" connection="WorksheetConnection_Excel_ICQA_KPI_Model.xlsx!tbl_product"/>
          <x15:modelTable id="tbl_inventory" name="tbl_inventory" connection="WorksheetConnection_Excel_ICQA_KPI_Model.xlsx!tbl_inventory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9" l="1"/>
  <c r="C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89" i="6"/>
  <c r="C90" i="6"/>
  <c r="C91" i="6"/>
  <c r="C92" i="6"/>
  <c r="C93" i="6"/>
  <c r="C94" i="6"/>
  <c r="C95" i="6"/>
  <c r="C96" i="6"/>
  <c r="C97" i="6"/>
  <c r="C98" i="6"/>
  <c r="C99" i="6"/>
  <c r="C100" i="6"/>
  <c r="C101" i="6"/>
  <c r="C102" i="6"/>
  <c r="C103" i="6"/>
  <c r="C104" i="6"/>
  <c r="C105" i="6"/>
  <c r="C106" i="6"/>
  <c r="C107" i="6"/>
  <c r="C108" i="6"/>
  <c r="C109" i="6"/>
  <c r="C110" i="6"/>
  <c r="C111" i="6"/>
  <c r="C112" i="6"/>
  <c r="C113" i="6"/>
  <c r="C114" i="6"/>
  <c r="C115" i="6"/>
  <c r="C116" i="6"/>
  <c r="C117" i="6"/>
  <c r="C118" i="6"/>
  <c r="C119" i="6"/>
  <c r="C120" i="6"/>
  <c r="C121" i="6"/>
  <c r="C122" i="6"/>
  <c r="C123" i="6"/>
  <c r="C124" i="6"/>
  <c r="C125" i="6"/>
  <c r="C126" i="6"/>
  <c r="C127" i="6"/>
  <c r="C128" i="6"/>
  <c r="C129" i="6"/>
  <c r="C130" i="6"/>
  <c r="C131" i="6"/>
  <c r="C132" i="6"/>
  <c r="C133" i="6"/>
  <c r="C134" i="6"/>
  <c r="C135" i="6"/>
  <c r="C136" i="6"/>
  <c r="C137" i="6"/>
  <c r="C138" i="6"/>
  <c r="C139" i="6"/>
  <c r="C140" i="6"/>
  <c r="C141" i="6"/>
  <c r="C142" i="6"/>
  <c r="C143" i="6"/>
  <c r="C144" i="6"/>
  <c r="C145" i="6"/>
  <c r="C146" i="6"/>
  <c r="C147" i="6"/>
  <c r="C148" i="6"/>
  <c r="C149" i="6"/>
  <c r="C150" i="6"/>
  <c r="C151" i="6"/>
  <c r="C152" i="6"/>
  <c r="C153" i="6"/>
  <c r="C154" i="6"/>
  <c r="C155" i="6"/>
  <c r="C156" i="6"/>
  <c r="C157" i="6"/>
  <c r="C158" i="6"/>
  <c r="C159" i="6"/>
  <c r="C160" i="6"/>
  <c r="C161" i="6"/>
  <c r="C162" i="6"/>
  <c r="C163" i="6"/>
  <c r="C164" i="6"/>
  <c r="C165" i="6"/>
  <c r="C166" i="6"/>
  <c r="C167" i="6"/>
  <c r="C168" i="6"/>
  <c r="C169" i="6"/>
  <c r="C170" i="6"/>
  <c r="C171" i="6"/>
  <c r="C172" i="6"/>
  <c r="C173" i="6"/>
  <c r="C174" i="6"/>
  <c r="C175" i="6"/>
  <c r="C176" i="6"/>
  <c r="C177" i="6"/>
  <c r="C178" i="6"/>
  <c r="C179" i="6"/>
  <c r="C180" i="6"/>
  <c r="C181" i="6"/>
  <c r="C182" i="6"/>
  <c r="C183" i="6"/>
  <c r="C184" i="6"/>
  <c r="C185" i="6"/>
  <c r="C186" i="6"/>
  <c r="C187" i="6"/>
  <c r="C188" i="6"/>
  <c r="C189" i="6"/>
  <c r="C190" i="6"/>
  <c r="C191" i="6"/>
  <c r="C192" i="6"/>
  <c r="C193" i="6"/>
  <c r="C194" i="6"/>
  <c r="C195" i="6"/>
  <c r="C196" i="6"/>
  <c r="C197" i="6"/>
  <c r="C198" i="6"/>
  <c r="C199" i="6"/>
  <c r="C200" i="6"/>
  <c r="C201" i="6"/>
  <c r="C202" i="6"/>
  <c r="C203" i="6"/>
  <c r="C204" i="6"/>
  <c r="C205" i="6"/>
  <c r="C206" i="6"/>
  <c r="C207" i="6"/>
  <c r="C208" i="6"/>
  <c r="C209" i="6"/>
  <c r="C210" i="6"/>
  <c r="C211" i="6"/>
  <c r="C212" i="6"/>
  <c r="C213" i="6"/>
  <c r="C214" i="6"/>
  <c r="C215" i="6"/>
  <c r="C216" i="6"/>
  <c r="C217" i="6"/>
  <c r="C218" i="6"/>
  <c r="C219" i="6"/>
  <c r="C220" i="6"/>
  <c r="C221" i="6"/>
  <c r="C222" i="6"/>
  <c r="C223" i="6"/>
  <c r="C224" i="6"/>
  <c r="C225" i="6"/>
  <c r="C226" i="6"/>
  <c r="C227" i="6"/>
  <c r="C228" i="6"/>
  <c r="C229" i="6"/>
  <c r="C230" i="6"/>
  <c r="C231" i="6"/>
  <c r="C232" i="6"/>
  <c r="C233" i="6"/>
  <c r="C234" i="6"/>
  <c r="C235" i="6"/>
  <c r="C236" i="6"/>
  <c r="C237" i="6"/>
  <c r="C238" i="6"/>
  <c r="C239" i="6"/>
  <c r="C240" i="6"/>
  <c r="C241" i="6"/>
  <c r="C242" i="6"/>
  <c r="C243" i="6"/>
  <c r="C244" i="6"/>
  <c r="C245" i="6"/>
  <c r="C246" i="6"/>
  <c r="C247" i="6"/>
  <c r="C248" i="6"/>
  <c r="C249" i="6"/>
  <c r="C250" i="6"/>
  <c r="C251" i="6"/>
  <c r="C252" i="6"/>
  <c r="C253" i="6"/>
  <c r="C254" i="6"/>
  <c r="C255" i="6"/>
  <c r="C256" i="6"/>
  <c r="C257" i="6"/>
  <c r="C258" i="6"/>
  <c r="C259" i="6"/>
  <c r="C260" i="6"/>
  <c r="C261" i="6"/>
  <c r="C262" i="6"/>
  <c r="C263" i="6"/>
  <c r="C264" i="6"/>
  <c r="C265" i="6"/>
  <c r="C266" i="6"/>
  <c r="C267" i="6"/>
  <c r="C268" i="6"/>
  <c r="C269" i="6"/>
  <c r="C270" i="6"/>
  <c r="C271" i="6"/>
  <c r="C272" i="6"/>
  <c r="C273" i="6"/>
  <c r="C274" i="6"/>
  <c r="C275" i="6"/>
  <c r="C276" i="6"/>
  <c r="C277" i="6"/>
  <c r="C278" i="6"/>
  <c r="C279" i="6"/>
  <c r="C280" i="6"/>
  <c r="C281" i="6"/>
  <c r="C282" i="6"/>
  <c r="C283" i="6"/>
  <c r="C284" i="6"/>
  <c r="C285" i="6"/>
  <c r="C286" i="6"/>
  <c r="C287" i="6"/>
  <c r="C288" i="6"/>
  <c r="C289" i="6"/>
  <c r="C290" i="6"/>
  <c r="C291" i="6"/>
  <c r="C292" i="6"/>
  <c r="C293" i="6"/>
  <c r="C294" i="6"/>
  <c r="C295" i="6"/>
  <c r="C296" i="6"/>
  <c r="C297" i="6"/>
  <c r="C298" i="6"/>
  <c r="C299" i="6"/>
  <c r="C300" i="6"/>
  <c r="C301" i="6"/>
  <c r="C302" i="6"/>
  <c r="C303" i="6"/>
  <c r="C304" i="6"/>
  <c r="C305" i="6"/>
  <c r="C306" i="6"/>
  <c r="C307" i="6"/>
  <c r="C308" i="6"/>
  <c r="C309" i="6"/>
  <c r="C310" i="6"/>
  <c r="C311" i="6"/>
  <c r="C312" i="6"/>
  <c r="C313" i="6"/>
  <c r="C314" i="6"/>
  <c r="C315" i="6"/>
  <c r="C316" i="6"/>
  <c r="C317" i="6"/>
  <c r="C318" i="6"/>
  <c r="C319" i="6"/>
  <c r="C320" i="6"/>
  <c r="C321" i="6"/>
  <c r="C322" i="6"/>
  <c r="C323" i="6"/>
  <c r="C324" i="6"/>
  <c r="C325" i="6"/>
  <c r="C326" i="6"/>
  <c r="C327" i="6"/>
  <c r="C328" i="6"/>
  <c r="C329" i="6"/>
  <c r="C330" i="6"/>
  <c r="C331" i="6"/>
  <c r="C332" i="6"/>
  <c r="C333" i="6"/>
  <c r="C334" i="6"/>
  <c r="C335" i="6"/>
  <c r="C336" i="6"/>
  <c r="C337" i="6"/>
  <c r="C338" i="6"/>
  <c r="C339" i="6"/>
  <c r="C340" i="6"/>
  <c r="C341" i="6"/>
  <c r="C342" i="6"/>
  <c r="C343" i="6"/>
  <c r="C344" i="6"/>
  <c r="C345" i="6"/>
  <c r="C346" i="6"/>
  <c r="C347" i="6"/>
  <c r="C348" i="6"/>
  <c r="C349" i="6"/>
  <c r="C350" i="6"/>
  <c r="C351" i="6"/>
  <c r="C352" i="6"/>
  <c r="C353" i="6"/>
  <c r="C354" i="6"/>
  <c r="C355" i="6"/>
  <c r="C356" i="6"/>
  <c r="C357" i="6"/>
  <c r="C358" i="6"/>
  <c r="C359" i="6"/>
  <c r="C360" i="6"/>
  <c r="C361" i="6"/>
  <c r="C362" i="6"/>
  <c r="C363" i="6"/>
  <c r="C364" i="6"/>
  <c r="C365" i="6"/>
  <c r="C366" i="6"/>
  <c r="C367" i="6"/>
  <c r="C368" i="6"/>
  <c r="C369" i="6"/>
  <c r="C370" i="6"/>
  <c r="C371" i="6"/>
  <c r="C372" i="6"/>
  <c r="C373" i="6"/>
  <c r="C374" i="6"/>
  <c r="C375" i="6"/>
  <c r="C376" i="6"/>
  <c r="C377" i="6"/>
  <c r="C378" i="6"/>
  <c r="C379" i="6"/>
  <c r="C380" i="6"/>
  <c r="C381" i="6"/>
  <c r="C382" i="6"/>
  <c r="C383" i="6"/>
  <c r="C384" i="6"/>
  <c r="C385" i="6"/>
  <c r="C386" i="6"/>
  <c r="C387" i="6"/>
  <c r="C388" i="6"/>
  <c r="C389" i="6"/>
  <c r="C390" i="6"/>
  <c r="C391" i="6"/>
  <c r="C392" i="6"/>
  <c r="C393" i="6"/>
  <c r="C394" i="6"/>
  <c r="C395" i="6"/>
  <c r="C396" i="6"/>
  <c r="C397" i="6"/>
  <c r="C398" i="6"/>
  <c r="C399" i="6"/>
  <c r="C400" i="6"/>
  <c r="C401" i="6"/>
  <c r="C402" i="6"/>
  <c r="C403" i="6"/>
  <c r="C404" i="6"/>
  <c r="C405" i="6"/>
  <c r="C406" i="6"/>
  <c r="C407" i="6"/>
  <c r="C408" i="6"/>
  <c r="C409" i="6"/>
  <c r="C410" i="6"/>
  <c r="C411" i="6"/>
  <c r="C412" i="6"/>
  <c r="C413" i="6"/>
  <c r="C414" i="6"/>
  <c r="C415" i="6"/>
  <c r="C416" i="6"/>
  <c r="C417" i="6"/>
  <c r="C418" i="6"/>
  <c r="C419" i="6"/>
  <c r="C420" i="6"/>
  <c r="C421" i="6"/>
  <c r="C422" i="6"/>
  <c r="C423" i="6"/>
  <c r="C424" i="6"/>
  <c r="C425" i="6"/>
  <c r="C426" i="6"/>
  <c r="C427" i="6"/>
  <c r="C428" i="6"/>
  <c r="C429" i="6"/>
  <c r="C430" i="6"/>
  <c r="C431" i="6"/>
  <c r="C432" i="6"/>
  <c r="C433" i="6"/>
  <c r="C434" i="6"/>
  <c r="C435" i="6"/>
  <c r="C436" i="6"/>
  <c r="C437" i="6"/>
  <c r="C438" i="6"/>
  <c r="C439" i="6"/>
  <c r="C440" i="6"/>
  <c r="C441" i="6"/>
  <c r="C442" i="6"/>
  <c r="C443" i="6"/>
  <c r="C444" i="6"/>
  <c r="C445" i="6"/>
  <c r="C446" i="6"/>
  <c r="C447" i="6"/>
  <c r="C448" i="6"/>
  <c r="C449" i="6"/>
  <c r="C450" i="6"/>
  <c r="C451" i="6"/>
  <c r="C452" i="6"/>
  <c r="C453" i="6"/>
  <c r="C454" i="6"/>
  <c r="C455" i="6"/>
  <c r="C456" i="6"/>
  <c r="C457" i="6"/>
  <c r="C458" i="6"/>
  <c r="C459" i="6"/>
  <c r="C460" i="6"/>
  <c r="C461" i="6"/>
  <c r="C462" i="6"/>
  <c r="C463" i="6"/>
  <c r="C464" i="6"/>
  <c r="C465" i="6"/>
  <c r="C466" i="6"/>
  <c r="C467" i="6"/>
  <c r="C468" i="6"/>
  <c r="C469" i="6"/>
  <c r="C470" i="6"/>
  <c r="C471" i="6"/>
  <c r="C472" i="6"/>
  <c r="C473" i="6"/>
  <c r="C474" i="6"/>
  <c r="C475" i="6"/>
  <c r="C476" i="6"/>
  <c r="C477" i="6"/>
  <c r="C478" i="6"/>
  <c r="C479" i="6"/>
  <c r="C480" i="6"/>
  <c r="C481" i="6"/>
  <c r="C482" i="6"/>
  <c r="C483" i="6"/>
  <c r="C484" i="6"/>
  <c r="C485" i="6"/>
  <c r="C486" i="6"/>
  <c r="C487" i="6"/>
  <c r="C488" i="6"/>
  <c r="C489" i="6"/>
  <c r="C490" i="6"/>
  <c r="C491" i="6"/>
  <c r="C492" i="6"/>
  <c r="C493" i="6"/>
  <c r="C494" i="6"/>
  <c r="C495" i="6"/>
  <c r="C496" i="6"/>
  <c r="C497" i="6"/>
  <c r="C498" i="6"/>
  <c r="C499" i="6"/>
  <c r="C500" i="6"/>
  <c r="C501" i="6"/>
  <c r="C502" i="6"/>
  <c r="C503" i="6"/>
  <c r="C504" i="6"/>
  <c r="C505" i="6"/>
  <c r="C506" i="6"/>
  <c r="C507" i="6"/>
  <c r="C508" i="6"/>
  <c r="C509" i="6"/>
  <c r="C510" i="6"/>
  <c r="C511" i="6"/>
  <c r="C512" i="6"/>
  <c r="C513" i="6"/>
  <c r="C514" i="6"/>
  <c r="C515" i="6"/>
  <c r="C516" i="6"/>
  <c r="C517" i="6"/>
  <c r="C518" i="6"/>
  <c r="C519" i="6"/>
  <c r="C520" i="6"/>
  <c r="C521" i="6"/>
  <c r="C522" i="6"/>
  <c r="C523" i="6"/>
  <c r="C524" i="6"/>
  <c r="C525" i="6"/>
  <c r="C526" i="6"/>
  <c r="C527" i="6"/>
  <c r="C528" i="6"/>
  <c r="C529" i="6"/>
  <c r="C530" i="6"/>
  <c r="C531" i="6"/>
  <c r="C532" i="6"/>
  <c r="C533" i="6"/>
  <c r="C534" i="6"/>
  <c r="C535" i="6"/>
  <c r="C536" i="6"/>
  <c r="C537" i="6"/>
  <c r="C538" i="6"/>
  <c r="C539" i="6"/>
  <c r="C540" i="6"/>
  <c r="C541" i="6"/>
  <c r="C542" i="6"/>
  <c r="C543" i="6"/>
  <c r="C544" i="6"/>
  <c r="C545" i="6"/>
  <c r="C546" i="6"/>
  <c r="C547" i="6"/>
  <c r="C548" i="6"/>
  <c r="C549" i="6"/>
  <c r="C550" i="6"/>
  <c r="C551" i="6"/>
  <c r="C552" i="6"/>
  <c r="C553" i="6"/>
  <c r="C554" i="6"/>
  <c r="C555" i="6"/>
  <c r="C556" i="6"/>
  <c r="C557" i="6"/>
  <c r="C558" i="6"/>
  <c r="C559" i="6"/>
  <c r="C560" i="6"/>
  <c r="C561" i="6"/>
  <c r="C562" i="6"/>
  <c r="C563" i="6"/>
  <c r="C564" i="6"/>
  <c r="C565" i="6"/>
  <c r="C566" i="6"/>
  <c r="C567" i="6"/>
  <c r="C568" i="6"/>
  <c r="C569" i="6"/>
  <c r="C570" i="6"/>
  <c r="C571" i="6"/>
  <c r="C572" i="6"/>
  <c r="C573" i="6"/>
  <c r="C574" i="6"/>
  <c r="C575" i="6"/>
  <c r="C576" i="6"/>
  <c r="C577" i="6"/>
  <c r="C578" i="6"/>
  <c r="C579" i="6"/>
  <c r="C580" i="6"/>
  <c r="C581" i="6"/>
  <c r="C582" i="6"/>
  <c r="C583" i="6"/>
  <c r="C584" i="6"/>
  <c r="C585" i="6"/>
  <c r="C586" i="6"/>
  <c r="C587" i="6"/>
  <c r="C588" i="6"/>
  <c r="C589" i="6"/>
  <c r="C590" i="6"/>
  <c r="C591" i="6"/>
  <c r="C592" i="6"/>
  <c r="C593" i="6"/>
  <c r="C594" i="6"/>
  <c r="C595" i="6"/>
  <c r="C596" i="6"/>
  <c r="C597" i="6"/>
  <c r="C598" i="6"/>
  <c r="C599" i="6"/>
  <c r="C600" i="6"/>
  <c r="C601" i="6"/>
  <c r="C602" i="6"/>
  <c r="C603" i="6"/>
  <c r="C604" i="6"/>
  <c r="C605" i="6"/>
  <c r="C606" i="6"/>
  <c r="C607" i="6"/>
  <c r="C608" i="6"/>
  <c r="C609" i="6"/>
  <c r="C610" i="6"/>
  <c r="C611" i="6"/>
  <c r="C612" i="6"/>
  <c r="C613" i="6"/>
  <c r="C614" i="6"/>
  <c r="C615" i="6"/>
  <c r="C616" i="6"/>
  <c r="C617" i="6"/>
  <c r="C618" i="6"/>
  <c r="C619" i="6"/>
  <c r="C620" i="6"/>
  <c r="C621" i="6"/>
  <c r="C622" i="6"/>
  <c r="C623" i="6"/>
  <c r="C624" i="6"/>
  <c r="C625" i="6"/>
  <c r="C626" i="6"/>
  <c r="C627" i="6"/>
  <c r="C628" i="6"/>
  <c r="C629" i="6"/>
  <c r="C630" i="6"/>
  <c r="C631" i="6"/>
  <c r="C632" i="6"/>
  <c r="C633" i="6"/>
  <c r="C634" i="6"/>
  <c r="C635" i="6"/>
  <c r="C636" i="6"/>
  <c r="C637" i="6"/>
  <c r="C638" i="6"/>
  <c r="C639" i="6"/>
  <c r="C640" i="6"/>
  <c r="C641" i="6"/>
  <c r="C642" i="6"/>
  <c r="C643" i="6"/>
  <c r="C644" i="6"/>
  <c r="C645" i="6"/>
  <c r="C646" i="6"/>
  <c r="C647" i="6"/>
  <c r="C648" i="6"/>
  <c r="C649" i="6"/>
  <c r="C650" i="6"/>
  <c r="C651" i="6"/>
  <c r="C652" i="6"/>
  <c r="C653" i="6"/>
  <c r="C654" i="6"/>
  <c r="C655" i="6"/>
  <c r="C656" i="6"/>
  <c r="C657" i="6"/>
  <c r="C658" i="6"/>
  <c r="C659" i="6"/>
  <c r="C660" i="6"/>
  <c r="C661" i="6"/>
  <c r="C662" i="6"/>
  <c r="C663" i="6"/>
  <c r="C664" i="6"/>
  <c r="C665" i="6"/>
  <c r="C666" i="6"/>
  <c r="C667" i="6"/>
  <c r="C668" i="6"/>
  <c r="C669" i="6"/>
  <c r="C670" i="6"/>
  <c r="C671" i="6"/>
  <c r="C672" i="6"/>
  <c r="C673" i="6"/>
  <c r="C674" i="6"/>
  <c r="C675" i="6"/>
  <c r="C676" i="6"/>
  <c r="C677" i="6"/>
  <c r="C678" i="6"/>
  <c r="C679" i="6"/>
  <c r="C680" i="6"/>
  <c r="C681" i="6"/>
  <c r="C682" i="6"/>
  <c r="C683" i="6"/>
  <c r="C684" i="6"/>
  <c r="C685" i="6"/>
  <c r="C686" i="6"/>
  <c r="C687" i="6"/>
  <c r="C688" i="6"/>
  <c r="C689" i="6"/>
  <c r="C690" i="6"/>
  <c r="C691" i="6"/>
  <c r="C692" i="6"/>
  <c r="C693" i="6"/>
  <c r="C694" i="6"/>
  <c r="C695" i="6"/>
  <c r="C696" i="6"/>
  <c r="C697" i="6"/>
  <c r="C698" i="6"/>
  <c r="C699" i="6"/>
  <c r="C700" i="6"/>
  <c r="C701" i="6"/>
  <c r="C702" i="6"/>
  <c r="C703" i="6"/>
  <c r="C704" i="6"/>
  <c r="C705" i="6"/>
  <c r="C706" i="6"/>
  <c r="C707" i="6"/>
  <c r="C708" i="6"/>
  <c r="C709" i="6"/>
  <c r="C710" i="6"/>
  <c r="C711" i="6"/>
  <c r="C712" i="6"/>
  <c r="C713" i="6"/>
  <c r="C714" i="6"/>
  <c r="C715" i="6"/>
  <c r="C716" i="6"/>
  <c r="C717" i="6"/>
  <c r="C718" i="6"/>
  <c r="C719" i="6"/>
  <c r="C720" i="6"/>
  <c r="C721" i="6"/>
  <c r="C722" i="6"/>
  <c r="C723" i="6"/>
  <c r="C724" i="6"/>
  <c r="C725" i="6"/>
  <c r="C726" i="6"/>
  <c r="C727" i="6"/>
  <c r="C728" i="6"/>
  <c r="C729" i="6"/>
  <c r="C730" i="6"/>
  <c r="C731" i="6"/>
  <c r="C732" i="6"/>
  <c r="C733" i="6"/>
  <c r="C734" i="6"/>
  <c r="C735" i="6"/>
  <c r="C736" i="6"/>
  <c r="C737" i="6"/>
  <c r="C738" i="6"/>
  <c r="C739" i="6"/>
  <c r="C740" i="6"/>
  <c r="C741" i="6"/>
  <c r="C742" i="6"/>
  <c r="C743" i="6"/>
  <c r="C744" i="6"/>
  <c r="C745" i="6"/>
  <c r="C746" i="6"/>
  <c r="C747" i="6"/>
  <c r="C748" i="6"/>
  <c r="C749" i="6"/>
  <c r="C750" i="6"/>
  <c r="C751" i="6"/>
  <c r="C752" i="6"/>
  <c r="C753" i="6"/>
  <c r="C754" i="6"/>
  <c r="C755" i="6"/>
  <c r="C756" i="6"/>
  <c r="C757" i="6"/>
  <c r="C758" i="6"/>
  <c r="C759" i="6"/>
  <c r="C760" i="6"/>
  <c r="C761" i="6"/>
  <c r="C762" i="6"/>
  <c r="C763" i="6"/>
  <c r="C764" i="6"/>
  <c r="C765" i="6"/>
  <c r="C766" i="6"/>
  <c r="C767" i="6"/>
  <c r="C768" i="6"/>
  <c r="C769" i="6"/>
  <c r="C770" i="6"/>
  <c r="C771" i="6"/>
  <c r="C772" i="6"/>
  <c r="C773" i="6"/>
  <c r="C774" i="6"/>
  <c r="C775" i="6"/>
  <c r="C776" i="6"/>
  <c r="C777" i="6"/>
  <c r="C778" i="6"/>
  <c r="C779" i="6"/>
  <c r="C780" i="6"/>
  <c r="C781" i="6"/>
  <c r="C782" i="6"/>
  <c r="C783" i="6"/>
  <c r="C784" i="6"/>
  <c r="C785" i="6"/>
  <c r="C786" i="6"/>
  <c r="C787" i="6"/>
  <c r="C788" i="6"/>
  <c r="C789" i="6"/>
  <c r="C790" i="6"/>
  <c r="C791" i="6"/>
  <c r="C792" i="6"/>
  <c r="C793" i="6"/>
  <c r="C794" i="6"/>
  <c r="C795" i="6"/>
  <c r="C796" i="6"/>
  <c r="C797" i="6"/>
  <c r="C798" i="6"/>
  <c r="C799" i="6"/>
  <c r="C800" i="6"/>
  <c r="C801" i="6"/>
  <c r="C802" i="6"/>
  <c r="C803" i="6"/>
  <c r="C804" i="6"/>
  <c r="C805" i="6"/>
  <c r="C806" i="6"/>
  <c r="C807" i="6"/>
  <c r="C808" i="6"/>
  <c r="C809" i="6"/>
  <c r="C810" i="6"/>
  <c r="C811" i="6"/>
  <c r="C812" i="6"/>
  <c r="C813" i="6"/>
  <c r="C814" i="6"/>
  <c r="C815" i="6"/>
  <c r="C816" i="6"/>
  <c r="C817" i="6"/>
  <c r="C818" i="6"/>
  <c r="C819" i="6"/>
  <c r="C820" i="6"/>
  <c r="C821" i="6"/>
  <c r="C822" i="6"/>
  <c r="C823" i="6"/>
  <c r="C824" i="6"/>
  <c r="C825" i="6"/>
  <c r="C826" i="6"/>
  <c r="C827" i="6"/>
  <c r="C828" i="6"/>
  <c r="C829" i="6"/>
  <c r="C830" i="6"/>
  <c r="C831" i="6"/>
  <c r="C832" i="6"/>
  <c r="C833" i="6"/>
  <c r="C834" i="6"/>
  <c r="C835" i="6"/>
  <c r="C836" i="6"/>
  <c r="C837" i="6"/>
  <c r="C838" i="6"/>
  <c r="C839" i="6"/>
  <c r="C840" i="6"/>
  <c r="C841" i="6"/>
  <c r="C842" i="6"/>
  <c r="C843" i="6"/>
  <c r="C844" i="6"/>
  <c r="C845" i="6"/>
  <c r="C846" i="6"/>
  <c r="C847" i="6"/>
  <c r="C848" i="6"/>
  <c r="C849" i="6"/>
  <c r="C850" i="6"/>
  <c r="C851" i="6"/>
  <c r="C852" i="6"/>
  <c r="C853" i="6"/>
  <c r="C854" i="6"/>
  <c r="C855" i="6"/>
  <c r="C856" i="6"/>
  <c r="C857" i="6"/>
  <c r="C858" i="6"/>
  <c r="C859" i="6"/>
  <c r="C860" i="6"/>
  <c r="C861" i="6"/>
  <c r="C862" i="6"/>
  <c r="C863" i="6"/>
  <c r="C864" i="6"/>
  <c r="C865" i="6"/>
  <c r="C866" i="6"/>
  <c r="C867" i="6"/>
  <c r="C868" i="6"/>
  <c r="C869" i="6"/>
  <c r="C870" i="6"/>
  <c r="C871" i="6"/>
  <c r="C872" i="6"/>
  <c r="C873" i="6"/>
  <c r="C874" i="6"/>
  <c r="C875" i="6"/>
  <c r="C876" i="6"/>
  <c r="C877" i="6"/>
  <c r="C878" i="6"/>
  <c r="C879" i="6"/>
  <c r="C880" i="6"/>
  <c r="C881" i="6"/>
  <c r="C882" i="6"/>
  <c r="C883" i="6"/>
  <c r="C884" i="6"/>
  <c r="C885" i="6"/>
  <c r="C886" i="6"/>
  <c r="C887" i="6"/>
  <c r="C888" i="6"/>
  <c r="C889" i="6"/>
  <c r="C890" i="6"/>
  <c r="C891" i="6"/>
  <c r="C892" i="6"/>
  <c r="C893" i="6"/>
  <c r="C894" i="6"/>
  <c r="C895" i="6"/>
  <c r="C896" i="6"/>
  <c r="C897" i="6"/>
  <c r="C898" i="6"/>
  <c r="C899" i="6"/>
  <c r="C900" i="6"/>
  <c r="C901" i="6"/>
  <c r="C902" i="6"/>
  <c r="C903" i="6"/>
  <c r="C904" i="6"/>
  <c r="C905" i="6"/>
  <c r="C906" i="6"/>
  <c r="C907" i="6"/>
  <c r="C908" i="6"/>
  <c r="C909" i="6"/>
  <c r="C910" i="6"/>
  <c r="C911" i="6"/>
  <c r="C912" i="6"/>
  <c r="C913" i="6"/>
  <c r="C914" i="6"/>
  <c r="C915" i="6"/>
  <c r="C916" i="6"/>
  <c r="C917" i="6"/>
  <c r="C918" i="6"/>
  <c r="C919" i="6"/>
  <c r="C920" i="6"/>
  <c r="C921" i="6"/>
  <c r="C922" i="6"/>
  <c r="C923" i="6"/>
  <c r="C924" i="6"/>
  <c r="C925" i="6"/>
  <c r="C926" i="6"/>
  <c r="C927" i="6"/>
  <c r="C928" i="6"/>
  <c r="C929" i="6"/>
  <c r="C930" i="6"/>
  <c r="C931" i="6"/>
  <c r="C932" i="6"/>
  <c r="C933" i="6"/>
  <c r="C934" i="6"/>
  <c r="C935" i="6"/>
  <c r="C936" i="6"/>
  <c r="C937" i="6"/>
  <c r="C938" i="6"/>
  <c r="C939" i="6"/>
  <c r="C940" i="6"/>
  <c r="C941" i="6"/>
  <c r="C942" i="6"/>
  <c r="C943" i="6"/>
  <c r="C944" i="6"/>
  <c r="C945" i="6"/>
  <c r="C946" i="6"/>
  <c r="C947" i="6"/>
  <c r="C948" i="6"/>
  <c r="C949" i="6"/>
  <c r="C950" i="6"/>
  <c r="C951" i="6"/>
  <c r="C952" i="6"/>
  <c r="C953" i="6"/>
  <c r="C954" i="6"/>
  <c r="C955" i="6"/>
  <c r="C956" i="6"/>
  <c r="C957" i="6"/>
  <c r="C958" i="6"/>
  <c r="C959" i="6"/>
  <c r="C960" i="6"/>
  <c r="C961" i="6"/>
  <c r="C962" i="6"/>
  <c r="C963" i="6"/>
  <c r="C964" i="6"/>
  <c r="C965" i="6"/>
  <c r="C966" i="6"/>
  <c r="C967" i="6"/>
  <c r="C968" i="6"/>
  <c r="C969" i="6"/>
  <c r="C970" i="6"/>
  <c r="C971" i="6"/>
  <c r="C972" i="6"/>
  <c r="C973" i="6"/>
  <c r="C974" i="6"/>
  <c r="C975" i="6"/>
  <c r="C976" i="6"/>
  <c r="C977" i="6"/>
  <c r="C978" i="6"/>
  <c r="C979" i="6"/>
  <c r="C980" i="6"/>
  <c r="C981" i="6"/>
  <c r="C982" i="6"/>
  <c r="C983" i="6"/>
  <c r="C984" i="6"/>
  <c r="C985" i="6"/>
  <c r="C986" i="6"/>
  <c r="C987" i="6"/>
  <c r="C988" i="6"/>
  <c r="C989" i="6"/>
  <c r="C990" i="6"/>
  <c r="C991" i="6"/>
  <c r="C992" i="6"/>
  <c r="C993" i="6"/>
  <c r="C994" i="6"/>
  <c r="C995" i="6"/>
  <c r="C996" i="6"/>
  <c r="C997" i="6"/>
  <c r="C998" i="6"/>
  <c r="C999" i="6"/>
  <c r="C1000" i="6"/>
  <c r="C1001" i="6"/>
  <c r="C1002" i="6"/>
  <c r="C1003" i="6"/>
  <c r="C1004" i="6"/>
  <c r="C1005" i="6"/>
  <c r="C1006" i="6"/>
  <c r="C1007" i="6"/>
  <c r="C1008" i="6"/>
  <c r="C1009" i="6"/>
  <c r="C1010" i="6"/>
  <c r="C1011" i="6"/>
  <c r="C1012" i="6"/>
  <c r="C1013" i="6"/>
  <c r="C1014" i="6"/>
  <c r="C1015" i="6"/>
  <c r="C1016" i="6"/>
  <c r="C1017" i="6"/>
  <c r="C1018" i="6"/>
  <c r="C1019" i="6"/>
  <c r="C1020" i="6"/>
  <c r="C1021" i="6"/>
  <c r="C1022" i="6"/>
  <c r="C1023" i="6"/>
  <c r="C1024" i="6"/>
  <c r="C1025" i="6"/>
  <c r="C1026" i="6"/>
  <c r="C1027" i="6"/>
  <c r="C1028" i="6"/>
  <c r="C1029" i="6"/>
  <c r="C1030" i="6"/>
  <c r="C1031" i="6"/>
  <c r="C1032" i="6"/>
  <c r="C1033" i="6"/>
  <c r="C1034" i="6"/>
  <c r="C1035" i="6"/>
  <c r="C1036" i="6"/>
  <c r="C1037" i="6"/>
  <c r="C1038" i="6"/>
  <c r="C1039" i="6"/>
  <c r="C1040" i="6"/>
  <c r="C1041" i="6"/>
  <c r="C1042" i="6"/>
  <c r="C1043" i="6"/>
  <c r="C1044" i="6"/>
  <c r="C1045" i="6"/>
  <c r="C1046" i="6"/>
  <c r="C1047" i="6"/>
  <c r="C1048" i="6"/>
  <c r="C1049" i="6"/>
  <c r="C1050" i="6"/>
  <c r="C1051" i="6"/>
  <c r="C1052" i="6"/>
  <c r="C1053" i="6"/>
  <c r="C1054" i="6"/>
  <c r="C1055" i="6"/>
  <c r="C1056" i="6"/>
  <c r="C1057" i="6"/>
  <c r="C1058" i="6"/>
  <c r="C1059" i="6"/>
  <c r="C1060" i="6"/>
  <c r="C1061" i="6"/>
  <c r="C1062" i="6"/>
  <c r="C1063" i="6"/>
  <c r="C1064" i="6"/>
  <c r="C1065" i="6"/>
  <c r="C1066" i="6"/>
  <c r="C1067" i="6"/>
  <c r="C1068" i="6"/>
  <c r="C1069" i="6"/>
  <c r="C1070" i="6"/>
  <c r="G6" i="6"/>
  <c r="G9" i="6"/>
  <c r="G27" i="6"/>
  <c r="G41" i="6"/>
  <c r="G70" i="6"/>
  <c r="G106" i="6"/>
  <c r="G138" i="6"/>
  <c r="G170" i="6"/>
  <c r="G202" i="6"/>
  <c r="G234" i="6"/>
  <c r="G266" i="6"/>
  <c r="G298" i="6"/>
  <c r="G460" i="6"/>
  <c r="G610" i="6"/>
  <c r="F2" i="6"/>
  <c r="F3" i="6"/>
  <c r="G3" i="6" s="1"/>
  <c r="F4" i="6"/>
  <c r="F5" i="6"/>
  <c r="F6" i="6"/>
  <c r="H6" i="6" s="1"/>
  <c r="I6" i="6" s="1"/>
  <c r="F7" i="6"/>
  <c r="F8" i="6"/>
  <c r="F9" i="6"/>
  <c r="F10" i="6"/>
  <c r="F11" i="6"/>
  <c r="F12" i="6"/>
  <c r="F13" i="6"/>
  <c r="F14" i="6"/>
  <c r="F15" i="6"/>
  <c r="F16" i="6"/>
  <c r="G16" i="6" s="1"/>
  <c r="F17" i="6"/>
  <c r="G17" i="6" s="1"/>
  <c r="F18" i="6"/>
  <c r="F19" i="6"/>
  <c r="G19" i="6" s="1"/>
  <c r="F20" i="6"/>
  <c r="F21" i="6"/>
  <c r="F22" i="6"/>
  <c r="F23" i="6"/>
  <c r="F24" i="6"/>
  <c r="F25" i="6"/>
  <c r="G25" i="6" s="1"/>
  <c r="F26" i="6"/>
  <c r="F27" i="6"/>
  <c r="F28" i="6"/>
  <c r="F29" i="6"/>
  <c r="F30" i="6"/>
  <c r="F31" i="6"/>
  <c r="F32" i="6"/>
  <c r="F33" i="6"/>
  <c r="G33" i="6" s="1"/>
  <c r="F34" i="6"/>
  <c r="F35" i="6"/>
  <c r="F36" i="6"/>
  <c r="F37" i="6"/>
  <c r="F38" i="6"/>
  <c r="G38" i="6" s="1"/>
  <c r="F39" i="6"/>
  <c r="F40" i="6"/>
  <c r="F41" i="6"/>
  <c r="F42" i="6"/>
  <c r="F43" i="6"/>
  <c r="F44" i="6"/>
  <c r="F45" i="6"/>
  <c r="F46" i="6"/>
  <c r="F47" i="6"/>
  <c r="F48" i="6"/>
  <c r="G48" i="6" s="1"/>
  <c r="F49" i="6"/>
  <c r="G49" i="6" s="1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G63" i="6" s="1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G98" i="6" s="1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G130" i="6" s="1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G162" i="6" s="1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G194" i="6" s="1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G207" i="6" s="1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G226" i="6" s="1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G258" i="6" s="1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G290" i="6" s="1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G313" i="6" s="1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G394" i="6" s="1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G418" i="6" s="1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G437" i="6" s="1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G501" i="6" s="1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G545" i="6" s="1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G570" i="6" s="1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G593" i="6" s="1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G639" i="6" s="1"/>
  <c r="F640" i="6"/>
  <c r="G640" i="6" s="1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G661" i="6" s="1"/>
  <c r="F662" i="6"/>
  <c r="F663" i="6"/>
  <c r="F664" i="6"/>
  <c r="G664" i="6" s="1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G691" i="6" s="1"/>
  <c r="F692" i="6"/>
  <c r="F693" i="6"/>
  <c r="G693" i="6" s="1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G716" i="6" s="1"/>
  <c r="F717" i="6"/>
  <c r="F718" i="6"/>
  <c r="F719" i="6"/>
  <c r="F720" i="6"/>
  <c r="F721" i="6"/>
  <c r="F722" i="6"/>
  <c r="F723" i="6"/>
  <c r="F724" i="6"/>
  <c r="F725" i="6"/>
  <c r="G725" i="6" s="1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G773" i="6" s="1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G803" i="6" s="1"/>
  <c r="F804" i="6"/>
  <c r="F805" i="6"/>
  <c r="G805" i="6" s="1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G837" i="6" s="1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G853" i="6" s="1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G885" i="6" s="1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G917" i="6" s="1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G933" i="6" s="1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G947" i="6" s="1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G965" i="6" s="1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G981" i="6" s="1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G997" i="6" s="1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G1029" i="6" s="1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G1045" i="6" s="1"/>
  <c r="F1046" i="6"/>
  <c r="F1047" i="6"/>
  <c r="F1048" i="6"/>
  <c r="G1048" i="6" s="1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G1061" i="6" s="1"/>
  <c r="F1062" i="6"/>
  <c r="F1063" i="6"/>
  <c r="F1064" i="6"/>
  <c r="F1065" i="6"/>
  <c r="F1066" i="6"/>
  <c r="F1067" i="6"/>
  <c r="F1068" i="6"/>
  <c r="F1069" i="6"/>
  <c r="F1070" i="6"/>
  <c r="E2" i="9"/>
  <c r="G3" i="5"/>
  <c r="G2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G301" i="5"/>
  <c r="G302" i="5"/>
  <c r="G303" i="5"/>
  <c r="G304" i="5"/>
  <c r="G305" i="5"/>
  <c r="G306" i="5"/>
  <c r="G307" i="5"/>
  <c r="G308" i="5"/>
  <c r="G309" i="5"/>
  <c r="G310" i="5"/>
  <c r="G311" i="5"/>
  <c r="G312" i="5"/>
  <c r="G313" i="5"/>
  <c r="G314" i="5"/>
  <c r="G315" i="5"/>
  <c r="G316" i="5"/>
  <c r="G317" i="5"/>
  <c r="G318" i="5"/>
  <c r="G319" i="5"/>
  <c r="G320" i="5"/>
  <c r="G321" i="5"/>
  <c r="G322" i="5"/>
  <c r="G323" i="5"/>
  <c r="G324" i="5"/>
  <c r="G325" i="5"/>
  <c r="G326" i="5"/>
  <c r="G327" i="5"/>
  <c r="G328" i="5"/>
  <c r="G329" i="5"/>
  <c r="G330" i="5"/>
  <c r="G331" i="5"/>
  <c r="G332" i="5"/>
  <c r="G333" i="5"/>
  <c r="G334" i="5"/>
  <c r="G335" i="5"/>
  <c r="G336" i="5"/>
  <c r="G337" i="5"/>
  <c r="G338" i="5"/>
  <c r="G339" i="5"/>
  <c r="G340" i="5"/>
  <c r="G341" i="5"/>
  <c r="G342" i="5"/>
  <c r="G343" i="5"/>
  <c r="G344" i="5"/>
  <c r="G345" i="5"/>
  <c r="G346" i="5"/>
  <c r="G347" i="5"/>
  <c r="G348" i="5"/>
  <c r="G349" i="5"/>
  <c r="G350" i="5"/>
  <c r="G351" i="5"/>
  <c r="G352" i="5"/>
  <c r="G353" i="5"/>
  <c r="G354" i="5"/>
  <c r="G355" i="5"/>
  <c r="G356" i="5"/>
  <c r="G357" i="5"/>
  <c r="G358" i="5"/>
  <c r="G359" i="5"/>
  <c r="G360" i="5"/>
  <c r="G361" i="5"/>
  <c r="G362" i="5"/>
  <c r="G363" i="5"/>
  <c r="G364" i="5"/>
  <c r="G365" i="5"/>
  <c r="G366" i="5"/>
  <c r="G367" i="5"/>
  <c r="G368" i="5"/>
  <c r="G369" i="5"/>
  <c r="G370" i="5"/>
  <c r="G371" i="5"/>
  <c r="G372" i="5"/>
  <c r="G373" i="5"/>
  <c r="G374" i="5"/>
  <c r="G375" i="5"/>
  <c r="G376" i="5"/>
  <c r="G377" i="5"/>
  <c r="G378" i="5"/>
  <c r="G379" i="5"/>
  <c r="G380" i="5"/>
  <c r="G381" i="5"/>
  <c r="G382" i="5"/>
  <c r="G383" i="5"/>
  <c r="G384" i="5"/>
  <c r="G385" i="5"/>
  <c r="G386" i="5"/>
  <c r="G387" i="5"/>
  <c r="G388" i="5"/>
  <c r="G389" i="5"/>
  <c r="G390" i="5"/>
  <c r="G391" i="5"/>
  <c r="G392" i="5"/>
  <c r="G393" i="5"/>
  <c r="G394" i="5"/>
  <c r="G395" i="5"/>
  <c r="G396" i="5"/>
  <c r="G397" i="5"/>
  <c r="G398" i="5"/>
  <c r="G399" i="5"/>
  <c r="G400" i="5"/>
  <c r="G401" i="5"/>
  <c r="G402" i="5"/>
  <c r="G403" i="5"/>
  <c r="G404" i="5"/>
  <c r="G405" i="5"/>
  <c r="G406" i="5"/>
  <c r="G407" i="5"/>
  <c r="G408" i="5"/>
  <c r="G409" i="5"/>
  <c r="G410" i="5"/>
  <c r="G411" i="5"/>
  <c r="G412" i="5"/>
  <c r="G413" i="5"/>
  <c r="G414" i="5"/>
  <c r="G415" i="5"/>
  <c r="G416" i="5"/>
  <c r="G417" i="5"/>
  <c r="G418" i="5"/>
  <c r="G419" i="5"/>
  <c r="G420" i="5"/>
  <c r="G421" i="5"/>
  <c r="G422" i="5"/>
  <c r="G423" i="5"/>
  <c r="G424" i="5"/>
  <c r="G425" i="5"/>
  <c r="G426" i="5"/>
  <c r="G427" i="5"/>
  <c r="G428" i="5"/>
  <c r="G429" i="5"/>
  <c r="G430" i="5"/>
  <c r="G431" i="5"/>
  <c r="G432" i="5"/>
  <c r="G433" i="5"/>
  <c r="G434" i="5"/>
  <c r="G435" i="5"/>
  <c r="G436" i="5"/>
  <c r="G437" i="5"/>
  <c r="G438" i="5"/>
  <c r="G439" i="5"/>
  <c r="G440" i="5"/>
  <c r="G441" i="5"/>
  <c r="G442" i="5"/>
  <c r="G443" i="5"/>
  <c r="G444" i="5"/>
  <c r="G445" i="5"/>
  <c r="G446" i="5"/>
  <c r="G447" i="5"/>
  <c r="G448" i="5"/>
  <c r="G449" i="5"/>
  <c r="G450" i="5"/>
  <c r="G451" i="5"/>
  <c r="G452" i="5"/>
  <c r="G453" i="5"/>
  <c r="G454" i="5"/>
  <c r="G455" i="5"/>
  <c r="G456" i="5"/>
  <c r="G457" i="5"/>
  <c r="G458" i="5"/>
  <c r="G459" i="5"/>
  <c r="G460" i="5"/>
  <c r="G461" i="5"/>
  <c r="G462" i="5"/>
  <c r="G463" i="5"/>
  <c r="G464" i="5"/>
  <c r="G465" i="5"/>
  <c r="G466" i="5"/>
  <c r="G467" i="5"/>
  <c r="G468" i="5"/>
  <c r="G469" i="5"/>
  <c r="G470" i="5"/>
  <c r="G471" i="5"/>
  <c r="G472" i="5"/>
  <c r="G473" i="5"/>
  <c r="G474" i="5"/>
  <c r="G475" i="5"/>
  <c r="G476" i="5"/>
  <c r="G477" i="5"/>
  <c r="G478" i="5"/>
  <c r="G479" i="5"/>
  <c r="G480" i="5"/>
  <c r="G481" i="5"/>
  <c r="G482" i="5"/>
  <c r="G483" i="5"/>
  <c r="G484" i="5"/>
  <c r="G485" i="5"/>
  <c r="G486" i="5"/>
  <c r="G487" i="5"/>
  <c r="G488" i="5"/>
  <c r="G489" i="5"/>
  <c r="G490" i="5"/>
  <c r="G491" i="5"/>
  <c r="G492" i="5"/>
  <c r="G493" i="5"/>
  <c r="G494" i="5"/>
  <c r="G495" i="5"/>
  <c r="G496" i="5"/>
  <c r="G497" i="5"/>
  <c r="G498" i="5"/>
  <c r="G499" i="5"/>
  <c r="G500" i="5"/>
  <c r="G501" i="5"/>
  <c r="G502" i="5"/>
  <c r="G503" i="5"/>
  <c r="G504" i="5"/>
  <c r="G505" i="5"/>
  <c r="G506" i="5"/>
  <c r="G507" i="5"/>
  <c r="G508" i="5"/>
  <c r="G509" i="5"/>
  <c r="G510" i="5"/>
  <c r="G511" i="5"/>
  <c r="G512" i="5"/>
  <c r="G513" i="5"/>
  <c r="G514" i="5"/>
  <c r="G515" i="5"/>
  <c r="G516" i="5"/>
  <c r="G517" i="5"/>
  <c r="G518" i="5"/>
  <c r="G519" i="5"/>
  <c r="G520" i="5"/>
  <c r="G521" i="5"/>
  <c r="G522" i="5"/>
  <c r="G523" i="5"/>
  <c r="G524" i="5"/>
  <c r="G525" i="5"/>
  <c r="G526" i="5"/>
  <c r="G527" i="5"/>
  <c r="G528" i="5"/>
  <c r="G529" i="5"/>
  <c r="G530" i="5"/>
  <c r="G531" i="5"/>
  <c r="G532" i="5"/>
  <c r="G533" i="5"/>
  <c r="G534" i="5"/>
  <c r="G535" i="5"/>
  <c r="G536" i="5"/>
  <c r="G537" i="5"/>
  <c r="G538" i="5"/>
  <c r="G539" i="5"/>
  <c r="G540" i="5"/>
  <c r="G541" i="5"/>
  <c r="G542" i="5"/>
  <c r="G543" i="5"/>
  <c r="G544" i="5"/>
  <c r="G545" i="5"/>
  <c r="G546" i="5"/>
  <c r="G547" i="5"/>
  <c r="G548" i="5"/>
  <c r="G549" i="5"/>
  <c r="G550" i="5"/>
  <c r="G551" i="5"/>
  <c r="G552" i="5"/>
  <c r="G553" i="5"/>
  <c r="G554" i="5"/>
  <c r="G555" i="5"/>
  <c r="G556" i="5"/>
  <c r="G557" i="5"/>
  <c r="G558" i="5"/>
  <c r="G559" i="5"/>
  <c r="G560" i="5"/>
  <c r="G561" i="5"/>
  <c r="G562" i="5"/>
  <c r="G563" i="5"/>
  <c r="G564" i="5"/>
  <c r="G565" i="5"/>
  <c r="G566" i="5"/>
  <c r="G567" i="5"/>
  <c r="G568" i="5"/>
  <c r="G569" i="5"/>
  <c r="G570" i="5"/>
  <c r="G571" i="5"/>
  <c r="G572" i="5"/>
  <c r="G573" i="5"/>
  <c r="G574" i="5"/>
  <c r="G575" i="5"/>
  <c r="G576" i="5"/>
  <c r="G577" i="5"/>
  <c r="G578" i="5"/>
  <c r="G579" i="5"/>
  <c r="G580" i="5"/>
  <c r="G581" i="5"/>
  <c r="G582" i="5"/>
  <c r="G583" i="5"/>
  <c r="G584" i="5"/>
  <c r="G585" i="5"/>
  <c r="G586" i="5"/>
  <c r="G587" i="5"/>
  <c r="G588" i="5"/>
  <c r="G589" i="5"/>
  <c r="G590" i="5"/>
  <c r="G591" i="5"/>
  <c r="G592" i="5"/>
  <c r="G593" i="5"/>
  <c r="G594" i="5"/>
  <c r="G595" i="5"/>
  <c r="G596" i="5"/>
  <c r="G597" i="5"/>
  <c r="G598" i="5"/>
  <c r="G599" i="5"/>
  <c r="G600" i="5"/>
  <c r="G601" i="5"/>
  <c r="G602" i="5"/>
  <c r="G603" i="5"/>
  <c r="G604" i="5"/>
  <c r="G605" i="5"/>
  <c r="G606" i="5"/>
  <c r="G607" i="5"/>
  <c r="G608" i="5"/>
  <c r="G609" i="5"/>
  <c r="G610" i="5"/>
  <c r="G611" i="5"/>
  <c r="G612" i="5"/>
  <c r="G613" i="5"/>
  <c r="G614" i="5"/>
  <c r="G615" i="5"/>
  <c r="G616" i="5"/>
  <c r="G617" i="5"/>
  <c r="G618" i="5"/>
  <c r="G619" i="5"/>
  <c r="G620" i="5"/>
  <c r="G621" i="5"/>
  <c r="G622" i="5"/>
  <c r="G623" i="5"/>
  <c r="G624" i="5"/>
  <c r="G625" i="5"/>
  <c r="G626" i="5"/>
  <c r="G627" i="5"/>
  <c r="G628" i="5"/>
  <c r="G629" i="5"/>
  <c r="G630" i="5"/>
  <c r="G631" i="5"/>
  <c r="G632" i="5"/>
  <c r="G633" i="5"/>
  <c r="G634" i="5"/>
  <c r="G635" i="5"/>
  <c r="G636" i="5"/>
  <c r="G637" i="5"/>
  <c r="G638" i="5"/>
  <c r="G639" i="5"/>
  <c r="G640" i="5"/>
  <c r="G641" i="5"/>
  <c r="G642" i="5"/>
  <c r="G643" i="5"/>
  <c r="G644" i="5"/>
  <c r="G645" i="5"/>
  <c r="G646" i="5"/>
  <c r="G647" i="5"/>
  <c r="G648" i="5"/>
  <c r="G649" i="5"/>
  <c r="G650" i="5"/>
  <c r="G651" i="5"/>
  <c r="G652" i="5"/>
  <c r="G653" i="5"/>
  <c r="G654" i="5"/>
  <c r="G655" i="5"/>
  <c r="G656" i="5"/>
  <c r="G657" i="5"/>
  <c r="G658" i="5"/>
  <c r="G659" i="5"/>
  <c r="G660" i="5"/>
  <c r="G661" i="5"/>
  <c r="G662" i="5"/>
  <c r="G663" i="5"/>
  <c r="G664" i="5"/>
  <c r="G665" i="5"/>
  <c r="G666" i="5"/>
  <c r="G667" i="5"/>
  <c r="G668" i="5"/>
  <c r="G669" i="5"/>
  <c r="G670" i="5"/>
  <c r="G671" i="5"/>
  <c r="G672" i="5"/>
  <c r="G673" i="5"/>
  <c r="G674" i="5"/>
  <c r="G675" i="5"/>
  <c r="G676" i="5"/>
  <c r="G677" i="5"/>
  <c r="G678" i="5"/>
  <c r="G679" i="5"/>
  <c r="G680" i="5"/>
  <c r="G681" i="5"/>
  <c r="G682" i="5"/>
  <c r="G683" i="5"/>
  <c r="G684" i="5"/>
  <c r="G685" i="5"/>
  <c r="G686" i="5"/>
  <c r="G687" i="5"/>
  <c r="G688" i="5"/>
  <c r="G689" i="5"/>
  <c r="G690" i="5"/>
  <c r="G691" i="5"/>
  <c r="G692" i="5"/>
  <c r="G693" i="5"/>
  <c r="G694" i="5"/>
  <c r="G695" i="5"/>
  <c r="G696" i="5"/>
  <c r="G697" i="5"/>
  <c r="G698" i="5"/>
  <c r="G699" i="5"/>
  <c r="G700" i="5"/>
  <c r="G701" i="5"/>
  <c r="G702" i="5"/>
  <c r="G703" i="5"/>
  <c r="G704" i="5"/>
  <c r="G705" i="5"/>
  <c r="G706" i="5"/>
  <c r="G707" i="5"/>
  <c r="G708" i="5"/>
  <c r="G709" i="5"/>
  <c r="G710" i="5"/>
  <c r="G711" i="5"/>
  <c r="G712" i="5"/>
  <c r="G713" i="5"/>
  <c r="G714" i="5"/>
  <c r="G715" i="5"/>
  <c r="G716" i="5"/>
  <c r="G717" i="5"/>
  <c r="G718" i="5"/>
  <c r="G719" i="5"/>
  <c r="G720" i="5"/>
  <c r="G721" i="5"/>
  <c r="G722" i="5"/>
  <c r="G723" i="5"/>
  <c r="G724" i="5"/>
  <c r="G725" i="5"/>
  <c r="G726" i="5"/>
  <c r="G727" i="5"/>
  <c r="G728" i="5"/>
  <c r="G729" i="5"/>
  <c r="G730" i="5"/>
  <c r="G731" i="5"/>
  <c r="G732" i="5"/>
  <c r="G733" i="5"/>
  <c r="G734" i="5"/>
  <c r="G735" i="5"/>
  <c r="G736" i="5"/>
  <c r="G737" i="5"/>
  <c r="G738" i="5"/>
  <c r="G739" i="5"/>
  <c r="G740" i="5"/>
  <c r="G741" i="5"/>
  <c r="G742" i="5"/>
  <c r="G743" i="5"/>
  <c r="G744" i="5"/>
  <c r="G745" i="5"/>
  <c r="G746" i="5"/>
  <c r="G747" i="5"/>
  <c r="G748" i="5"/>
  <c r="G749" i="5"/>
  <c r="G750" i="5"/>
  <c r="G751" i="5"/>
  <c r="G752" i="5"/>
  <c r="G753" i="5"/>
  <c r="G754" i="5"/>
  <c r="G755" i="5"/>
  <c r="G756" i="5"/>
  <c r="G757" i="5"/>
  <c r="G758" i="5"/>
  <c r="G759" i="5"/>
  <c r="G760" i="5"/>
  <c r="G761" i="5"/>
  <c r="G762" i="5"/>
  <c r="G763" i="5"/>
  <c r="G764" i="5"/>
  <c r="G765" i="5"/>
  <c r="G766" i="5"/>
  <c r="G767" i="5"/>
  <c r="G768" i="5"/>
  <c r="G769" i="5"/>
  <c r="G770" i="5"/>
  <c r="G771" i="5"/>
  <c r="G772" i="5"/>
  <c r="G773" i="5"/>
  <c r="G774" i="5"/>
  <c r="G775" i="5"/>
  <c r="G776" i="5"/>
  <c r="G777" i="5"/>
  <c r="G778" i="5"/>
  <c r="G779" i="5"/>
  <c r="G780" i="5"/>
  <c r="G781" i="5"/>
  <c r="G782" i="5"/>
  <c r="G783" i="5"/>
  <c r="G784" i="5"/>
  <c r="G785" i="5"/>
  <c r="G786" i="5"/>
  <c r="G787" i="5"/>
  <c r="G788" i="5"/>
  <c r="G789" i="5"/>
  <c r="G790" i="5"/>
  <c r="G791" i="5"/>
  <c r="G792" i="5"/>
  <c r="G793" i="5"/>
  <c r="G794" i="5"/>
  <c r="G795" i="5"/>
  <c r="G796" i="5"/>
  <c r="G797" i="5"/>
  <c r="G798" i="5"/>
  <c r="G799" i="5"/>
  <c r="G800" i="5"/>
  <c r="G801" i="5"/>
  <c r="G802" i="5"/>
  <c r="G803" i="5"/>
  <c r="G804" i="5"/>
  <c r="G805" i="5"/>
  <c r="G806" i="5"/>
  <c r="G807" i="5"/>
  <c r="G808" i="5"/>
  <c r="G809" i="5"/>
  <c r="G810" i="5"/>
  <c r="G811" i="5"/>
  <c r="G812" i="5"/>
  <c r="G813" i="5"/>
  <c r="G814" i="5"/>
  <c r="G815" i="5"/>
  <c r="G816" i="5"/>
  <c r="G817" i="5"/>
  <c r="G818" i="5"/>
  <c r="G819" i="5"/>
  <c r="G820" i="5"/>
  <c r="G821" i="5"/>
  <c r="G822" i="5"/>
  <c r="G823" i="5"/>
  <c r="G824" i="5"/>
  <c r="G825" i="5"/>
  <c r="G826" i="5"/>
  <c r="G827" i="5"/>
  <c r="G828" i="5"/>
  <c r="G829" i="5"/>
  <c r="G830" i="5"/>
  <c r="G831" i="5"/>
  <c r="G832" i="5"/>
  <c r="G833" i="5"/>
  <c r="G834" i="5"/>
  <c r="G835" i="5"/>
  <c r="G836" i="5"/>
  <c r="G837" i="5"/>
  <c r="G838" i="5"/>
  <c r="G839" i="5"/>
  <c r="G840" i="5"/>
  <c r="G841" i="5"/>
  <c r="G842" i="5"/>
  <c r="G843" i="5"/>
  <c r="G844" i="5"/>
  <c r="G845" i="5"/>
  <c r="G846" i="5"/>
  <c r="G847" i="5"/>
  <c r="G848" i="5"/>
  <c r="G849" i="5"/>
  <c r="G850" i="5"/>
  <c r="G851" i="5"/>
  <c r="G852" i="5"/>
  <c r="G853" i="5"/>
  <c r="G854" i="5"/>
  <c r="G855" i="5"/>
  <c r="G856" i="5"/>
  <c r="G857" i="5"/>
  <c r="G858" i="5"/>
  <c r="G859" i="5"/>
  <c r="G860" i="5"/>
  <c r="G861" i="5"/>
  <c r="G862" i="5"/>
  <c r="G863" i="5"/>
  <c r="G864" i="5"/>
  <c r="G865" i="5"/>
  <c r="G866" i="5"/>
  <c r="G867" i="5"/>
  <c r="G868" i="5"/>
  <c r="G869" i="5"/>
  <c r="G870" i="5"/>
  <c r="G871" i="5"/>
  <c r="G872" i="5"/>
  <c r="G873" i="5"/>
  <c r="G874" i="5"/>
  <c r="G875" i="5"/>
  <c r="G876" i="5"/>
  <c r="G877" i="5"/>
  <c r="G878" i="5"/>
  <c r="G879" i="5"/>
  <c r="G880" i="5"/>
  <c r="G881" i="5"/>
  <c r="G882" i="5"/>
  <c r="G883" i="5"/>
  <c r="G884" i="5"/>
  <c r="G885" i="5"/>
  <c r="G886" i="5"/>
  <c r="G887" i="5"/>
  <c r="G888" i="5"/>
  <c r="G889" i="5"/>
  <c r="G890" i="5"/>
  <c r="G891" i="5"/>
  <c r="G892" i="5"/>
  <c r="G893" i="5"/>
  <c r="G894" i="5"/>
  <c r="G895" i="5"/>
  <c r="G896" i="5"/>
  <c r="G897" i="5"/>
  <c r="G898" i="5"/>
  <c r="G899" i="5"/>
  <c r="G900" i="5"/>
  <c r="G901" i="5"/>
  <c r="G902" i="5"/>
  <c r="G903" i="5"/>
  <c r="G904" i="5"/>
  <c r="G905" i="5"/>
  <c r="G906" i="5"/>
  <c r="G907" i="5"/>
  <c r="G908" i="5"/>
  <c r="G909" i="5"/>
  <c r="G910" i="5"/>
  <c r="G911" i="5"/>
  <c r="G912" i="5"/>
  <c r="G913" i="5"/>
  <c r="G914" i="5"/>
  <c r="G915" i="5"/>
  <c r="G916" i="5"/>
  <c r="G917" i="5"/>
  <c r="G918" i="5"/>
  <c r="G919" i="5"/>
  <c r="G920" i="5"/>
  <c r="G921" i="5"/>
  <c r="G922" i="5"/>
  <c r="G923" i="5"/>
  <c r="G924" i="5"/>
  <c r="G925" i="5"/>
  <c r="G926" i="5"/>
  <c r="G927" i="5"/>
  <c r="G928" i="5"/>
  <c r="G929" i="5"/>
  <c r="G930" i="5"/>
  <c r="G931" i="5"/>
  <c r="G932" i="5"/>
  <c r="G933" i="5"/>
  <c r="G934" i="5"/>
  <c r="G935" i="5"/>
  <c r="G936" i="5"/>
  <c r="G937" i="5"/>
  <c r="G938" i="5"/>
  <c r="G939" i="5"/>
  <c r="G940" i="5"/>
  <c r="G941" i="5"/>
  <c r="G942" i="5"/>
  <c r="G943" i="5"/>
  <c r="G944" i="5"/>
  <c r="G945" i="5"/>
  <c r="G946" i="5"/>
  <c r="G947" i="5"/>
  <c r="G948" i="5"/>
  <c r="G949" i="5"/>
  <c r="G950" i="5"/>
  <c r="G951" i="5"/>
  <c r="G952" i="5"/>
  <c r="G953" i="5"/>
  <c r="G954" i="5"/>
  <c r="G955" i="5"/>
  <c r="G956" i="5"/>
  <c r="G957" i="5"/>
  <c r="G958" i="5"/>
  <c r="G959" i="5"/>
  <c r="G960" i="5"/>
  <c r="G961" i="5"/>
  <c r="G962" i="5"/>
  <c r="G963" i="5"/>
  <c r="G964" i="5"/>
  <c r="G965" i="5"/>
  <c r="G966" i="5"/>
  <c r="G967" i="5"/>
  <c r="G968" i="5"/>
  <c r="G969" i="5"/>
  <c r="G970" i="5"/>
  <c r="G971" i="5"/>
  <c r="G972" i="5"/>
  <c r="G973" i="5"/>
  <c r="G974" i="5"/>
  <c r="G975" i="5"/>
  <c r="G976" i="5"/>
  <c r="G977" i="5"/>
  <c r="G978" i="5"/>
  <c r="G979" i="5"/>
  <c r="G980" i="5"/>
  <c r="G981" i="5"/>
  <c r="G982" i="5"/>
  <c r="G983" i="5"/>
  <c r="G984" i="5"/>
  <c r="G985" i="5"/>
  <c r="G986" i="5"/>
  <c r="G987" i="5"/>
  <c r="G988" i="5"/>
  <c r="G989" i="5"/>
  <c r="G990" i="5"/>
  <c r="G991" i="5"/>
  <c r="G992" i="5"/>
  <c r="G993" i="5"/>
  <c r="G994" i="5"/>
  <c r="G995" i="5"/>
  <c r="G996" i="5"/>
  <c r="G997" i="5"/>
  <c r="G998" i="5"/>
  <c r="G999" i="5"/>
  <c r="G1000" i="5"/>
  <c r="G1001" i="5"/>
  <c r="G1002" i="5"/>
  <c r="G1003" i="5"/>
  <c r="G1004" i="5"/>
  <c r="G1005" i="5"/>
  <c r="G1006" i="5"/>
  <c r="G1007" i="5"/>
  <c r="G1008" i="5"/>
  <c r="G1009" i="5"/>
  <c r="G1010" i="5"/>
  <c r="G1011" i="5"/>
  <c r="G1012" i="5"/>
  <c r="G1013" i="5"/>
  <c r="G1014" i="5"/>
  <c r="G1015" i="5"/>
  <c r="G1016" i="5"/>
  <c r="G1017" i="5"/>
  <c r="G1018" i="5"/>
  <c r="G1019" i="5"/>
  <c r="G1020" i="5"/>
  <c r="G1021" i="5"/>
  <c r="G1022" i="5"/>
  <c r="G1023" i="5"/>
  <c r="G1024" i="5"/>
  <c r="G1025" i="5"/>
  <c r="G1026" i="5"/>
  <c r="G1027" i="5"/>
  <c r="G1028" i="5"/>
  <c r="G1029" i="5"/>
  <c r="G1030" i="5"/>
  <c r="G1031" i="5"/>
  <c r="G1032" i="5"/>
  <c r="G1033" i="5"/>
  <c r="G1034" i="5"/>
  <c r="G1035" i="5"/>
  <c r="G1036" i="5"/>
  <c r="G1037" i="5"/>
  <c r="G1038" i="5"/>
  <c r="G1039" i="5"/>
  <c r="G1040" i="5"/>
  <c r="G1041" i="5"/>
  <c r="G1042" i="5"/>
  <c r="G1043" i="5"/>
  <c r="G1044" i="5"/>
  <c r="G1045" i="5"/>
  <c r="G1046" i="5"/>
  <c r="G1047" i="5"/>
  <c r="G1048" i="5"/>
  <c r="G1049" i="5"/>
  <c r="G1050" i="5"/>
  <c r="G1051" i="5"/>
  <c r="G1052" i="5"/>
  <c r="G1053" i="5"/>
  <c r="G1054" i="5"/>
  <c r="G1055" i="5"/>
  <c r="G1056" i="5"/>
  <c r="G1057" i="5"/>
  <c r="G1058" i="5"/>
  <c r="G1059" i="5"/>
  <c r="G1060" i="5"/>
  <c r="G1061" i="5"/>
  <c r="G1062" i="5"/>
  <c r="G1063" i="5"/>
  <c r="G1064" i="5"/>
  <c r="G1065" i="5"/>
  <c r="G1066" i="5"/>
  <c r="G1067" i="5"/>
  <c r="G1068" i="5"/>
  <c r="G1069" i="5"/>
  <c r="G1070" i="5"/>
  <c r="B1" i="9"/>
  <c r="A1" i="9"/>
  <c r="E2" i="5"/>
  <c r="D2" i="9" s="1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E805" i="5"/>
  <c r="E806" i="5"/>
  <c r="E807" i="5"/>
  <c r="E808" i="5"/>
  <c r="E809" i="5"/>
  <c r="E810" i="5"/>
  <c r="E811" i="5"/>
  <c r="E812" i="5"/>
  <c r="E813" i="5"/>
  <c r="E814" i="5"/>
  <c r="E815" i="5"/>
  <c r="E816" i="5"/>
  <c r="E817" i="5"/>
  <c r="E818" i="5"/>
  <c r="E819" i="5"/>
  <c r="E820" i="5"/>
  <c r="E821" i="5"/>
  <c r="E822" i="5"/>
  <c r="E823" i="5"/>
  <c r="E824" i="5"/>
  <c r="E825" i="5"/>
  <c r="E826" i="5"/>
  <c r="E827" i="5"/>
  <c r="E828" i="5"/>
  <c r="E829" i="5"/>
  <c r="E830" i="5"/>
  <c r="E831" i="5"/>
  <c r="E832" i="5"/>
  <c r="E833" i="5"/>
  <c r="E834" i="5"/>
  <c r="E835" i="5"/>
  <c r="E836" i="5"/>
  <c r="E837" i="5"/>
  <c r="E838" i="5"/>
  <c r="E839" i="5"/>
  <c r="E840" i="5"/>
  <c r="E841" i="5"/>
  <c r="E842" i="5"/>
  <c r="E843" i="5"/>
  <c r="E844" i="5"/>
  <c r="E845" i="5"/>
  <c r="E846" i="5"/>
  <c r="E847" i="5"/>
  <c r="E848" i="5"/>
  <c r="E849" i="5"/>
  <c r="E850" i="5"/>
  <c r="E851" i="5"/>
  <c r="E852" i="5"/>
  <c r="E853" i="5"/>
  <c r="E854" i="5"/>
  <c r="E855" i="5"/>
  <c r="E856" i="5"/>
  <c r="E857" i="5"/>
  <c r="E858" i="5"/>
  <c r="E859" i="5"/>
  <c r="E860" i="5"/>
  <c r="E861" i="5"/>
  <c r="E862" i="5"/>
  <c r="E863" i="5"/>
  <c r="E864" i="5"/>
  <c r="E865" i="5"/>
  <c r="E866" i="5"/>
  <c r="E867" i="5"/>
  <c r="E868" i="5"/>
  <c r="E869" i="5"/>
  <c r="E870" i="5"/>
  <c r="E871" i="5"/>
  <c r="E872" i="5"/>
  <c r="E873" i="5"/>
  <c r="E874" i="5"/>
  <c r="E875" i="5"/>
  <c r="E876" i="5"/>
  <c r="E877" i="5"/>
  <c r="E878" i="5"/>
  <c r="E879" i="5"/>
  <c r="E880" i="5"/>
  <c r="E881" i="5"/>
  <c r="E882" i="5"/>
  <c r="E883" i="5"/>
  <c r="E884" i="5"/>
  <c r="E885" i="5"/>
  <c r="E886" i="5"/>
  <c r="E887" i="5"/>
  <c r="E888" i="5"/>
  <c r="E889" i="5"/>
  <c r="E890" i="5"/>
  <c r="E891" i="5"/>
  <c r="E892" i="5"/>
  <c r="E893" i="5"/>
  <c r="E894" i="5"/>
  <c r="E895" i="5"/>
  <c r="E896" i="5"/>
  <c r="E897" i="5"/>
  <c r="E898" i="5"/>
  <c r="E899" i="5"/>
  <c r="E900" i="5"/>
  <c r="E901" i="5"/>
  <c r="E902" i="5"/>
  <c r="E903" i="5"/>
  <c r="E904" i="5"/>
  <c r="E905" i="5"/>
  <c r="E906" i="5"/>
  <c r="E907" i="5"/>
  <c r="E908" i="5"/>
  <c r="E909" i="5"/>
  <c r="E910" i="5"/>
  <c r="E911" i="5"/>
  <c r="E912" i="5"/>
  <c r="E913" i="5"/>
  <c r="E914" i="5"/>
  <c r="E915" i="5"/>
  <c r="E916" i="5"/>
  <c r="E917" i="5"/>
  <c r="E918" i="5"/>
  <c r="E919" i="5"/>
  <c r="E920" i="5"/>
  <c r="E921" i="5"/>
  <c r="E922" i="5"/>
  <c r="E923" i="5"/>
  <c r="E924" i="5"/>
  <c r="E925" i="5"/>
  <c r="E926" i="5"/>
  <c r="E927" i="5"/>
  <c r="E928" i="5"/>
  <c r="E929" i="5"/>
  <c r="E930" i="5"/>
  <c r="E931" i="5"/>
  <c r="E932" i="5"/>
  <c r="E933" i="5"/>
  <c r="E934" i="5"/>
  <c r="E935" i="5"/>
  <c r="E936" i="5"/>
  <c r="E937" i="5"/>
  <c r="E938" i="5"/>
  <c r="E939" i="5"/>
  <c r="E940" i="5"/>
  <c r="E941" i="5"/>
  <c r="E942" i="5"/>
  <c r="E943" i="5"/>
  <c r="E944" i="5"/>
  <c r="E945" i="5"/>
  <c r="E946" i="5"/>
  <c r="E947" i="5"/>
  <c r="E948" i="5"/>
  <c r="E949" i="5"/>
  <c r="E950" i="5"/>
  <c r="E951" i="5"/>
  <c r="E952" i="5"/>
  <c r="E953" i="5"/>
  <c r="E954" i="5"/>
  <c r="E955" i="5"/>
  <c r="E956" i="5"/>
  <c r="E957" i="5"/>
  <c r="E958" i="5"/>
  <c r="E959" i="5"/>
  <c r="E960" i="5"/>
  <c r="E961" i="5"/>
  <c r="E962" i="5"/>
  <c r="E963" i="5"/>
  <c r="E964" i="5"/>
  <c r="E965" i="5"/>
  <c r="E966" i="5"/>
  <c r="E967" i="5"/>
  <c r="E968" i="5"/>
  <c r="E969" i="5"/>
  <c r="E970" i="5"/>
  <c r="E971" i="5"/>
  <c r="E972" i="5"/>
  <c r="E973" i="5"/>
  <c r="E974" i="5"/>
  <c r="E975" i="5"/>
  <c r="E976" i="5"/>
  <c r="E977" i="5"/>
  <c r="E978" i="5"/>
  <c r="E979" i="5"/>
  <c r="E980" i="5"/>
  <c r="E981" i="5"/>
  <c r="E982" i="5"/>
  <c r="E983" i="5"/>
  <c r="E984" i="5"/>
  <c r="E985" i="5"/>
  <c r="E986" i="5"/>
  <c r="E987" i="5"/>
  <c r="E988" i="5"/>
  <c r="E989" i="5"/>
  <c r="E990" i="5"/>
  <c r="E991" i="5"/>
  <c r="E992" i="5"/>
  <c r="E993" i="5"/>
  <c r="E994" i="5"/>
  <c r="E995" i="5"/>
  <c r="E996" i="5"/>
  <c r="E997" i="5"/>
  <c r="E998" i="5"/>
  <c r="E999" i="5"/>
  <c r="E1000" i="5"/>
  <c r="E1001" i="5"/>
  <c r="E1002" i="5"/>
  <c r="E1003" i="5"/>
  <c r="E1004" i="5"/>
  <c r="E1005" i="5"/>
  <c r="E1006" i="5"/>
  <c r="E1007" i="5"/>
  <c r="E1008" i="5"/>
  <c r="E1009" i="5"/>
  <c r="E1010" i="5"/>
  <c r="E1011" i="5"/>
  <c r="E1012" i="5"/>
  <c r="E1013" i="5"/>
  <c r="E1014" i="5"/>
  <c r="E1015" i="5"/>
  <c r="E1016" i="5"/>
  <c r="E1017" i="5"/>
  <c r="E1018" i="5"/>
  <c r="E1019" i="5"/>
  <c r="E1020" i="5"/>
  <c r="E1021" i="5"/>
  <c r="E1022" i="5"/>
  <c r="E1023" i="5"/>
  <c r="E1024" i="5"/>
  <c r="E1025" i="5"/>
  <c r="E1026" i="5"/>
  <c r="E1027" i="5"/>
  <c r="E1028" i="5"/>
  <c r="E1029" i="5"/>
  <c r="E1030" i="5"/>
  <c r="E1031" i="5"/>
  <c r="E1032" i="5"/>
  <c r="E1033" i="5"/>
  <c r="E1034" i="5"/>
  <c r="E1035" i="5"/>
  <c r="E1036" i="5"/>
  <c r="E1037" i="5"/>
  <c r="E1038" i="5"/>
  <c r="E1039" i="5"/>
  <c r="E1040" i="5"/>
  <c r="E1041" i="5"/>
  <c r="E1042" i="5"/>
  <c r="E1043" i="5"/>
  <c r="E1044" i="5"/>
  <c r="E1045" i="5"/>
  <c r="E1046" i="5"/>
  <c r="E1047" i="5"/>
  <c r="E1048" i="5"/>
  <c r="E1049" i="5"/>
  <c r="E1050" i="5"/>
  <c r="E1051" i="5"/>
  <c r="E1052" i="5"/>
  <c r="E1053" i="5"/>
  <c r="E1054" i="5"/>
  <c r="E1055" i="5"/>
  <c r="E1056" i="5"/>
  <c r="E1057" i="5"/>
  <c r="E1058" i="5"/>
  <c r="E1059" i="5"/>
  <c r="E1060" i="5"/>
  <c r="E1061" i="5"/>
  <c r="E1062" i="5"/>
  <c r="E1063" i="5"/>
  <c r="E1064" i="5"/>
  <c r="E1065" i="5"/>
  <c r="E1066" i="5"/>
  <c r="E1067" i="5"/>
  <c r="E1068" i="5"/>
  <c r="E1069" i="5"/>
  <c r="E1070" i="5"/>
  <c r="D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805" i="5"/>
  <c r="D806" i="5"/>
  <c r="D807" i="5"/>
  <c r="D808" i="5"/>
  <c r="D809" i="5"/>
  <c r="D810" i="5"/>
  <c r="D811" i="5"/>
  <c r="D812" i="5"/>
  <c r="D813" i="5"/>
  <c r="D814" i="5"/>
  <c r="D815" i="5"/>
  <c r="D816" i="5"/>
  <c r="D817" i="5"/>
  <c r="D818" i="5"/>
  <c r="D819" i="5"/>
  <c r="D820" i="5"/>
  <c r="D821" i="5"/>
  <c r="D822" i="5"/>
  <c r="D823" i="5"/>
  <c r="D824" i="5"/>
  <c r="D825" i="5"/>
  <c r="D826" i="5"/>
  <c r="D827" i="5"/>
  <c r="D828" i="5"/>
  <c r="D829" i="5"/>
  <c r="D830" i="5"/>
  <c r="D831" i="5"/>
  <c r="D832" i="5"/>
  <c r="D833" i="5"/>
  <c r="D834" i="5"/>
  <c r="D835" i="5"/>
  <c r="D836" i="5"/>
  <c r="D837" i="5"/>
  <c r="D838" i="5"/>
  <c r="D839" i="5"/>
  <c r="D840" i="5"/>
  <c r="D841" i="5"/>
  <c r="D842" i="5"/>
  <c r="D843" i="5"/>
  <c r="D844" i="5"/>
  <c r="D845" i="5"/>
  <c r="D846" i="5"/>
  <c r="D847" i="5"/>
  <c r="D848" i="5"/>
  <c r="D849" i="5"/>
  <c r="D850" i="5"/>
  <c r="D851" i="5"/>
  <c r="D852" i="5"/>
  <c r="D853" i="5"/>
  <c r="D854" i="5"/>
  <c r="D855" i="5"/>
  <c r="D856" i="5"/>
  <c r="D857" i="5"/>
  <c r="D858" i="5"/>
  <c r="D859" i="5"/>
  <c r="D860" i="5"/>
  <c r="D861" i="5"/>
  <c r="D862" i="5"/>
  <c r="D863" i="5"/>
  <c r="D864" i="5"/>
  <c r="D865" i="5"/>
  <c r="D866" i="5"/>
  <c r="D867" i="5"/>
  <c r="D868" i="5"/>
  <c r="D869" i="5"/>
  <c r="D870" i="5"/>
  <c r="D871" i="5"/>
  <c r="D872" i="5"/>
  <c r="D873" i="5"/>
  <c r="D874" i="5"/>
  <c r="D875" i="5"/>
  <c r="D876" i="5"/>
  <c r="D877" i="5"/>
  <c r="D878" i="5"/>
  <c r="D879" i="5"/>
  <c r="D880" i="5"/>
  <c r="D881" i="5"/>
  <c r="D882" i="5"/>
  <c r="D883" i="5"/>
  <c r="D884" i="5"/>
  <c r="D885" i="5"/>
  <c r="D886" i="5"/>
  <c r="D887" i="5"/>
  <c r="D888" i="5"/>
  <c r="D889" i="5"/>
  <c r="D890" i="5"/>
  <c r="D891" i="5"/>
  <c r="D892" i="5"/>
  <c r="D893" i="5"/>
  <c r="D894" i="5"/>
  <c r="D895" i="5"/>
  <c r="D896" i="5"/>
  <c r="D897" i="5"/>
  <c r="D898" i="5"/>
  <c r="D899" i="5"/>
  <c r="D900" i="5"/>
  <c r="D901" i="5"/>
  <c r="D902" i="5"/>
  <c r="D903" i="5"/>
  <c r="D904" i="5"/>
  <c r="D905" i="5"/>
  <c r="D906" i="5"/>
  <c r="D907" i="5"/>
  <c r="D908" i="5"/>
  <c r="D909" i="5"/>
  <c r="D910" i="5"/>
  <c r="D911" i="5"/>
  <c r="D912" i="5"/>
  <c r="D913" i="5"/>
  <c r="D914" i="5"/>
  <c r="D915" i="5"/>
  <c r="D916" i="5"/>
  <c r="D917" i="5"/>
  <c r="D918" i="5"/>
  <c r="D919" i="5"/>
  <c r="D920" i="5"/>
  <c r="D921" i="5"/>
  <c r="D922" i="5"/>
  <c r="D923" i="5"/>
  <c r="D924" i="5"/>
  <c r="D925" i="5"/>
  <c r="D926" i="5"/>
  <c r="D927" i="5"/>
  <c r="D928" i="5"/>
  <c r="D929" i="5"/>
  <c r="D930" i="5"/>
  <c r="D931" i="5"/>
  <c r="D932" i="5"/>
  <c r="D933" i="5"/>
  <c r="D934" i="5"/>
  <c r="D935" i="5"/>
  <c r="D936" i="5"/>
  <c r="D937" i="5"/>
  <c r="D938" i="5"/>
  <c r="D939" i="5"/>
  <c r="D940" i="5"/>
  <c r="D941" i="5"/>
  <c r="D942" i="5"/>
  <c r="D943" i="5"/>
  <c r="D944" i="5"/>
  <c r="D945" i="5"/>
  <c r="D946" i="5"/>
  <c r="D947" i="5"/>
  <c r="D948" i="5"/>
  <c r="D949" i="5"/>
  <c r="D950" i="5"/>
  <c r="D951" i="5"/>
  <c r="D952" i="5"/>
  <c r="D953" i="5"/>
  <c r="D954" i="5"/>
  <c r="D955" i="5"/>
  <c r="D956" i="5"/>
  <c r="D957" i="5"/>
  <c r="D958" i="5"/>
  <c r="D959" i="5"/>
  <c r="D960" i="5"/>
  <c r="D961" i="5"/>
  <c r="D962" i="5"/>
  <c r="D963" i="5"/>
  <c r="D964" i="5"/>
  <c r="D965" i="5"/>
  <c r="D966" i="5"/>
  <c r="D967" i="5"/>
  <c r="D968" i="5"/>
  <c r="D969" i="5"/>
  <c r="D970" i="5"/>
  <c r="D971" i="5"/>
  <c r="D972" i="5"/>
  <c r="D973" i="5"/>
  <c r="D974" i="5"/>
  <c r="D975" i="5"/>
  <c r="D976" i="5"/>
  <c r="D977" i="5"/>
  <c r="D978" i="5"/>
  <c r="D979" i="5"/>
  <c r="D980" i="5"/>
  <c r="D981" i="5"/>
  <c r="D982" i="5"/>
  <c r="D983" i="5"/>
  <c r="D984" i="5"/>
  <c r="D985" i="5"/>
  <c r="D986" i="5"/>
  <c r="D987" i="5"/>
  <c r="D988" i="5"/>
  <c r="D989" i="5"/>
  <c r="D990" i="5"/>
  <c r="D991" i="5"/>
  <c r="D992" i="5"/>
  <c r="D993" i="5"/>
  <c r="D994" i="5"/>
  <c r="D995" i="5"/>
  <c r="D996" i="5"/>
  <c r="D997" i="5"/>
  <c r="D998" i="5"/>
  <c r="D999" i="5"/>
  <c r="D1000" i="5"/>
  <c r="D1001" i="5"/>
  <c r="D1002" i="5"/>
  <c r="D1003" i="5"/>
  <c r="D1004" i="5"/>
  <c r="D1005" i="5"/>
  <c r="D1006" i="5"/>
  <c r="D1007" i="5"/>
  <c r="D1008" i="5"/>
  <c r="D1009" i="5"/>
  <c r="D1010" i="5"/>
  <c r="D1011" i="5"/>
  <c r="D1012" i="5"/>
  <c r="D1013" i="5"/>
  <c r="D1014" i="5"/>
  <c r="D1015" i="5"/>
  <c r="D1016" i="5"/>
  <c r="D1017" i="5"/>
  <c r="D1018" i="5"/>
  <c r="D1019" i="5"/>
  <c r="D1020" i="5"/>
  <c r="D1021" i="5"/>
  <c r="D1022" i="5"/>
  <c r="D1023" i="5"/>
  <c r="D1024" i="5"/>
  <c r="D1025" i="5"/>
  <c r="D1026" i="5"/>
  <c r="D1027" i="5"/>
  <c r="D1028" i="5"/>
  <c r="D1029" i="5"/>
  <c r="D1030" i="5"/>
  <c r="D1031" i="5"/>
  <c r="D1032" i="5"/>
  <c r="D1033" i="5"/>
  <c r="D1034" i="5"/>
  <c r="D1035" i="5"/>
  <c r="D1036" i="5"/>
  <c r="D1037" i="5"/>
  <c r="D1038" i="5"/>
  <c r="D1039" i="5"/>
  <c r="D1040" i="5"/>
  <c r="D1041" i="5"/>
  <c r="D1042" i="5"/>
  <c r="D1043" i="5"/>
  <c r="D1044" i="5"/>
  <c r="D1045" i="5"/>
  <c r="D1046" i="5"/>
  <c r="D1047" i="5"/>
  <c r="D1048" i="5"/>
  <c r="D1049" i="5"/>
  <c r="D1050" i="5"/>
  <c r="D1051" i="5"/>
  <c r="D1052" i="5"/>
  <c r="D1053" i="5"/>
  <c r="D1054" i="5"/>
  <c r="D1055" i="5"/>
  <c r="D1056" i="5"/>
  <c r="D1057" i="5"/>
  <c r="D1058" i="5"/>
  <c r="D1059" i="5"/>
  <c r="D1060" i="5"/>
  <c r="D1061" i="5"/>
  <c r="D1062" i="5"/>
  <c r="D1063" i="5"/>
  <c r="D1064" i="5"/>
  <c r="D1065" i="5"/>
  <c r="D1066" i="5"/>
  <c r="D1067" i="5"/>
  <c r="D1068" i="5"/>
  <c r="D1069" i="5"/>
  <c r="D1070" i="5"/>
  <c r="C2" i="5"/>
  <c r="C2" i="9" s="1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805" i="5"/>
  <c r="C806" i="5"/>
  <c r="C807" i="5"/>
  <c r="C808" i="5"/>
  <c r="C809" i="5"/>
  <c r="C810" i="5"/>
  <c r="C811" i="5"/>
  <c r="C812" i="5"/>
  <c r="C813" i="5"/>
  <c r="C814" i="5"/>
  <c r="C815" i="5"/>
  <c r="C816" i="5"/>
  <c r="C817" i="5"/>
  <c r="C818" i="5"/>
  <c r="C819" i="5"/>
  <c r="C820" i="5"/>
  <c r="C821" i="5"/>
  <c r="C822" i="5"/>
  <c r="C823" i="5"/>
  <c r="C824" i="5"/>
  <c r="C825" i="5"/>
  <c r="C826" i="5"/>
  <c r="C827" i="5"/>
  <c r="C828" i="5"/>
  <c r="C829" i="5"/>
  <c r="C830" i="5"/>
  <c r="C831" i="5"/>
  <c r="C832" i="5"/>
  <c r="C833" i="5"/>
  <c r="C834" i="5"/>
  <c r="C835" i="5"/>
  <c r="C836" i="5"/>
  <c r="C837" i="5"/>
  <c r="C838" i="5"/>
  <c r="C839" i="5"/>
  <c r="C840" i="5"/>
  <c r="C841" i="5"/>
  <c r="C842" i="5"/>
  <c r="C843" i="5"/>
  <c r="C844" i="5"/>
  <c r="C845" i="5"/>
  <c r="C846" i="5"/>
  <c r="C847" i="5"/>
  <c r="C848" i="5"/>
  <c r="C849" i="5"/>
  <c r="C850" i="5"/>
  <c r="C851" i="5"/>
  <c r="C852" i="5"/>
  <c r="C853" i="5"/>
  <c r="C854" i="5"/>
  <c r="C855" i="5"/>
  <c r="C856" i="5"/>
  <c r="C857" i="5"/>
  <c r="C858" i="5"/>
  <c r="C859" i="5"/>
  <c r="C860" i="5"/>
  <c r="C861" i="5"/>
  <c r="C862" i="5"/>
  <c r="C863" i="5"/>
  <c r="C864" i="5"/>
  <c r="C865" i="5"/>
  <c r="C866" i="5"/>
  <c r="C867" i="5"/>
  <c r="C868" i="5"/>
  <c r="C869" i="5"/>
  <c r="C870" i="5"/>
  <c r="C871" i="5"/>
  <c r="C872" i="5"/>
  <c r="C873" i="5"/>
  <c r="C874" i="5"/>
  <c r="C875" i="5"/>
  <c r="C876" i="5"/>
  <c r="C877" i="5"/>
  <c r="C878" i="5"/>
  <c r="C879" i="5"/>
  <c r="C880" i="5"/>
  <c r="C881" i="5"/>
  <c r="C882" i="5"/>
  <c r="C883" i="5"/>
  <c r="C884" i="5"/>
  <c r="C885" i="5"/>
  <c r="C886" i="5"/>
  <c r="C887" i="5"/>
  <c r="C888" i="5"/>
  <c r="C889" i="5"/>
  <c r="C890" i="5"/>
  <c r="C891" i="5"/>
  <c r="C892" i="5"/>
  <c r="C893" i="5"/>
  <c r="C894" i="5"/>
  <c r="C895" i="5"/>
  <c r="C896" i="5"/>
  <c r="C897" i="5"/>
  <c r="C898" i="5"/>
  <c r="C899" i="5"/>
  <c r="C900" i="5"/>
  <c r="C901" i="5"/>
  <c r="C902" i="5"/>
  <c r="C903" i="5"/>
  <c r="C904" i="5"/>
  <c r="C905" i="5"/>
  <c r="C906" i="5"/>
  <c r="C907" i="5"/>
  <c r="C908" i="5"/>
  <c r="C909" i="5"/>
  <c r="C910" i="5"/>
  <c r="C911" i="5"/>
  <c r="C912" i="5"/>
  <c r="C913" i="5"/>
  <c r="C914" i="5"/>
  <c r="C915" i="5"/>
  <c r="C916" i="5"/>
  <c r="C917" i="5"/>
  <c r="C918" i="5"/>
  <c r="C919" i="5"/>
  <c r="C920" i="5"/>
  <c r="C921" i="5"/>
  <c r="C922" i="5"/>
  <c r="C923" i="5"/>
  <c r="C924" i="5"/>
  <c r="C925" i="5"/>
  <c r="C926" i="5"/>
  <c r="C927" i="5"/>
  <c r="C928" i="5"/>
  <c r="C929" i="5"/>
  <c r="C930" i="5"/>
  <c r="C931" i="5"/>
  <c r="C932" i="5"/>
  <c r="C933" i="5"/>
  <c r="C934" i="5"/>
  <c r="C935" i="5"/>
  <c r="C936" i="5"/>
  <c r="C937" i="5"/>
  <c r="C938" i="5"/>
  <c r="C939" i="5"/>
  <c r="C940" i="5"/>
  <c r="C941" i="5"/>
  <c r="C942" i="5"/>
  <c r="C943" i="5"/>
  <c r="C944" i="5"/>
  <c r="C945" i="5"/>
  <c r="C946" i="5"/>
  <c r="C947" i="5"/>
  <c r="C948" i="5"/>
  <c r="C949" i="5"/>
  <c r="C950" i="5"/>
  <c r="C951" i="5"/>
  <c r="C952" i="5"/>
  <c r="C953" i="5"/>
  <c r="C954" i="5"/>
  <c r="C955" i="5"/>
  <c r="C956" i="5"/>
  <c r="C957" i="5"/>
  <c r="C958" i="5"/>
  <c r="C959" i="5"/>
  <c r="C960" i="5"/>
  <c r="C961" i="5"/>
  <c r="C962" i="5"/>
  <c r="C963" i="5"/>
  <c r="C964" i="5"/>
  <c r="C965" i="5"/>
  <c r="C966" i="5"/>
  <c r="C967" i="5"/>
  <c r="C968" i="5"/>
  <c r="C969" i="5"/>
  <c r="C970" i="5"/>
  <c r="C971" i="5"/>
  <c r="C972" i="5"/>
  <c r="C973" i="5"/>
  <c r="C974" i="5"/>
  <c r="C975" i="5"/>
  <c r="C976" i="5"/>
  <c r="C977" i="5"/>
  <c r="C978" i="5"/>
  <c r="C979" i="5"/>
  <c r="C980" i="5"/>
  <c r="C981" i="5"/>
  <c r="C982" i="5"/>
  <c r="C983" i="5"/>
  <c r="C984" i="5"/>
  <c r="C985" i="5"/>
  <c r="C986" i="5"/>
  <c r="C987" i="5"/>
  <c r="C988" i="5"/>
  <c r="C989" i="5"/>
  <c r="C990" i="5"/>
  <c r="C991" i="5"/>
  <c r="C992" i="5"/>
  <c r="C993" i="5"/>
  <c r="C994" i="5"/>
  <c r="C995" i="5"/>
  <c r="C996" i="5"/>
  <c r="C997" i="5"/>
  <c r="C998" i="5"/>
  <c r="C999" i="5"/>
  <c r="C1000" i="5"/>
  <c r="C1001" i="5"/>
  <c r="C1002" i="5"/>
  <c r="C1003" i="5"/>
  <c r="C1004" i="5"/>
  <c r="C1005" i="5"/>
  <c r="C1006" i="5"/>
  <c r="C1007" i="5"/>
  <c r="C1008" i="5"/>
  <c r="C1009" i="5"/>
  <c r="C1010" i="5"/>
  <c r="C1011" i="5"/>
  <c r="C1012" i="5"/>
  <c r="C1013" i="5"/>
  <c r="C1014" i="5"/>
  <c r="C1015" i="5"/>
  <c r="C1016" i="5"/>
  <c r="C1017" i="5"/>
  <c r="C1018" i="5"/>
  <c r="C1019" i="5"/>
  <c r="C1020" i="5"/>
  <c r="C1021" i="5"/>
  <c r="C1022" i="5"/>
  <c r="C1023" i="5"/>
  <c r="C1024" i="5"/>
  <c r="C1025" i="5"/>
  <c r="C1026" i="5"/>
  <c r="C1027" i="5"/>
  <c r="C1028" i="5"/>
  <c r="C1029" i="5"/>
  <c r="C1030" i="5"/>
  <c r="C1031" i="5"/>
  <c r="C1032" i="5"/>
  <c r="C1033" i="5"/>
  <c r="C1034" i="5"/>
  <c r="C1035" i="5"/>
  <c r="C1036" i="5"/>
  <c r="C1037" i="5"/>
  <c r="C1038" i="5"/>
  <c r="C1039" i="5"/>
  <c r="C1040" i="5"/>
  <c r="C1041" i="5"/>
  <c r="C1042" i="5"/>
  <c r="C1043" i="5"/>
  <c r="C1044" i="5"/>
  <c r="C1045" i="5"/>
  <c r="C1046" i="5"/>
  <c r="C1047" i="5"/>
  <c r="C1048" i="5"/>
  <c r="C1049" i="5"/>
  <c r="C1050" i="5"/>
  <c r="C1051" i="5"/>
  <c r="C1052" i="5"/>
  <c r="C1053" i="5"/>
  <c r="C1054" i="5"/>
  <c r="C1055" i="5"/>
  <c r="C1056" i="5"/>
  <c r="C1057" i="5"/>
  <c r="C1058" i="5"/>
  <c r="C1059" i="5"/>
  <c r="C1060" i="5"/>
  <c r="C1061" i="5"/>
  <c r="C1062" i="5"/>
  <c r="C1063" i="5"/>
  <c r="C1064" i="5"/>
  <c r="C1065" i="5"/>
  <c r="C1066" i="5"/>
  <c r="C1067" i="5"/>
  <c r="C1068" i="5"/>
  <c r="C1069" i="5"/>
  <c r="C1070" i="5"/>
  <c r="H1053" i="6" l="1"/>
  <c r="I1053" i="6" s="1"/>
  <c r="G1053" i="6"/>
  <c r="G1005" i="6"/>
  <c r="H1005" i="6" s="1"/>
  <c r="I1005" i="6" s="1"/>
  <c r="G925" i="6"/>
  <c r="H925" i="6"/>
  <c r="I925" i="6" s="1"/>
  <c r="H893" i="6"/>
  <c r="I893" i="6" s="1"/>
  <c r="G893" i="6"/>
  <c r="H717" i="6"/>
  <c r="I717" i="6" s="1"/>
  <c r="G717" i="6"/>
  <c r="H549" i="6"/>
  <c r="I549" i="6" s="1"/>
  <c r="G549" i="6"/>
  <c r="G509" i="6"/>
  <c r="H509" i="6" s="1"/>
  <c r="I509" i="6" s="1"/>
  <c r="H469" i="6"/>
  <c r="I469" i="6" s="1"/>
  <c r="G469" i="6"/>
  <c r="G421" i="6"/>
  <c r="H421" i="6"/>
  <c r="I421" i="6" s="1"/>
  <c r="H365" i="6"/>
  <c r="I365" i="6" s="1"/>
  <c r="G365" i="6"/>
  <c r="G309" i="6"/>
  <c r="H309" i="6" s="1"/>
  <c r="I309" i="6" s="1"/>
  <c r="H277" i="6"/>
  <c r="I277" i="6" s="1"/>
  <c r="G277" i="6"/>
  <c r="G229" i="6"/>
  <c r="H229" i="6" s="1"/>
  <c r="I229" i="6" s="1"/>
  <c r="H197" i="6"/>
  <c r="I197" i="6" s="1"/>
  <c r="G197" i="6"/>
  <c r="G173" i="6"/>
  <c r="H173" i="6" s="1"/>
  <c r="I173" i="6" s="1"/>
  <c r="H149" i="6"/>
  <c r="I149" i="6" s="1"/>
  <c r="G149" i="6"/>
  <c r="G125" i="6"/>
  <c r="H125" i="6" s="1"/>
  <c r="I125" i="6" s="1"/>
  <c r="H109" i="6"/>
  <c r="I109" i="6" s="1"/>
  <c r="G109" i="6"/>
  <c r="G93" i="6"/>
  <c r="H93" i="6" s="1"/>
  <c r="I93" i="6" s="1"/>
  <c r="H69" i="6"/>
  <c r="I69" i="6" s="1"/>
  <c r="G69" i="6"/>
  <c r="G53" i="6"/>
  <c r="H53" i="6" s="1"/>
  <c r="I53" i="6" s="1"/>
  <c r="H29" i="6"/>
  <c r="I29" i="6" s="1"/>
  <c r="G29" i="6"/>
  <c r="G21" i="6"/>
  <c r="H21" i="6" s="1"/>
  <c r="I21" i="6" s="1"/>
  <c r="H5" i="6"/>
  <c r="I5" i="6" s="1"/>
  <c r="G5" i="6"/>
  <c r="G1068" i="6"/>
  <c r="H1068" i="6" s="1"/>
  <c r="I1068" i="6" s="1"/>
  <c r="H1060" i="6"/>
  <c r="I1060" i="6" s="1"/>
  <c r="G1060" i="6"/>
  <c r="G1052" i="6"/>
  <c r="H1052" i="6" s="1"/>
  <c r="I1052" i="6" s="1"/>
  <c r="H1044" i="6"/>
  <c r="I1044" i="6" s="1"/>
  <c r="G1044" i="6"/>
  <c r="G1036" i="6"/>
  <c r="H1036" i="6"/>
  <c r="I1036" i="6" s="1"/>
  <c r="H1028" i="6"/>
  <c r="I1028" i="6" s="1"/>
  <c r="G1028" i="6"/>
  <c r="H1020" i="6"/>
  <c r="I1020" i="6" s="1"/>
  <c r="G1020" i="6"/>
  <c r="H1012" i="6"/>
  <c r="I1012" i="6" s="1"/>
  <c r="G1012" i="6"/>
  <c r="G1004" i="6"/>
  <c r="H1004" i="6" s="1"/>
  <c r="I1004" i="6" s="1"/>
  <c r="H996" i="6"/>
  <c r="I996" i="6" s="1"/>
  <c r="G996" i="6"/>
  <c r="H988" i="6"/>
  <c r="I988" i="6" s="1"/>
  <c r="G988" i="6"/>
  <c r="H980" i="6"/>
  <c r="I980" i="6" s="1"/>
  <c r="G980" i="6"/>
  <c r="G972" i="6"/>
  <c r="H972" i="6"/>
  <c r="I972" i="6" s="1"/>
  <c r="H964" i="6"/>
  <c r="I964" i="6" s="1"/>
  <c r="G964" i="6"/>
  <c r="H956" i="6"/>
  <c r="I956" i="6" s="1"/>
  <c r="G956" i="6"/>
  <c r="H948" i="6"/>
  <c r="I948" i="6" s="1"/>
  <c r="G948" i="6"/>
  <c r="G940" i="6"/>
  <c r="H940" i="6" s="1"/>
  <c r="I940" i="6" s="1"/>
  <c r="H932" i="6"/>
  <c r="I932" i="6" s="1"/>
  <c r="G932" i="6"/>
  <c r="H924" i="6"/>
  <c r="I924" i="6" s="1"/>
  <c r="G924" i="6"/>
  <c r="H916" i="6"/>
  <c r="I916" i="6" s="1"/>
  <c r="G916" i="6"/>
  <c r="G908" i="6"/>
  <c r="H908" i="6" s="1"/>
  <c r="I908" i="6" s="1"/>
  <c r="H900" i="6"/>
  <c r="I900" i="6" s="1"/>
  <c r="G900" i="6"/>
  <c r="H892" i="6"/>
  <c r="I892" i="6" s="1"/>
  <c r="G892" i="6"/>
  <c r="H884" i="6"/>
  <c r="I884" i="6" s="1"/>
  <c r="G884" i="6"/>
  <c r="G876" i="6"/>
  <c r="H876" i="6" s="1"/>
  <c r="I876" i="6" s="1"/>
  <c r="H868" i="6"/>
  <c r="I868" i="6" s="1"/>
  <c r="G868" i="6"/>
  <c r="H860" i="6"/>
  <c r="I860" i="6" s="1"/>
  <c r="G860" i="6"/>
  <c r="H852" i="6"/>
  <c r="I852" i="6" s="1"/>
  <c r="G852" i="6"/>
  <c r="G844" i="6"/>
  <c r="H844" i="6"/>
  <c r="I844" i="6" s="1"/>
  <c r="H836" i="6"/>
  <c r="I836" i="6" s="1"/>
  <c r="G836" i="6"/>
  <c r="H828" i="6"/>
  <c r="I828" i="6" s="1"/>
  <c r="G828" i="6"/>
  <c r="H820" i="6"/>
  <c r="I820" i="6" s="1"/>
  <c r="G820" i="6"/>
  <c r="G812" i="6"/>
  <c r="H812" i="6" s="1"/>
  <c r="I812" i="6" s="1"/>
  <c r="H804" i="6"/>
  <c r="I804" i="6" s="1"/>
  <c r="G804" i="6"/>
  <c r="H796" i="6"/>
  <c r="I796" i="6" s="1"/>
  <c r="G796" i="6"/>
  <c r="H788" i="6"/>
  <c r="I788" i="6" s="1"/>
  <c r="G788" i="6"/>
  <c r="G780" i="6"/>
  <c r="H780" i="6"/>
  <c r="I780" i="6" s="1"/>
  <c r="H772" i="6"/>
  <c r="I772" i="6" s="1"/>
  <c r="G772" i="6"/>
  <c r="H764" i="6"/>
  <c r="I764" i="6" s="1"/>
  <c r="G764" i="6"/>
  <c r="H756" i="6"/>
  <c r="I756" i="6" s="1"/>
  <c r="G756" i="6"/>
  <c r="G748" i="6"/>
  <c r="H748" i="6" s="1"/>
  <c r="I748" i="6" s="1"/>
  <c r="H740" i="6"/>
  <c r="I740" i="6" s="1"/>
  <c r="G740" i="6"/>
  <c r="H732" i="6"/>
  <c r="I732" i="6" s="1"/>
  <c r="G732" i="6"/>
  <c r="H724" i="6"/>
  <c r="I724" i="6" s="1"/>
  <c r="G724" i="6"/>
  <c r="G708" i="6"/>
  <c r="H708" i="6" s="1"/>
  <c r="I708" i="6" s="1"/>
  <c r="H700" i="6"/>
  <c r="I700" i="6" s="1"/>
  <c r="G700" i="6"/>
  <c r="H692" i="6"/>
  <c r="I692" i="6" s="1"/>
  <c r="G692" i="6"/>
  <c r="H684" i="6"/>
  <c r="I684" i="6" s="1"/>
  <c r="G684" i="6"/>
  <c r="G676" i="6"/>
  <c r="H676" i="6" s="1"/>
  <c r="I676" i="6" s="1"/>
  <c r="H668" i="6"/>
  <c r="I668" i="6" s="1"/>
  <c r="G668" i="6"/>
  <c r="H660" i="6"/>
  <c r="I660" i="6" s="1"/>
  <c r="G660" i="6"/>
  <c r="H652" i="6"/>
  <c r="I652" i="6" s="1"/>
  <c r="G652" i="6"/>
  <c r="G644" i="6"/>
  <c r="H644" i="6" s="1"/>
  <c r="I644" i="6" s="1"/>
  <c r="H636" i="6"/>
  <c r="I636" i="6" s="1"/>
  <c r="G636" i="6"/>
  <c r="H628" i="6"/>
  <c r="I628" i="6" s="1"/>
  <c r="G628" i="6"/>
  <c r="H620" i="6"/>
  <c r="I620" i="6" s="1"/>
  <c r="G620" i="6"/>
  <c r="G612" i="6"/>
  <c r="H612" i="6" s="1"/>
  <c r="I612" i="6" s="1"/>
  <c r="H604" i="6"/>
  <c r="I604" i="6" s="1"/>
  <c r="G604" i="6"/>
  <c r="H596" i="6"/>
  <c r="I596" i="6" s="1"/>
  <c r="G596" i="6"/>
  <c r="H588" i="6"/>
  <c r="I588" i="6" s="1"/>
  <c r="H580" i="6"/>
  <c r="I580" i="6" s="1"/>
  <c r="G580" i="6"/>
  <c r="G572" i="6"/>
  <c r="H572" i="6" s="1"/>
  <c r="I572" i="6" s="1"/>
  <c r="G564" i="6"/>
  <c r="H564" i="6" s="1"/>
  <c r="I564" i="6" s="1"/>
  <c r="G556" i="6"/>
  <c r="H556" i="6" s="1"/>
  <c r="I556" i="6" s="1"/>
  <c r="H548" i="6"/>
  <c r="I548" i="6" s="1"/>
  <c r="G548" i="6"/>
  <c r="G540" i="6"/>
  <c r="H540" i="6" s="1"/>
  <c r="I540" i="6" s="1"/>
  <c r="G532" i="6"/>
  <c r="H532" i="6" s="1"/>
  <c r="I532" i="6" s="1"/>
  <c r="G516" i="6"/>
  <c r="H516" i="6" s="1"/>
  <c r="I516" i="6" s="1"/>
  <c r="G508" i="6"/>
  <c r="H508" i="6" s="1"/>
  <c r="I508" i="6" s="1"/>
  <c r="H500" i="6"/>
  <c r="I500" i="6" s="1"/>
  <c r="G500" i="6"/>
  <c r="G588" i="6"/>
  <c r="H1048" i="6"/>
  <c r="I1048" i="6" s="1"/>
  <c r="H973" i="6"/>
  <c r="I973" i="6" s="1"/>
  <c r="G973" i="6"/>
  <c r="H789" i="6"/>
  <c r="I789" i="6" s="1"/>
  <c r="G589" i="6"/>
  <c r="H589" i="6" s="1"/>
  <c r="I589" i="6" s="1"/>
  <c r="H533" i="6"/>
  <c r="I533" i="6" s="1"/>
  <c r="G533" i="6"/>
  <c r="G493" i="6"/>
  <c r="H493" i="6" s="1"/>
  <c r="I493" i="6" s="1"/>
  <c r="G445" i="6"/>
  <c r="H445" i="6" s="1"/>
  <c r="I445" i="6" s="1"/>
  <c r="G405" i="6"/>
  <c r="H405" i="6" s="1"/>
  <c r="I405" i="6" s="1"/>
  <c r="H357" i="6"/>
  <c r="I357" i="6" s="1"/>
  <c r="G357" i="6"/>
  <c r="G317" i="6"/>
  <c r="H317" i="6" s="1"/>
  <c r="I317" i="6" s="1"/>
  <c r="G285" i="6"/>
  <c r="H285" i="6" s="1"/>
  <c r="I285" i="6" s="1"/>
  <c r="G245" i="6"/>
  <c r="H245" i="6" s="1"/>
  <c r="I245" i="6" s="1"/>
  <c r="H221" i="6"/>
  <c r="I221" i="6" s="1"/>
  <c r="G221" i="6"/>
  <c r="G189" i="6"/>
  <c r="H189" i="6" s="1"/>
  <c r="I189" i="6" s="1"/>
  <c r="G165" i="6"/>
  <c r="H165" i="6" s="1"/>
  <c r="I165" i="6" s="1"/>
  <c r="G133" i="6"/>
  <c r="H133" i="6" s="1"/>
  <c r="I133" i="6" s="1"/>
  <c r="H117" i="6"/>
  <c r="I117" i="6" s="1"/>
  <c r="G117" i="6"/>
  <c r="G101" i="6"/>
  <c r="H101" i="6" s="1"/>
  <c r="I101" i="6" s="1"/>
  <c r="G85" i="6"/>
  <c r="H85" i="6" s="1"/>
  <c r="I85" i="6" s="1"/>
  <c r="G77" i="6"/>
  <c r="H77" i="6" s="1"/>
  <c r="I77" i="6" s="1"/>
  <c r="H61" i="6"/>
  <c r="I61" i="6" s="1"/>
  <c r="G61" i="6"/>
  <c r="G45" i="6"/>
  <c r="H45" i="6" s="1"/>
  <c r="I45" i="6" s="1"/>
  <c r="G37" i="6"/>
  <c r="H37" i="6" s="1"/>
  <c r="I37" i="6" s="1"/>
  <c r="G13" i="6"/>
  <c r="H13" i="6" s="1"/>
  <c r="I13" i="6" s="1"/>
  <c r="G1067" i="6"/>
  <c r="H1067" i="6" s="1"/>
  <c r="I1067" i="6" s="1"/>
  <c r="G1059" i="6"/>
  <c r="H1059" i="6" s="1"/>
  <c r="I1059" i="6" s="1"/>
  <c r="G1051" i="6"/>
  <c r="H1051" i="6" s="1"/>
  <c r="I1051" i="6" s="1"/>
  <c r="G1043" i="6"/>
  <c r="H1043" i="6" s="1"/>
  <c r="I1043" i="6" s="1"/>
  <c r="H1035" i="6"/>
  <c r="I1035" i="6" s="1"/>
  <c r="G1035" i="6"/>
  <c r="G1027" i="6"/>
  <c r="H1027" i="6"/>
  <c r="I1027" i="6" s="1"/>
  <c r="G1019" i="6"/>
  <c r="H1019" i="6" s="1"/>
  <c r="I1019" i="6" s="1"/>
  <c r="G1011" i="6"/>
  <c r="H1011" i="6"/>
  <c r="I1011" i="6" s="1"/>
  <c r="G1003" i="6"/>
  <c r="H1003" i="6" s="1"/>
  <c r="I1003" i="6" s="1"/>
  <c r="G995" i="6"/>
  <c r="H995" i="6" s="1"/>
  <c r="I995" i="6" s="1"/>
  <c r="G987" i="6"/>
  <c r="H987" i="6" s="1"/>
  <c r="I987" i="6" s="1"/>
  <c r="G979" i="6"/>
  <c r="H979" i="6" s="1"/>
  <c r="I979" i="6" s="1"/>
  <c r="H971" i="6"/>
  <c r="I971" i="6" s="1"/>
  <c r="G971" i="6"/>
  <c r="G963" i="6"/>
  <c r="H963" i="6"/>
  <c r="I963" i="6" s="1"/>
  <c r="G955" i="6"/>
  <c r="H955" i="6" s="1"/>
  <c r="I955" i="6" s="1"/>
  <c r="G939" i="6"/>
  <c r="H939" i="6"/>
  <c r="I939" i="6" s="1"/>
  <c r="H931" i="6"/>
  <c r="I931" i="6" s="1"/>
  <c r="G931" i="6"/>
  <c r="G923" i="6"/>
  <c r="H923" i="6" s="1"/>
  <c r="I923" i="6" s="1"/>
  <c r="G915" i="6"/>
  <c r="H915" i="6" s="1"/>
  <c r="I915" i="6" s="1"/>
  <c r="G907" i="6"/>
  <c r="H907" i="6" s="1"/>
  <c r="I907" i="6" s="1"/>
  <c r="H899" i="6"/>
  <c r="I899" i="6" s="1"/>
  <c r="G899" i="6"/>
  <c r="G891" i="6"/>
  <c r="H891" i="6" s="1"/>
  <c r="I891" i="6" s="1"/>
  <c r="G883" i="6"/>
  <c r="H883" i="6" s="1"/>
  <c r="I883" i="6" s="1"/>
  <c r="G875" i="6"/>
  <c r="H875" i="6"/>
  <c r="I875" i="6" s="1"/>
  <c r="G867" i="6"/>
  <c r="H867" i="6" s="1"/>
  <c r="I867" i="6" s="1"/>
  <c r="G859" i="6"/>
  <c r="H859" i="6" s="1"/>
  <c r="I859" i="6" s="1"/>
  <c r="G851" i="6"/>
  <c r="H851" i="6"/>
  <c r="I851" i="6" s="1"/>
  <c r="G843" i="6"/>
  <c r="H843" i="6" s="1"/>
  <c r="I843" i="6" s="1"/>
  <c r="H835" i="6"/>
  <c r="I835" i="6" s="1"/>
  <c r="G835" i="6"/>
  <c r="H827" i="6"/>
  <c r="I827" i="6" s="1"/>
  <c r="G827" i="6"/>
  <c r="G819" i="6"/>
  <c r="H819" i="6" s="1"/>
  <c r="I819" i="6" s="1"/>
  <c r="G811" i="6"/>
  <c r="H811" i="6"/>
  <c r="I811" i="6" s="1"/>
  <c r="H795" i="6"/>
  <c r="I795" i="6" s="1"/>
  <c r="G795" i="6"/>
  <c r="G787" i="6"/>
  <c r="H787" i="6"/>
  <c r="I787" i="6" s="1"/>
  <c r="G779" i="6"/>
  <c r="H779" i="6" s="1"/>
  <c r="I779" i="6" s="1"/>
  <c r="G771" i="6"/>
  <c r="H771" i="6" s="1"/>
  <c r="I771" i="6" s="1"/>
  <c r="H763" i="6"/>
  <c r="I763" i="6" s="1"/>
  <c r="G763" i="6"/>
  <c r="G755" i="6"/>
  <c r="H755" i="6" s="1"/>
  <c r="I755" i="6" s="1"/>
  <c r="G747" i="6"/>
  <c r="H747" i="6"/>
  <c r="I747" i="6" s="1"/>
  <c r="G739" i="6"/>
  <c r="H739" i="6"/>
  <c r="I739" i="6" s="1"/>
  <c r="H731" i="6"/>
  <c r="I731" i="6" s="1"/>
  <c r="G731" i="6"/>
  <c r="G723" i="6"/>
  <c r="H723" i="6"/>
  <c r="I723" i="6" s="1"/>
  <c r="G715" i="6"/>
  <c r="H715" i="6" s="1"/>
  <c r="I715" i="6" s="1"/>
  <c r="G707" i="6"/>
  <c r="H707" i="6" s="1"/>
  <c r="I707" i="6" s="1"/>
  <c r="H699" i="6"/>
  <c r="I699" i="6" s="1"/>
  <c r="G699" i="6"/>
  <c r="G709" i="6"/>
  <c r="H709" i="6" s="1"/>
  <c r="I709" i="6" s="1"/>
  <c r="G565" i="6"/>
  <c r="H565" i="6" s="1"/>
  <c r="I565" i="6" s="1"/>
  <c r="H997" i="6"/>
  <c r="I997" i="6" s="1"/>
  <c r="H1069" i="6"/>
  <c r="I1069" i="6" s="1"/>
  <c r="G1069" i="6"/>
  <c r="H981" i="6"/>
  <c r="I981" i="6" s="1"/>
  <c r="H941" i="6"/>
  <c r="I941" i="6" s="1"/>
  <c r="G941" i="6"/>
  <c r="G861" i="6"/>
  <c r="H861" i="6" s="1"/>
  <c r="I861" i="6" s="1"/>
  <c r="G685" i="6"/>
  <c r="H685" i="6" s="1"/>
  <c r="I685" i="6" s="1"/>
  <c r="G1066" i="6"/>
  <c r="H1066" i="6" s="1"/>
  <c r="I1066" i="6" s="1"/>
  <c r="H1058" i="6"/>
  <c r="I1058" i="6" s="1"/>
  <c r="G1058" i="6"/>
  <c r="G1050" i="6"/>
  <c r="H1050" i="6" s="1"/>
  <c r="I1050" i="6" s="1"/>
  <c r="G1042" i="6"/>
  <c r="H1042" i="6" s="1"/>
  <c r="I1042" i="6" s="1"/>
  <c r="G1034" i="6"/>
  <c r="H1034" i="6" s="1"/>
  <c r="I1034" i="6" s="1"/>
  <c r="H1026" i="6"/>
  <c r="I1026" i="6" s="1"/>
  <c r="G1026" i="6"/>
  <c r="G1018" i="6"/>
  <c r="H1018" i="6" s="1"/>
  <c r="I1018" i="6" s="1"/>
  <c r="G1010" i="6"/>
  <c r="H1010" i="6" s="1"/>
  <c r="I1010" i="6" s="1"/>
  <c r="G1002" i="6"/>
  <c r="H1002" i="6" s="1"/>
  <c r="I1002" i="6" s="1"/>
  <c r="H994" i="6"/>
  <c r="I994" i="6" s="1"/>
  <c r="G994" i="6"/>
  <c r="G986" i="6"/>
  <c r="H986" i="6" s="1"/>
  <c r="I986" i="6" s="1"/>
  <c r="G978" i="6"/>
  <c r="H978" i="6" s="1"/>
  <c r="I978" i="6" s="1"/>
  <c r="G970" i="6"/>
  <c r="H970" i="6" s="1"/>
  <c r="I970" i="6" s="1"/>
  <c r="H962" i="6"/>
  <c r="I962" i="6" s="1"/>
  <c r="G962" i="6"/>
  <c r="G954" i="6"/>
  <c r="H954" i="6" s="1"/>
  <c r="I954" i="6" s="1"/>
  <c r="G946" i="6"/>
  <c r="H946" i="6" s="1"/>
  <c r="I946" i="6" s="1"/>
  <c r="G938" i="6"/>
  <c r="H938" i="6" s="1"/>
  <c r="I938" i="6" s="1"/>
  <c r="H930" i="6"/>
  <c r="I930" i="6" s="1"/>
  <c r="G930" i="6"/>
  <c r="G922" i="6"/>
  <c r="H922" i="6" s="1"/>
  <c r="I922" i="6" s="1"/>
  <c r="G914" i="6"/>
  <c r="H914" i="6" s="1"/>
  <c r="I914" i="6" s="1"/>
  <c r="G906" i="6"/>
  <c r="H906" i="6" s="1"/>
  <c r="I906" i="6" s="1"/>
  <c r="H898" i="6"/>
  <c r="I898" i="6" s="1"/>
  <c r="G898" i="6"/>
  <c r="G890" i="6"/>
  <c r="H890" i="6" s="1"/>
  <c r="I890" i="6" s="1"/>
  <c r="G882" i="6"/>
  <c r="H882" i="6" s="1"/>
  <c r="I882" i="6" s="1"/>
  <c r="G874" i="6"/>
  <c r="H874" i="6" s="1"/>
  <c r="I874" i="6" s="1"/>
  <c r="H866" i="6"/>
  <c r="I866" i="6" s="1"/>
  <c r="G866" i="6"/>
  <c r="G858" i="6"/>
  <c r="H858" i="6" s="1"/>
  <c r="I858" i="6" s="1"/>
  <c r="H850" i="6"/>
  <c r="I850" i="6" s="1"/>
  <c r="G850" i="6"/>
  <c r="G842" i="6"/>
  <c r="H842" i="6" s="1"/>
  <c r="I842" i="6" s="1"/>
  <c r="H834" i="6"/>
  <c r="I834" i="6" s="1"/>
  <c r="G834" i="6"/>
  <c r="G826" i="6"/>
  <c r="H826" i="6" s="1"/>
  <c r="I826" i="6" s="1"/>
  <c r="G818" i="6"/>
  <c r="H818" i="6" s="1"/>
  <c r="I818" i="6" s="1"/>
  <c r="G810" i="6"/>
  <c r="H810" i="6" s="1"/>
  <c r="I810" i="6" s="1"/>
  <c r="H802" i="6"/>
  <c r="I802" i="6" s="1"/>
  <c r="G802" i="6"/>
  <c r="G794" i="6"/>
  <c r="H794" i="6" s="1"/>
  <c r="I794" i="6" s="1"/>
  <c r="G786" i="6"/>
  <c r="H786" i="6" s="1"/>
  <c r="I786" i="6" s="1"/>
  <c r="G778" i="6"/>
  <c r="H778" i="6" s="1"/>
  <c r="I778" i="6" s="1"/>
  <c r="H770" i="6"/>
  <c r="I770" i="6" s="1"/>
  <c r="G770" i="6"/>
  <c r="G762" i="6"/>
  <c r="H762" i="6" s="1"/>
  <c r="I762" i="6" s="1"/>
  <c r="G754" i="6"/>
  <c r="H754" i="6" s="1"/>
  <c r="I754" i="6" s="1"/>
  <c r="G746" i="6"/>
  <c r="H746" i="6" s="1"/>
  <c r="I746" i="6" s="1"/>
  <c r="H738" i="6"/>
  <c r="I738" i="6" s="1"/>
  <c r="G738" i="6"/>
  <c r="G730" i="6"/>
  <c r="H730" i="6" s="1"/>
  <c r="I730" i="6" s="1"/>
  <c r="G722" i="6"/>
  <c r="H722" i="6" s="1"/>
  <c r="I722" i="6" s="1"/>
  <c r="G714" i="6"/>
  <c r="H714" i="6" s="1"/>
  <c r="I714" i="6" s="1"/>
  <c r="H706" i="6"/>
  <c r="I706" i="6" s="1"/>
  <c r="G706" i="6"/>
  <c r="G698" i="6"/>
  <c r="H698" i="6" s="1"/>
  <c r="I698" i="6" s="1"/>
  <c r="G690" i="6"/>
  <c r="H690" i="6" s="1"/>
  <c r="I690" i="6" s="1"/>
  <c r="G682" i="6"/>
  <c r="H682" i="6" s="1"/>
  <c r="I682" i="6" s="1"/>
  <c r="H674" i="6"/>
  <c r="I674" i="6" s="1"/>
  <c r="G674" i="6"/>
  <c r="G666" i="6"/>
  <c r="H666" i="6" s="1"/>
  <c r="I666" i="6" s="1"/>
  <c r="G658" i="6"/>
  <c r="H658" i="6" s="1"/>
  <c r="I658" i="6" s="1"/>
  <c r="G650" i="6"/>
  <c r="H650" i="6" s="1"/>
  <c r="I650" i="6" s="1"/>
  <c r="H642" i="6"/>
  <c r="I642" i="6" s="1"/>
  <c r="G642" i="6"/>
  <c r="G634" i="6"/>
  <c r="H634" i="6" s="1"/>
  <c r="I634" i="6" s="1"/>
  <c r="G626" i="6"/>
  <c r="H626" i="6" s="1"/>
  <c r="I626" i="6" s="1"/>
  <c r="G618" i="6"/>
  <c r="H618" i="6" s="1"/>
  <c r="I618" i="6" s="1"/>
  <c r="H610" i="6"/>
  <c r="I610" i="6" s="1"/>
  <c r="G602" i="6"/>
  <c r="H602" i="6" s="1"/>
  <c r="I602" i="6" s="1"/>
  <c r="H594" i="6"/>
  <c r="I594" i="6" s="1"/>
  <c r="G594" i="6"/>
  <c r="H586" i="6"/>
  <c r="I586" i="6" s="1"/>
  <c r="G586" i="6"/>
  <c r="G578" i="6"/>
  <c r="H578" i="6" s="1"/>
  <c r="I578" i="6" s="1"/>
  <c r="G562" i="6"/>
  <c r="H562" i="6" s="1"/>
  <c r="I562" i="6" s="1"/>
  <c r="H554" i="6"/>
  <c r="I554" i="6" s="1"/>
  <c r="G554" i="6"/>
  <c r="G538" i="6"/>
  <c r="H538" i="6" s="1"/>
  <c r="I538" i="6" s="1"/>
  <c r="H530" i="6"/>
  <c r="I530" i="6" s="1"/>
  <c r="G530" i="6"/>
  <c r="G522" i="6"/>
  <c r="H522" i="6" s="1"/>
  <c r="I522" i="6" s="1"/>
  <c r="G514" i="6"/>
  <c r="H514" i="6" s="1"/>
  <c r="I514" i="6" s="1"/>
  <c r="G506" i="6"/>
  <c r="H506" i="6" s="1"/>
  <c r="I506" i="6" s="1"/>
  <c r="H498" i="6"/>
  <c r="I498" i="6" s="1"/>
  <c r="G498" i="6"/>
  <c r="G490" i="6"/>
  <c r="H490" i="6" s="1"/>
  <c r="I490" i="6" s="1"/>
  <c r="H474" i="6"/>
  <c r="I474" i="6" s="1"/>
  <c r="G474" i="6"/>
  <c r="G466" i="6"/>
  <c r="H466" i="6" s="1"/>
  <c r="I466" i="6" s="1"/>
  <c r="G458" i="6"/>
  <c r="H458" i="6" s="1"/>
  <c r="I458" i="6" s="1"/>
  <c r="H450" i="6"/>
  <c r="I450" i="6" s="1"/>
  <c r="G450" i="6"/>
  <c r="H442" i="6"/>
  <c r="I442" i="6" s="1"/>
  <c r="G442" i="6"/>
  <c r="G434" i="6"/>
  <c r="H434" i="6" s="1"/>
  <c r="I434" i="6" s="1"/>
  <c r="G426" i="6"/>
  <c r="H426" i="6" s="1"/>
  <c r="I426" i="6" s="1"/>
  <c r="H418" i="6"/>
  <c r="I418" i="6" s="1"/>
  <c r="G410" i="6"/>
  <c r="H410" i="6" s="1"/>
  <c r="I410" i="6" s="1"/>
  <c r="G402" i="6"/>
  <c r="H402" i="6" s="1"/>
  <c r="I402" i="6" s="1"/>
  <c r="H394" i="6"/>
  <c r="I394" i="6" s="1"/>
  <c r="G386" i="6"/>
  <c r="H386" i="6" s="1"/>
  <c r="I386" i="6" s="1"/>
  <c r="H378" i="6"/>
  <c r="I378" i="6" s="1"/>
  <c r="G378" i="6"/>
  <c r="H370" i="6"/>
  <c r="I370" i="6" s="1"/>
  <c r="G370" i="6"/>
  <c r="H362" i="6"/>
  <c r="I362" i="6" s="1"/>
  <c r="H354" i="6"/>
  <c r="I354" i="6" s="1"/>
  <c r="G354" i="6"/>
  <c r="G346" i="6"/>
  <c r="H346" i="6" s="1"/>
  <c r="I346" i="6" s="1"/>
  <c r="G338" i="6"/>
  <c r="H338" i="6" s="1"/>
  <c r="I338" i="6" s="1"/>
  <c r="G322" i="6"/>
  <c r="H322" i="6" s="1"/>
  <c r="I322" i="6" s="1"/>
  <c r="G949" i="6"/>
  <c r="H949" i="6" s="1"/>
  <c r="I949" i="6" s="1"/>
  <c r="G821" i="6"/>
  <c r="H821" i="6" s="1"/>
  <c r="I821" i="6" s="1"/>
  <c r="G546" i="6"/>
  <c r="H546" i="6" s="1"/>
  <c r="I546" i="6" s="1"/>
  <c r="G362" i="6"/>
  <c r="H947" i="6"/>
  <c r="I947" i="6" s="1"/>
  <c r="G1037" i="6"/>
  <c r="H1037" i="6" s="1"/>
  <c r="I1037" i="6" s="1"/>
  <c r="H965" i="6"/>
  <c r="I965" i="6" s="1"/>
  <c r="G877" i="6"/>
  <c r="H877" i="6" s="1"/>
  <c r="I877" i="6" s="1"/>
  <c r="G845" i="6"/>
  <c r="H845" i="6" s="1"/>
  <c r="I845" i="6" s="1"/>
  <c r="G813" i="6"/>
  <c r="H813" i="6" s="1"/>
  <c r="I813" i="6" s="1"/>
  <c r="H781" i="6"/>
  <c r="I781" i="6" s="1"/>
  <c r="G781" i="6"/>
  <c r="G749" i="6"/>
  <c r="H749" i="6" s="1"/>
  <c r="I749" i="6" s="1"/>
  <c r="H637" i="6"/>
  <c r="I637" i="6" s="1"/>
  <c r="G637" i="6"/>
  <c r="G597" i="6"/>
  <c r="H597" i="6" s="1"/>
  <c r="I597" i="6" s="1"/>
  <c r="G557" i="6"/>
  <c r="H557" i="6" s="1"/>
  <c r="I557" i="6" s="1"/>
  <c r="H517" i="6"/>
  <c r="I517" i="6" s="1"/>
  <c r="G517" i="6"/>
  <c r="H477" i="6"/>
  <c r="I477" i="6" s="1"/>
  <c r="G477" i="6"/>
  <c r="G429" i="6"/>
  <c r="H429" i="6" s="1"/>
  <c r="I429" i="6" s="1"/>
  <c r="G381" i="6"/>
  <c r="H381" i="6" s="1"/>
  <c r="I381" i="6" s="1"/>
  <c r="H341" i="6"/>
  <c r="I341" i="6" s="1"/>
  <c r="G341" i="6"/>
  <c r="H293" i="6"/>
  <c r="I293" i="6" s="1"/>
  <c r="G293" i="6"/>
  <c r="G253" i="6"/>
  <c r="H253" i="6" s="1"/>
  <c r="I253" i="6" s="1"/>
  <c r="G205" i="6"/>
  <c r="H205" i="6" s="1"/>
  <c r="I205" i="6" s="1"/>
  <c r="H157" i="6"/>
  <c r="I157" i="6" s="1"/>
  <c r="G157" i="6"/>
  <c r="H1065" i="6"/>
  <c r="I1065" i="6" s="1"/>
  <c r="G1065" i="6"/>
  <c r="G1057" i="6"/>
  <c r="H1057" i="6" s="1"/>
  <c r="I1057" i="6" s="1"/>
  <c r="G1049" i="6"/>
  <c r="H1049" i="6" s="1"/>
  <c r="I1049" i="6" s="1"/>
  <c r="H1041" i="6"/>
  <c r="I1041" i="6" s="1"/>
  <c r="G1041" i="6"/>
  <c r="H1033" i="6"/>
  <c r="I1033" i="6" s="1"/>
  <c r="G1033" i="6"/>
  <c r="G1025" i="6"/>
  <c r="H1025" i="6" s="1"/>
  <c r="I1025" i="6" s="1"/>
  <c r="G1017" i="6"/>
  <c r="H1017" i="6" s="1"/>
  <c r="I1017" i="6" s="1"/>
  <c r="H1009" i="6"/>
  <c r="I1009" i="6" s="1"/>
  <c r="G1009" i="6"/>
  <c r="H1001" i="6"/>
  <c r="I1001" i="6" s="1"/>
  <c r="G1001" i="6"/>
  <c r="G993" i="6"/>
  <c r="H993" i="6" s="1"/>
  <c r="I993" i="6" s="1"/>
  <c r="G985" i="6"/>
  <c r="H985" i="6" s="1"/>
  <c r="I985" i="6" s="1"/>
  <c r="H977" i="6"/>
  <c r="I977" i="6" s="1"/>
  <c r="G977" i="6"/>
  <c r="H969" i="6"/>
  <c r="I969" i="6" s="1"/>
  <c r="G969" i="6"/>
  <c r="G961" i="6"/>
  <c r="H961" i="6" s="1"/>
  <c r="I961" i="6" s="1"/>
  <c r="G953" i="6"/>
  <c r="H953" i="6" s="1"/>
  <c r="I953" i="6" s="1"/>
  <c r="H945" i="6"/>
  <c r="I945" i="6" s="1"/>
  <c r="G945" i="6"/>
  <c r="H937" i="6"/>
  <c r="I937" i="6" s="1"/>
  <c r="G937" i="6"/>
  <c r="G929" i="6"/>
  <c r="H929" i="6" s="1"/>
  <c r="I929" i="6" s="1"/>
  <c r="G921" i="6"/>
  <c r="H921" i="6" s="1"/>
  <c r="I921" i="6" s="1"/>
  <c r="H913" i="6"/>
  <c r="I913" i="6" s="1"/>
  <c r="G913" i="6"/>
  <c r="H905" i="6"/>
  <c r="I905" i="6" s="1"/>
  <c r="G905" i="6"/>
  <c r="G897" i="6"/>
  <c r="H897" i="6" s="1"/>
  <c r="I897" i="6" s="1"/>
  <c r="G889" i="6"/>
  <c r="H889" i="6" s="1"/>
  <c r="I889" i="6" s="1"/>
  <c r="H881" i="6"/>
  <c r="I881" i="6" s="1"/>
  <c r="G881" i="6"/>
  <c r="H873" i="6"/>
  <c r="I873" i="6" s="1"/>
  <c r="G873" i="6"/>
  <c r="G865" i="6"/>
  <c r="H865" i="6" s="1"/>
  <c r="I865" i="6" s="1"/>
  <c r="G857" i="6"/>
  <c r="H857" i="6" s="1"/>
  <c r="I857" i="6" s="1"/>
  <c r="H849" i="6"/>
  <c r="I849" i="6" s="1"/>
  <c r="G849" i="6"/>
  <c r="H841" i="6"/>
  <c r="I841" i="6" s="1"/>
  <c r="G841" i="6"/>
  <c r="H833" i="6"/>
  <c r="I833" i="6" s="1"/>
  <c r="G833" i="6"/>
  <c r="G825" i="6"/>
  <c r="H825" i="6" s="1"/>
  <c r="I825" i="6" s="1"/>
  <c r="H817" i="6"/>
  <c r="I817" i="6" s="1"/>
  <c r="G817" i="6"/>
  <c r="H809" i="6"/>
  <c r="I809" i="6" s="1"/>
  <c r="G809" i="6"/>
  <c r="G801" i="6"/>
  <c r="H801" i="6" s="1"/>
  <c r="I801" i="6" s="1"/>
  <c r="G793" i="6"/>
  <c r="H793" i="6" s="1"/>
  <c r="I793" i="6" s="1"/>
  <c r="H785" i="6"/>
  <c r="I785" i="6" s="1"/>
  <c r="G785" i="6"/>
  <c r="H777" i="6"/>
  <c r="I777" i="6" s="1"/>
  <c r="G777" i="6"/>
  <c r="G769" i="6"/>
  <c r="H769" i="6" s="1"/>
  <c r="I769" i="6" s="1"/>
  <c r="G761" i="6"/>
  <c r="H761" i="6" s="1"/>
  <c r="I761" i="6" s="1"/>
  <c r="H753" i="6"/>
  <c r="I753" i="6" s="1"/>
  <c r="G753" i="6"/>
  <c r="H745" i="6"/>
  <c r="I745" i="6" s="1"/>
  <c r="G745" i="6"/>
  <c r="G737" i="6"/>
  <c r="H737" i="6" s="1"/>
  <c r="I737" i="6" s="1"/>
  <c r="G729" i="6"/>
  <c r="H729" i="6" s="1"/>
  <c r="I729" i="6" s="1"/>
  <c r="H721" i="6"/>
  <c r="I721" i="6" s="1"/>
  <c r="G721" i="6"/>
  <c r="H713" i="6"/>
  <c r="I713" i="6" s="1"/>
  <c r="G713" i="6"/>
  <c r="G705" i="6"/>
  <c r="H705" i="6" s="1"/>
  <c r="I705" i="6" s="1"/>
  <c r="G697" i="6"/>
  <c r="H697" i="6" s="1"/>
  <c r="I697" i="6" s="1"/>
  <c r="H689" i="6"/>
  <c r="I689" i="6" s="1"/>
  <c r="G689" i="6"/>
  <c r="H681" i="6"/>
  <c r="I681" i="6" s="1"/>
  <c r="G681" i="6"/>
  <c r="G677" i="6"/>
  <c r="H677" i="6" s="1"/>
  <c r="I677" i="6" s="1"/>
  <c r="G524" i="6"/>
  <c r="H524" i="6" s="1"/>
  <c r="I524" i="6" s="1"/>
  <c r="G330" i="6"/>
  <c r="H330" i="6" s="1"/>
  <c r="I330" i="6" s="1"/>
  <c r="H885" i="6"/>
  <c r="I885" i="6" s="1"/>
  <c r="H1061" i="6"/>
  <c r="I1061" i="6" s="1"/>
  <c r="G1021" i="6"/>
  <c r="H1021" i="6" s="1"/>
  <c r="I1021" i="6" s="1"/>
  <c r="H933" i="6"/>
  <c r="I933" i="6" s="1"/>
  <c r="H853" i="6"/>
  <c r="I853" i="6" s="1"/>
  <c r="H829" i="6"/>
  <c r="I829" i="6" s="1"/>
  <c r="G829" i="6"/>
  <c r="G797" i="6"/>
  <c r="H797" i="6" s="1"/>
  <c r="I797" i="6" s="1"/>
  <c r="G765" i="6"/>
  <c r="H765" i="6"/>
  <c r="I765" i="6" s="1"/>
  <c r="H725" i="6"/>
  <c r="I725" i="6" s="1"/>
  <c r="G701" i="6"/>
  <c r="H701" i="6"/>
  <c r="I701" i="6" s="1"/>
  <c r="G669" i="6"/>
  <c r="H669" i="6" s="1"/>
  <c r="I669" i="6" s="1"/>
  <c r="H621" i="6"/>
  <c r="I621" i="6" s="1"/>
  <c r="G621" i="6"/>
  <c r="H581" i="6"/>
  <c r="I581" i="6" s="1"/>
  <c r="G581" i="6"/>
  <c r="G541" i="6"/>
  <c r="H541" i="6" s="1"/>
  <c r="I541" i="6" s="1"/>
  <c r="G485" i="6"/>
  <c r="H485" i="6" s="1"/>
  <c r="I485" i="6" s="1"/>
  <c r="H453" i="6"/>
  <c r="I453" i="6" s="1"/>
  <c r="G453" i="6"/>
  <c r="H397" i="6"/>
  <c r="I397" i="6" s="1"/>
  <c r="G397" i="6"/>
  <c r="G333" i="6"/>
  <c r="H333" i="6" s="1"/>
  <c r="I333" i="6" s="1"/>
  <c r="G237" i="6"/>
  <c r="H237" i="6" s="1"/>
  <c r="I237" i="6" s="1"/>
  <c r="G869" i="6"/>
  <c r="H869" i="6" s="1"/>
  <c r="I869" i="6" s="1"/>
  <c r="G1064" i="6"/>
  <c r="H1064" i="6"/>
  <c r="I1064" i="6" s="1"/>
  <c r="G1056" i="6"/>
  <c r="H1056" i="6" s="1"/>
  <c r="I1056" i="6" s="1"/>
  <c r="G1040" i="6"/>
  <c r="H1040" i="6" s="1"/>
  <c r="I1040" i="6" s="1"/>
  <c r="G1032" i="6"/>
  <c r="H1032" i="6" s="1"/>
  <c r="I1032" i="6" s="1"/>
  <c r="G1024" i="6"/>
  <c r="H1024" i="6"/>
  <c r="I1024" i="6" s="1"/>
  <c r="G1016" i="6"/>
  <c r="H1016" i="6" s="1"/>
  <c r="I1016" i="6" s="1"/>
  <c r="G1008" i="6"/>
  <c r="H1008" i="6" s="1"/>
  <c r="I1008" i="6" s="1"/>
  <c r="G1000" i="6"/>
  <c r="H1000" i="6"/>
  <c r="I1000" i="6" s="1"/>
  <c r="G992" i="6"/>
  <c r="H992" i="6" s="1"/>
  <c r="I992" i="6" s="1"/>
  <c r="G984" i="6"/>
  <c r="H984" i="6"/>
  <c r="I984" i="6" s="1"/>
  <c r="G976" i="6"/>
  <c r="H976" i="6" s="1"/>
  <c r="I976" i="6" s="1"/>
  <c r="G968" i="6"/>
  <c r="H968" i="6" s="1"/>
  <c r="I968" i="6" s="1"/>
  <c r="G960" i="6"/>
  <c r="H960" i="6"/>
  <c r="I960" i="6" s="1"/>
  <c r="G952" i="6"/>
  <c r="H952" i="6" s="1"/>
  <c r="I952" i="6" s="1"/>
  <c r="G944" i="6"/>
  <c r="H944" i="6" s="1"/>
  <c r="I944" i="6" s="1"/>
  <c r="G936" i="6"/>
  <c r="H936" i="6"/>
  <c r="I936" i="6" s="1"/>
  <c r="G928" i="6"/>
  <c r="H928" i="6" s="1"/>
  <c r="I928" i="6" s="1"/>
  <c r="G920" i="6"/>
  <c r="H920" i="6"/>
  <c r="I920" i="6" s="1"/>
  <c r="G912" i="6"/>
  <c r="H912" i="6" s="1"/>
  <c r="I912" i="6" s="1"/>
  <c r="G904" i="6"/>
  <c r="H904" i="6" s="1"/>
  <c r="I904" i="6" s="1"/>
  <c r="G896" i="6"/>
  <c r="H896" i="6" s="1"/>
  <c r="I896" i="6" s="1"/>
  <c r="G888" i="6"/>
  <c r="H888" i="6" s="1"/>
  <c r="I888" i="6" s="1"/>
  <c r="H880" i="6"/>
  <c r="I880" i="6" s="1"/>
  <c r="G880" i="6"/>
  <c r="G872" i="6"/>
  <c r="H872" i="6" s="1"/>
  <c r="I872" i="6" s="1"/>
  <c r="G864" i="6"/>
  <c r="H864" i="6" s="1"/>
  <c r="I864" i="6" s="1"/>
  <c r="H856" i="6"/>
  <c r="I856" i="6" s="1"/>
  <c r="G856" i="6"/>
  <c r="H848" i="6"/>
  <c r="I848" i="6" s="1"/>
  <c r="G848" i="6"/>
  <c r="G840" i="6"/>
  <c r="H840" i="6" s="1"/>
  <c r="I840" i="6" s="1"/>
  <c r="G832" i="6"/>
  <c r="H832" i="6" s="1"/>
  <c r="I832" i="6" s="1"/>
  <c r="G824" i="6"/>
  <c r="H824" i="6" s="1"/>
  <c r="I824" i="6" s="1"/>
  <c r="H816" i="6"/>
  <c r="I816" i="6" s="1"/>
  <c r="G816" i="6"/>
  <c r="G808" i="6"/>
  <c r="H808" i="6" s="1"/>
  <c r="I808" i="6" s="1"/>
  <c r="G800" i="6"/>
  <c r="H800" i="6" s="1"/>
  <c r="I800" i="6" s="1"/>
  <c r="G792" i="6"/>
  <c r="H792" i="6" s="1"/>
  <c r="I792" i="6" s="1"/>
  <c r="H784" i="6"/>
  <c r="I784" i="6" s="1"/>
  <c r="G784" i="6"/>
  <c r="G776" i="6"/>
  <c r="H776" i="6" s="1"/>
  <c r="I776" i="6" s="1"/>
  <c r="G768" i="6"/>
  <c r="H768" i="6" s="1"/>
  <c r="I768" i="6" s="1"/>
  <c r="G760" i="6"/>
  <c r="H760" i="6" s="1"/>
  <c r="I760" i="6" s="1"/>
  <c r="H752" i="6"/>
  <c r="I752" i="6" s="1"/>
  <c r="G752" i="6"/>
  <c r="G744" i="6"/>
  <c r="H744" i="6" s="1"/>
  <c r="I744" i="6" s="1"/>
  <c r="G736" i="6"/>
  <c r="H736" i="6" s="1"/>
  <c r="I736" i="6" s="1"/>
  <c r="G728" i="6"/>
  <c r="H728" i="6" s="1"/>
  <c r="I728" i="6" s="1"/>
  <c r="H720" i="6"/>
  <c r="I720" i="6" s="1"/>
  <c r="G720" i="6"/>
  <c r="G712" i="6"/>
  <c r="H712" i="6" s="1"/>
  <c r="I712" i="6" s="1"/>
  <c r="G704" i="6"/>
  <c r="H704" i="6" s="1"/>
  <c r="I704" i="6" s="1"/>
  <c r="G696" i="6"/>
  <c r="H696" i="6" s="1"/>
  <c r="I696" i="6" s="1"/>
  <c r="G789" i="6"/>
  <c r="H803" i="6"/>
  <c r="I803" i="6" s="1"/>
  <c r="H1045" i="6"/>
  <c r="I1045" i="6" s="1"/>
  <c r="G989" i="6"/>
  <c r="H989" i="6" s="1"/>
  <c r="I989" i="6" s="1"/>
  <c r="H917" i="6"/>
  <c r="I917" i="6" s="1"/>
  <c r="H805" i="6"/>
  <c r="I805" i="6" s="1"/>
  <c r="H741" i="6"/>
  <c r="I741" i="6" s="1"/>
  <c r="H693" i="6"/>
  <c r="I693" i="6" s="1"/>
  <c r="G653" i="6"/>
  <c r="H653" i="6" s="1"/>
  <c r="I653" i="6" s="1"/>
  <c r="H605" i="6"/>
  <c r="I605" i="6" s="1"/>
  <c r="G605" i="6"/>
  <c r="H501" i="6"/>
  <c r="I501" i="6" s="1"/>
  <c r="G461" i="6"/>
  <c r="H461" i="6" s="1"/>
  <c r="I461" i="6" s="1"/>
  <c r="H413" i="6"/>
  <c r="I413" i="6" s="1"/>
  <c r="G413" i="6"/>
  <c r="G373" i="6"/>
  <c r="H373" i="6" s="1"/>
  <c r="I373" i="6" s="1"/>
  <c r="G325" i="6"/>
  <c r="H325" i="6" s="1"/>
  <c r="I325" i="6" s="1"/>
  <c r="G269" i="6"/>
  <c r="H269" i="6" s="1"/>
  <c r="I269" i="6" s="1"/>
  <c r="H181" i="6"/>
  <c r="I181" i="6" s="1"/>
  <c r="G181" i="6"/>
  <c r="G741" i="6"/>
  <c r="H1063" i="6"/>
  <c r="I1063" i="6" s="1"/>
  <c r="G1063" i="6"/>
  <c r="H1055" i="6"/>
  <c r="I1055" i="6" s="1"/>
  <c r="G1055" i="6"/>
  <c r="G1047" i="6"/>
  <c r="H1047" i="6" s="1"/>
  <c r="I1047" i="6" s="1"/>
  <c r="G1039" i="6"/>
  <c r="H1039" i="6" s="1"/>
  <c r="I1039" i="6" s="1"/>
  <c r="H1031" i="6"/>
  <c r="I1031" i="6" s="1"/>
  <c r="G1031" i="6"/>
  <c r="H1023" i="6"/>
  <c r="I1023" i="6" s="1"/>
  <c r="G1023" i="6"/>
  <c r="G1015" i="6"/>
  <c r="H1015" i="6" s="1"/>
  <c r="I1015" i="6" s="1"/>
  <c r="G1007" i="6"/>
  <c r="H1007" i="6" s="1"/>
  <c r="I1007" i="6" s="1"/>
  <c r="H999" i="6"/>
  <c r="I999" i="6" s="1"/>
  <c r="G999" i="6"/>
  <c r="H991" i="6"/>
  <c r="I991" i="6" s="1"/>
  <c r="G991" i="6"/>
  <c r="G983" i="6"/>
  <c r="H983" i="6" s="1"/>
  <c r="I983" i="6" s="1"/>
  <c r="G975" i="6"/>
  <c r="H975" i="6" s="1"/>
  <c r="I975" i="6" s="1"/>
  <c r="H967" i="6"/>
  <c r="I967" i="6" s="1"/>
  <c r="G967" i="6"/>
  <c r="H959" i="6"/>
  <c r="I959" i="6" s="1"/>
  <c r="G959" i="6"/>
  <c r="G951" i="6"/>
  <c r="H951" i="6" s="1"/>
  <c r="I951" i="6" s="1"/>
  <c r="G943" i="6"/>
  <c r="H943" i="6" s="1"/>
  <c r="I943" i="6" s="1"/>
  <c r="H935" i="6"/>
  <c r="I935" i="6" s="1"/>
  <c r="G935" i="6"/>
  <c r="H927" i="6"/>
  <c r="I927" i="6" s="1"/>
  <c r="G927" i="6"/>
  <c r="G919" i="6"/>
  <c r="H919" i="6" s="1"/>
  <c r="I919" i="6" s="1"/>
  <c r="G911" i="6"/>
  <c r="H911" i="6" s="1"/>
  <c r="I911" i="6" s="1"/>
  <c r="H903" i="6"/>
  <c r="I903" i="6" s="1"/>
  <c r="G903" i="6"/>
  <c r="H895" i="6"/>
  <c r="I895" i="6" s="1"/>
  <c r="G895" i="6"/>
  <c r="G887" i="6"/>
  <c r="H887" i="6" s="1"/>
  <c r="I887" i="6" s="1"/>
  <c r="G879" i="6"/>
  <c r="H879" i="6" s="1"/>
  <c r="I879" i="6" s="1"/>
  <c r="H871" i="6"/>
  <c r="I871" i="6" s="1"/>
  <c r="G871" i="6"/>
  <c r="H863" i="6"/>
  <c r="I863" i="6" s="1"/>
  <c r="G863" i="6"/>
  <c r="G855" i="6"/>
  <c r="H855" i="6" s="1"/>
  <c r="I855" i="6" s="1"/>
  <c r="G847" i="6"/>
  <c r="H847" i="6" s="1"/>
  <c r="I847" i="6" s="1"/>
  <c r="H839" i="6"/>
  <c r="I839" i="6" s="1"/>
  <c r="G839" i="6"/>
  <c r="H831" i="6"/>
  <c r="I831" i="6" s="1"/>
  <c r="G831" i="6"/>
  <c r="G823" i="6"/>
  <c r="H823" i="6" s="1"/>
  <c r="I823" i="6" s="1"/>
  <c r="G815" i="6"/>
  <c r="H815" i="6" s="1"/>
  <c r="I815" i="6" s="1"/>
  <c r="H807" i="6"/>
  <c r="I807" i="6" s="1"/>
  <c r="G807" i="6"/>
  <c r="H799" i="6"/>
  <c r="I799" i="6" s="1"/>
  <c r="G799" i="6"/>
  <c r="G791" i="6"/>
  <c r="H791" i="6" s="1"/>
  <c r="I791" i="6" s="1"/>
  <c r="G783" i="6"/>
  <c r="H783" i="6" s="1"/>
  <c r="I783" i="6" s="1"/>
  <c r="H775" i="6"/>
  <c r="I775" i="6" s="1"/>
  <c r="G775" i="6"/>
  <c r="H767" i="6"/>
  <c r="I767" i="6" s="1"/>
  <c r="G767" i="6"/>
  <c r="G759" i="6"/>
  <c r="H759" i="6" s="1"/>
  <c r="I759" i="6" s="1"/>
  <c r="G751" i="6"/>
  <c r="H751" i="6" s="1"/>
  <c r="I751" i="6" s="1"/>
  <c r="H743" i="6"/>
  <c r="I743" i="6" s="1"/>
  <c r="G743" i="6"/>
  <c r="H735" i="6"/>
  <c r="I735" i="6" s="1"/>
  <c r="G735" i="6"/>
  <c r="G727" i="6"/>
  <c r="H727" i="6" s="1"/>
  <c r="I727" i="6" s="1"/>
  <c r="G719" i="6"/>
  <c r="H719" i="6" s="1"/>
  <c r="I719" i="6" s="1"/>
  <c r="H711" i="6"/>
  <c r="I711" i="6" s="1"/>
  <c r="G711" i="6"/>
  <c r="H703" i="6"/>
  <c r="I703" i="6" s="1"/>
  <c r="G703" i="6"/>
  <c r="G695" i="6"/>
  <c r="H695" i="6" s="1"/>
  <c r="I695" i="6" s="1"/>
  <c r="G687" i="6"/>
  <c r="H687" i="6" s="1"/>
  <c r="I687" i="6" s="1"/>
  <c r="H679" i="6"/>
  <c r="I679" i="6" s="1"/>
  <c r="G679" i="6"/>
  <c r="H671" i="6"/>
  <c r="I671" i="6" s="1"/>
  <c r="G671" i="6"/>
  <c r="G663" i="6"/>
  <c r="H663" i="6" s="1"/>
  <c r="I663" i="6" s="1"/>
  <c r="G655" i="6"/>
  <c r="H655" i="6" s="1"/>
  <c r="I655" i="6" s="1"/>
  <c r="H647" i="6"/>
  <c r="I647" i="6" s="1"/>
  <c r="G901" i="6"/>
  <c r="H901" i="6" s="1"/>
  <c r="I901" i="6" s="1"/>
  <c r="G645" i="6"/>
  <c r="H645" i="6" s="1"/>
  <c r="I645" i="6" s="1"/>
  <c r="G482" i="6"/>
  <c r="H482" i="6" s="1"/>
  <c r="I482" i="6" s="1"/>
  <c r="H716" i="6"/>
  <c r="I716" i="6" s="1"/>
  <c r="H1029" i="6"/>
  <c r="I1029" i="6" s="1"/>
  <c r="G957" i="6"/>
  <c r="H957" i="6" s="1"/>
  <c r="I957" i="6" s="1"/>
  <c r="H909" i="6"/>
  <c r="I909" i="6" s="1"/>
  <c r="G909" i="6"/>
  <c r="H837" i="6"/>
  <c r="I837" i="6" s="1"/>
  <c r="H773" i="6"/>
  <c r="I773" i="6" s="1"/>
  <c r="G733" i="6"/>
  <c r="H733" i="6" s="1"/>
  <c r="I733" i="6" s="1"/>
  <c r="H661" i="6"/>
  <c r="I661" i="6" s="1"/>
  <c r="G613" i="6"/>
  <c r="H613" i="6" s="1"/>
  <c r="I613" i="6" s="1"/>
  <c r="H573" i="6"/>
  <c r="I573" i="6" s="1"/>
  <c r="G573" i="6"/>
  <c r="G525" i="6"/>
  <c r="H525" i="6" s="1"/>
  <c r="I525" i="6" s="1"/>
  <c r="H437" i="6"/>
  <c r="I437" i="6" s="1"/>
  <c r="G389" i="6"/>
  <c r="H389" i="6" s="1"/>
  <c r="I389" i="6" s="1"/>
  <c r="H349" i="6"/>
  <c r="I349" i="6" s="1"/>
  <c r="G349" i="6"/>
  <c r="H301" i="6"/>
  <c r="I301" i="6" s="1"/>
  <c r="G301" i="6"/>
  <c r="G261" i="6"/>
  <c r="H261" i="6" s="1"/>
  <c r="I261" i="6" s="1"/>
  <c r="G213" i="6"/>
  <c r="H213" i="6" s="1"/>
  <c r="I213" i="6" s="1"/>
  <c r="H141" i="6"/>
  <c r="I141" i="6" s="1"/>
  <c r="G141" i="6"/>
  <c r="G1070" i="6"/>
  <c r="H1070" i="6" s="1"/>
  <c r="I1070" i="6" s="1"/>
  <c r="G1062" i="6"/>
  <c r="H1062" i="6"/>
  <c r="I1062" i="6" s="1"/>
  <c r="G1054" i="6"/>
  <c r="H1054" i="6" s="1"/>
  <c r="I1054" i="6" s="1"/>
  <c r="G1046" i="6"/>
  <c r="H1046" i="6" s="1"/>
  <c r="I1046" i="6" s="1"/>
  <c r="G1038" i="6"/>
  <c r="H1038" i="6" s="1"/>
  <c r="I1038" i="6" s="1"/>
  <c r="G1030" i="6"/>
  <c r="H1030" i="6"/>
  <c r="I1030" i="6" s="1"/>
  <c r="G1022" i="6"/>
  <c r="H1022" i="6"/>
  <c r="I1022" i="6" s="1"/>
  <c r="G1014" i="6"/>
  <c r="H1014" i="6" s="1"/>
  <c r="I1014" i="6" s="1"/>
  <c r="G1006" i="6"/>
  <c r="H1006" i="6" s="1"/>
  <c r="I1006" i="6" s="1"/>
  <c r="G998" i="6"/>
  <c r="H998" i="6"/>
  <c r="I998" i="6" s="1"/>
  <c r="G990" i="6"/>
  <c r="H990" i="6" s="1"/>
  <c r="I990" i="6" s="1"/>
  <c r="G982" i="6"/>
  <c r="H982" i="6" s="1"/>
  <c r="I982" i="6" s="1"/>
  <c r="G974" i="6"/>
  <c r="H974" i="6" s="1"/>
  <c r="I974" i="6" s="1"/>
  <c r="G966" i="6"/>
  <c r="H966" i="6"/>
  <c r="I966" i="6" s="1"/>
  <c r="G958" i="6"/>
  <c r="H958" i="6"/>
  <c r="I958" i="6" s="1"/>
  <c r="G950" i="6"/>
  <c r="H950" i="6" s="1"/>
  <c r="I950" i="6" s="1"/>
  <c r="G942" i="6"/>
  <c r="H942" i="6" s="1"/>
  <c r="I942" i="6" s="1"/>
  <c r="G934" i="6"/>
  <c r="H934" i="6"/>
  <c r="I934" i="6" s="1"/>
  <c r="G926" i="6"/>
  <c r="H926" i="6" s="1"/>
  <c r="I926" i="6" s="1"/>
  <c r="G918" i="6"/>
  <c r="H918" i="6" s="1"/>
  <c r="I918" i="6" s="1"/>
  <c r="G910" i="6"/>
  <c r="H910" i="6" s="1"/>
  <c r="I910" i="6" s="1"/>
  <c r="G902" i="6"/>
  <c r="H902" i="6" s="1"/>
  <c r="I902" i="6" s="1"/>
  <c r="G894" i="6"/>
  <c r="H894" i="6" s="1"/>
  <c r="I894" i="6" s="1"/>
  <c r="H886" i="6"/>
  <c r="I886" i="6" s="1"/>
  <c r="G886" i="6"/>
  <c r="H878" i="6"/>
  <c r="I878" i="6" s="1"/>
  <c r="G878" i="6"/>
  <c r="G870" i="6"/>
  <c r="H870" i="6" s="1"/>
  <c r="I870" i="6" s="1"/>
  <c r="G862" i="6"/>
  <c r="H862" i="6" s="1"/>
  <c r="I862" i="6" s="1"/>
  <c r="H854" i="6"/>
  <c r="I854" i="6" s="1"/>
  <c r="G854" i="6"/>
  <c r="H846" i="6"/>
  <c r="I846" i="6" s="1"/>
  <c r="G846" i="6"/>
  <c r="G838" i="6"/>
  <c r="H838" i="6" s="1"/>
  <c r="I838" i="6" s="1"/>
  <c r="G830" i="6"/>
  <c r="H830" i="6" s="1"/>
  <c r="I830" i="6" s="1"/>
  <c r="H822" i="6"/>
  <c r="I822" i="6" s="1"/>
  <c r="G822" i="6"/>
  <c r="H814" i="6"/>
  <c r="I814" i="6" s="1"/>
  <c r="G814" i="6"/>
  <c r="G806" i="6"/>
  <c r="H806" i="6" s="1"/>
  <c r="I806" i="6" s="1"/>
  <c r="G798" i="6"/>
  <c r="H798" i="6" s="1"/>
  <c r="I798" i="6" s="1"/>
  <c r="H790" i="6"/>
  <c r="I790" i="6" s="1"/>
  <c r="G790" i="6"/>
  <c r="H782" i="6"/>
  <c r="I782" i="6" s="1"/>
  <c r="G782" i="6"/>
  <c r="G774" i="6"/>
  <c r="H774" i="6" s="1"/>
  <c r="I774" i="6" s="1"/>
  <c r="G766" i="6"/>
  <c r="H766" i="6" s="1"/>
  <c r="I766" i="6" s="1"/>
  <c r="H758" i="6"/>
  <c r="I758" i="6" s="1"/>
  <c r="G758" i="6"/>
  <c r="H750" i="6"/>
  <c r="I750" i="6" s="1"/>
  <c r="G750" i="6"/>
  <c r="G742" i="6"/>
  <c r="H742" i="6" s="1"/>
  <c r="I742" i="6" s="1"/>
  <c r="G734" i="6"/>
  <c r="H734" i="6" s="1"/>
  <c r="I734" i="6" s="1"/>
  <c r="H726" i="6"/>
  <c r="I726" i="6" s="1"/>
  <c r="G726" i="6"/>
  <c r="H718" i="6"/>
  <c r="I718" i="6" s="1"/>
  <c r="G718" i="6"/>
  <c r="G710" i="6"/>
  <c r="H710" i="6" s="1"/>
  <c r="I710" i="6" s="1"/>
  <c r="G702" i="6"/>
  <c r="H702" i="6" s="1"/>
  <c r="I702" i="6" s="1"/>
  <c r="H694" i="6"/>
  <c r="I694" i="6" s="1"/>
  <c r="G694" i="6"/>
  <c r="H686" i="6"/>
  <c r="I686" i="6" s="1"/>
  <c r="G686" i="6"/>
  <c r="G678" i="6"/>
  <c r="H678" i="6" s="1"/>
  <c r="I678" i="6" s="1"/>
  <c r="G670" i="6"/>
  <c r="H670" i="6" s="1"/>
  <c r="I670" i="6" s="1"/>
  <c r="H662" i="6"/>
  <c r="I662" i="6" s="1"/>
  <c r="G662" i="6"/>
  <c r="H654" i="6"/>
  <c r="I654" i="6" s="1"/>
  <c r="G654" i="6"/>
  <c r="G646" i="6"/>
  <c r="H646" i="6" s="1"/>
  <c r="I646" i="6" s="1"/>
  <c r="G638" i="6"/>
  <c r="H638" i="6" s="1"/>
  <c r="I638" i="6" s="1"/>
  <c r="H630" i="6"/>
  <c r="I630" i="6" s="1"/>
  <c r="G630" i="6"/>
  <c r="H622" i="6"/>
  <c r="I622" i="6" s="1"/>
  <c r="G622" i="6"/>
  <c r="G614" i="6"/>
  <c r="H614" i="6" s="1"/>
  <c r="I614" i="6" s="1"/>
  <c r="G1013" i="6"/>
  <c r="H1013" i="6" s="1"/>
  <c r="I1013" i="6" s="1"/>
  <c r="G757" i="6"/>
  <c r="H757" i="6" s="1"/>
  <c r="I757" i="6" s="1"/>
  <c r="G629" i="6"/>
  <c r="H629" i="6" s="1"/>
  <c r="I629" i="6" s="1"/>
  <c r="H570" i="6"/>
  <c r="I570" i="6" s="1"/>
  <c r="H492" i="6"/>
  <c r="I492" i="6" s="1"/>
  <c r="H468" i="6"/>
  <c r="I468" i="6" s="1"/>
  <c r="H460" i="6"/>
  <c r="I460" i="6" s="1"/>
  <c r="H444" i="6"/>
  <c r="I444" i="6" s="1"/>
  <c r="H412" i="6"/>
  <c r="I412" i="6" s="1"/>
  <c r="G396" i="6"/>
  <c r="H396" i="6" s="1"/>
  <c r="I396" i="6" s="1"/>
  <c r="H388" i="6"/>
  <c r="I388" i="6" s="1"/>
  <c r="G388" i="6"/>
  <c r="H380" i="6"/>
  <c r="I380" i="6" s="1"/>
  <c r="G380" i="6"/>
  <c r="G372" i="6"/>
  <c r="H372" i="6" s="1"/>
  <c r="I372" i="6" s="1"/>
  <c r="G364" i="6"/>
  <c r="H364" i="6" s="1"/>
  <c r="I364" i="6" s="1"/>
  <c r="H356" i="6"/>
  <c r="I356" i="6" s="1"/>
  <c r="G356" i="6"/>
  <c r="H348" i="6"/>
  <c r="I348" i="6" s="1"/>
  <c r="G348" i="6"/>
  <c r="G340" i="6"/>
  <c r="H340" i="6" s="1"/>
  <c r="I340" i="6" s="1"/>
  <c r="G332" i="6"/>
  <c r="H332" i="6" s="1"/>
  <c r="I332" i="6" s="1"/>
  <c r="H324" i="6"/>
  <c r="I324" i="6" s="1"/>
  <c r="G324" i="6"/>
  <c r="H316" i="6"/>
  <c r="I316" i="6" s="1"/>
  <c r="G316" i="6"/>
  <c r="G308" i="6"/>
  <c r="H308" i="6" s="1"/>
  <c r="I308" i="6" s="1"/>
  <c r="G300" i="6"/>
  <c r="H300" i="6" s="1"/>
  <c r="I300" i="6" s="1"/>
  <c r="H292" i="6"/>
  <c r="I292" i="6" s="1"/>
  <c r="G292" i="6"/>
  <c r="H284" i="6"/>
  <c r="I284" i="6" s="1"/>
  <c r="G284" i="6"/>
  <c r="G276" i="6"/>
  <c r="H276" i="6" s="1"/>
  <c r="I276" i="6" s="1"/>
  <c r="G268" i="6"/>
  <c r="H268" i="6" s="1"/>
  <c r="I268" i="6" s="1"/>
  <c r="H260" i="6"/>
  <c r="I260" i="6" s="1"/>
  <c r="G260" i="6"/>
  <c r="H252" i="6"/>
  <c r="I252" i="6" s="1"/>
  <c r="G252" i="6"/>
  <c r="G244" i="6"/>
  <c r="H244" i="6" s="1"/>
  <c r="I244" i="6" s="1"/>
  <c r="G236" i="6"/>
  <c r="H236" i="6" s="1"/>
  <c r="I236" i="6" s="1"/>
  <c r="H228" i="6"/>
  <c r="I228" i="6" s="1"/>
  <c r="G228" i="6"/>
  <c r="H220" i="6"/>
  <c r="I220" i="6" s="1"/>
  <c r="G220" i="6"/>
  <c r="G212" i="6"/>
  <c r="H212" i="6" s="1"/>
  <c r="I212" i="6" s="1"/>
  <c r="G204" i="6"/>
  <c r="H204" i="6" s="1"/>
  <c r="I204" i="6" s="1"/>
  <c r="H196" i="6"/>
  <c r="I196" i="6" s="1"/>
  <c r="G196" i="6"/>
  <c r="H188" i="6"/>
  <c r="I188" i="6" s="1"/>
  <c r="G188" i="6"/>
  <c r="G180" i="6"/>
  <c r="H180" i="6" s="1"/>
  <c r="I180" i="6" s="1"/>
  <c r="G172" i="6"/>
  <c r="H172" i="6" s="1"/>
  <c r="I172" i="6" s="1"/>
  <c r="H164" i="6"/>
  <c r="I164" i="6" s="1"/>
  <c r="G164" i="6"/>
  <c r="H156" i="6"/>
  <c r="I156" i="6" s="1"/>
  <c r="G156" i="6"/>
  <c r="G148" i="6"/>
  <c r="H148" i="6" s="1"/>
  <c r="I148" i="6" s="1"/>
  <c r="G140" i="6"/>
  <c r="H140" i="6" s="1"/>
  <c r="I140" i="6" s="1"/>
  <c r="H132" i="6"/>
  <c r="I132" i="6" s="1"/>
  <c r="G132" i="6"/>
  <c r="H124" i="6"/>
  <c r="I124" i="6" s="1"/>
  <c r="G124" i="6"/>
  <c r="G116" i="6"/>
  <c r="H116" i="6" s="1"/>
  <c r="I116" i="6" s="1"/>
  <c r="G108" i="6"/>
  <c r="H108" i="6" s="1"/>
  <c r="I108" i="6" s="1"/>
  <c r="H100" i="6"/>
  <c r="I100" i="6" s="1"/>
  <c r="G100" i="6"/>
  <c r="H92" i="6"/>
  <c r="I92" i="6" s="1"/>
  <c r="G92" i="6"/>
  <c r="G84" i="6"/>
  <c r="H84" i="6"/>
  <c r="I84" i="6" s="1"/>
  <c r="G76" i="6"/>
  <c r="H76" i="6" s="1"/>
  <c r="I76" i="6" s="1"/>
  <c r="H68" i="6"/>
  <c r="I68" i="6" s="1"/>
  <c r="G68" i="6"/>
  <c r="H60" i="6"/>
  <c r="I60" i="6" s="1"/>
  <c r="G60" i="6"/>
  <c r="G52" i="6"/>
  <c r="H52" i="6"/>
  <c r="I52" i="6" s="1"/>
  <c r="G44" i="6"/>
  <c r="H44" i="6" s="1"/>
  <c r="I44" i="6" s="1"/>
  <c r="H36" i="6"/>
  <c r="I36" i="6" s="1"/>
  <c r="G36" i="6"/>
  <c r="H28" i="6"/>
  <c r="I28" i="6" s="1"/>
  <c r="G28" i="6"/>
  <c r="G20" i="6"/>
  <c r="H20" i="6"/>
  <c r="I20" i="6" s="1"/>
  <c r="G12" i="6"/>
  <c r="H12" i="6" s="1"/>
  <c r="I12" i="6" s="1"/>
  <c r="G436" i="6"/>
  <c r="H436" i="6" s="1"/>
  <c r="I436" i="6" s="1"/>
  <c r="H545" i="6"/>
  <c r="I545" i="6" s="1"/>
  <c r="H683" i="6"/>
  <c r="I683" i="6" s="1"/>
  <c r="G683" i="6"/>
  <c r="G675" i="6"/>
  <c r="H675" i="6" s="1"/>
  <c r="I675" i="6" s="1"/>
  <c r="G667" i="6"/>
  <c r="H667" i="6" s="1"/>
  <c r="I667" i="6" s="1"/>
  <c r="H659" i="6"/>
  <c r="I659" i="6" s="1"/>
  <c r="G659" i="6"/>
  <c r="H651" i="6"/>
  <c r="I651" i="6" s="1"/>
  <c r="G651" i="6"/>
  <c r="G643" i="6"/>
  <c r="H643" i="6" s="1"/>
  <c r="I643" i="6" s="1"/>
  <c r="G635" i="6"/>
  <c r="H635" i="6" s="1"/>
  <c r="I635" i="6" s="1"/>
  <c r="H627" i="6"/>
  <c r="I627" i="6" s="1"/>
  <c r="G627" i="6"/>
  <c r="H619" i="6"/>
  <c r="I619" i="6" s="1"/>
  <c r="G619" i="6"/>
  <c r="G611" i="6"/>
  <c r="H611" i="6" s="1"/>
  <c r="I611" i="6" s="1"/>
  <c r="G603" i="6"/>
  <c r="H603" i="6" s="1"/>
  <c r="I603" i="6" s="1"/>
  <c r="H595" i="6"/>
  <c r="I595" i="6" s="1"/>
  <c r="G595" i="6"/>
  <c r="H587" i="6"/>
  <c r="I587" i="6" s="1"/>
  <c r="G587" i="6"/>
  <c r="G579" i="6"/>
  <c r="H579" i="6" s="1"/>
  <c r="I579" i="6" s="1"/>
  <c r="G571" i="6"/>
  <c r="H571" i="6" s="1"/>
  <c r="I571" i="6" s="1"/>
  <c r="H563" i="6"/>
  <c r="I563" i="6" s="1"/>
  <c r="G563" i="6"/>
  <c r="H555" i="6"/>
  <c r="I555" i="6" s="1"/>
  <c r="G555" i="6"/>
  <c r="G547" i="6"/>
  <c r="H547" i="6" s="1"/>
  <c r="I547" i="6" s="1"/>
  <c r="G539" i="6"/>
  <c r="H539" i="6" s="1"/>
  <c r="I539" i="6" s="1"/>
  <c r="H531" i="6"/>
  <c r="I531" i="6" s="1"/>
  <c r="G531" i="6"/>
  <c r="H523" i="6"/>
  <c r="I523" i="6" s="1"/>
  <c r="G523" i="6"/>
  <c r="G515" i="6"/>
  <c r="H515" i="6" s="1"/>
  <c r="I515" i="6" s="1"/>
  <c r="G507" i="6"/>
  <c r="H507" i="6" s="1"/>
  <c r="I507" i="6" s="1"/>
  <c r="H499" i="6"/>
  <c r="I499" i="6" s="1"/>
  <c r="G499" i="6"/>
  <c r="H491" i="6"/>
  <c r="I491" i="6" s="1"/>
  <c r="G491" i="6"/>
  <c r="G483" i="6"/>
  <c r="H483" i="6" s="1"/>
  <c r="I483" i="6" s="1"/>
  <c r="G475" i="6"/>
  <c r="H475" i="6" s="1"/>
  <c r="I475" i="6" s="1"/>
  <c r="H467" i="6"/>
  <c r="I467" i="6" s="1"/>
  <c r="G467" i="6"/>
  <c r="H459" i="6"/>
  <c r="I459" i="6" s="1"/>
  <c r="G459" i="6"/>
  <c r="G451" i="6"/>
  <c r="H451" i="6" s="1"/>
  <c r="I451" i="6" s="1"/>
  <c r="G443" i="6"/>
  <c r="H443" i="6" s="1"/>
  <c r="I443" i="6" s="1"/>
  <c r="H435" i="6"/>
  <c r="I435" i="6" s="1"/>
  <c r="G435" i="6"/>
  <c r="H427" i="6"/>
  <c r="I427" i="6" s="1"/>
  <c r="G427" i="6"/>
  <c r="G419" i="6"/>
  <c r="H419" i="6" s="1"/>
  <c r="I419" i="6" s="1"/>
  <c r="G411" i="6"/>
  <c r="H411" i="6" s="1"/>
  <c r="I411" i="6" s="1"/>
  <c r="H403" i="6"/>
  <c r="I403" i="6" s="1"/>
  <c r="G403" i="6"/>
  <c r="H395" i="6"/>
  <c r="I395" i="6" s="1"/>
  <c r="G395" i="6"/>
  <c r="G387" i="6"/>
  <c r="H387" i="6" s="1"/>
  <c r="I387" i="6" s="1"/>
  <c r="G379" i="6"/>
  <c r="H379" i="6" s="1"/>
  <c r="I379" i="6" s="1"/>
  <c r="H371" i="6"/>
  <c r="I371" i="6" s="1"/>
  <c r="G371" i="6"/>
  <c r="H363" i="6"/>
  <c r="I363" i="6" s="1"/>
  <c r="G363" i="6"/>
  <c r="G355" i="6"/>
  <c r="H355" i="6" s="1"/>
  <c r="I355" i="6" s="1"/>
  <c r="G347" i="6"/>
  <c r="H347" i="6" s="1"/>
  <c r="I347" i="6" s="1"/>
  <c r="H339" i="6"/>
  <c r="I339" i="6" s="1"/>
  <c r="G339" i="6"/>
  <c r="H331" i="6"/>
  <c r="I331" i="6" s="1"/>
  <c r="G331" i="6"/>
  <c r="G323" i="6"/>
  <c r="H323" i="6" s="1"/>
  <c r="I323" i="6" s="1"/>
  <c r="G315" i="6"/>
  <c r="H315" i="6" s="1"/>
  <c r="I315" i="6" s="1"/>
  <c r="H307" i="6"/>
  <c r="I307" i="6" s="1"/>
  <c r="G307" i="6"/>
  <c r="H299" i="6"/>
  <c r="I299" i="6" s="1"/>
  <c r="G299" i="6"/>
  <c r="G291" i="6"/>
  <c r="H291" i="6" s="1"/>
  <c r="I291" i="6" s="1"/>
  <c r="G283" i="6"/>
  <c r="H283" i="6" s="1"/>
  <c r="I283" i="6" s="1"/>
  <c r="H275" i="6"/>
  <c r="I275" i="6" s="1"/>
  <c r="G275" i="6"/>
  <c r="H267" i="6"/>
  <c r="I267" i="6" s="1"/>
  <c r="G267" i="6"/>
  <c r="G259" i="6"/>
  <c r="H259" i="6" s="1"/>
  <c r="I259" i="6" s="1"/>
  <c r="G251" i="6"/>
  <c r="H251" i="6" s="1"/>
  <c r="I251" i="6" s="1"/>
  <c r="H243" i="6"/>
  <c r="I243" i="6" s="1"/>
  <c r="G243" i="6"/>
  <c r="H235" i="6"/>
  <c r="I235" i="6" s="1"/>
  <c r="G235" i="6"/>
  <c r="G227" i="6"/>
  <c r="H227" i="6" s="1"/>
  <c r="I227" i="6" s="1"/>
  <c r="G219" i="6"/>
  <c r="H219" i="6" s="1"/>
  <c r="I219" i="6" s="1"/>
  <c r="H211" i="6"/>
  <c r="I211" i="6" s="1"/>
  <c r="G211" i="6"/>
  <c r="G203" i="6"/>
  <c r="H203" i="6" s="1"/>
  <c r="I203" i="6" s="1"/>
  <c r="G195" i="6"/>
  <c r="H195" i="6" s="1"/>
  <c r="I195" i="6" s="1"/>
  <c r="G187" i="6"/>
  <c r="H187" i="6" s="1"/>
  <c r="I187" i="6" s="1"/>
  <c r="H179" i="6"/>
  <c r="I179" i="6" s="1"/>
  <c r="G179" i="6"/>
  <c r="H171" i="6"/>
  <c r="I171" i="6" s="1"/>
  <c r="G171" i="6"/>
  <c r="G163" i="6"/>
  <c r="H163" i="6" s="1"/>
  <c r="I163" i="6" s="1"/>
  <c r="G155" i="6"/>
  <c r="H155" i="6" s="1"/>
  <c r="I155" i="6" s="1"/>
  <c r="H147" i="6"/>
  <c r="I147" i="6" s="1"/>
  <c r="G147" i="6"/>
  <c r="H139" i="6"/>
  <c r="I139" i="6" s="1"/>
  <c r="G139" i="6"/>
  <c r="G131" i="6"/>
  <c r="H131" i="6" s="1"/>
  <c r="I131" i="6" s="1"/>
  <c r="G123" i="6"/>
  <c r="H123" i="6" s="1"/>
  <c r="I123" i="6" s="1"/>
  <c r="H115" i="6"/>
  <c r="I115" i="6" s="1"/>
  <c r="G115" i="6"/>
  <c r="H107" i="6"/>
  <c r="I107" i="6" s="1"/>
  <c r="G107" i="6"/>
  <c r="G99" i="6"/>
  <c r="H99" i="6" s="1"/>
  <c r="I99" i="6" s="1"/>
  <c r="G91" i="6"/>
  <c r="H91" i="6" s="1"/>
  <c r="I91" i="6" s="1"/>
  <c r="H75" i="6"/>
  <c r="I75" i="6" s="1"/>
  <c r="G75" i="6"/>
  <c r="G67" i="6"/>
  <c r="H67" i="6" s="1"/>
  <c r="I67" i="6" s="1"/>
  <c r="H59" i="6"/>
  <c r="I59" i="6" s="1"/>
  <c r="G51" i="6"/>
  <c r="H51" i="6" s="1"/>
  <c r="I51" i="6" s="1"/>
  <c r="H43" i="6"/>
  <c r="I43" i="6" s="1"/>
  <c r="G43" i="6"/>
  <c r="G476" i="6"/>
  <c r="H476" i="6" s="1"/>
  <c r="I476" i="6" s="1"/>
  <c r="G412" i="6"/>
  <c r="G59" i="6"/>
  <c r="H691" i="6"/>
  <c r="I691" i="6" s="1"/>
  <c r="H298" i="6"/>
  <c r="I298" i="6" s="1"/>
  <c r="H290" i="6"/>
  <c r="I290" i="6" s="1"/>
  <c r="H266" i="6"/>
  <c r="I266" i="6" s="1"/>
  <c r="H258" i="6"/>
  <c r="I258" i="6" s="1"/>
  <c r="H234" i="6"/>
  <c r="I234" i="6" s="1"/>
  <c r="H226" i="6"/>
  <c r="I226" i="6" s="1"/>
  <c r="H218" i="6"/>
  <c r="I218" i="6" s="1"/>
  <c r="H202" i="6"/>
  <c r="I202" i="6" s="1"/>
  <c r="H194" i="6"/>
  <c r="I194" i="6" s="1"/>
  <c r="H170" i="6"/>
  <c r="I170" i="6" s="1"/>
  <c r="H162" i="6"/>
  <c r="I162" i="6" s="1"/>
  <c r="H154" i="6"/>
  <c r="I154" i="6" s="1"/>
  <c r="H138" i="6"/>
  <c r="I138" i="6" s="1"/>
  <c r="H130" i="6"/>
  <c r="I130" i="6" s="1"/>
  <c r="H106" i="6"/>
  <c r="I106" i="6" s="1"/>
  <c r="H98" i="6"/>
  <c r="I98" i="6" s="1"/>
  <c r="H90" i="6"/>
  <c r="I90" i="6" s="1"/>
  <c r="G90" i="6"/>
  <c r="G82" i="6"/>
  <c r="H82" i="6" s="1"/>
  <c r="I82" i="6" s="1"/>
  <c r="G74" i="6"/>
  <c r="H74" i="6" s="1"/>
  <c r="I74" i="6" s="1"/>
  <c r="H66" i="6"/>
  <c r="I66" i="6" s="1"/>
  <c r="G66" i="6"/>
  <c r="H58" i="6"/>
  <c r="I58" i="6" s="1"/>
  <c r="G58" i="6"/>
  <c r="G50" i="6"/>
  <c r="H50" i="6" s="1"/>
  <c r="I50" i="6" s="1"/>
  <c r="G42" i="6"/>
  <c r="H42" i="6" s="1"/>
  <c r="I42" i="6" s="1"/>
  <c r="H34" i="6"/>
  <c r="I34" i="6" s="1"/>
  <c r="G34" i="6"/>
  <c r="H26" i="6"/>
  <c r="I26" i="6" s="1"/>
  <c r="G26" i="6"/>
  <c r="G18" i="6"/>
  <c r="H18" i="6" s="1"/>
  <c r="I18" i="6" s="1"/>
  <c r="G10" i="6"/>
  <c r="H10" i="6" s="1"/>
  <c r="I10" i="6" s="1"/>
  <c r="H2" i="6"/>
  <c r="G2" i="6"/>
  <c r="G452" i="6"/>
  <c r="H452" i="6" s="1"/>
  <c r="I452" i="6" s="1"/>
  <c r="G673" i="6"/>
  <c r="H673" i="6" s="1"/>
  <c r="I673" i="6" s="1"/>
  <c r="G665" i="6"/>
  <c r="H665" i="6" s="1"/>
  <c r="I665" i="6" s="1"/>
  <c r="G657" i="6"/>
  <c r="H657" i="6" s="1"/>
  <c r="I657" i="6" s="1"/>
  <c r="H649" i="6"/>
  <c r="I649" i="6" s="1"/>
  <c r="G649" i="6"/>
  <c r="G641" i="6"/>
  <c r="H641" i="6" s="1"/>
  <c r="I641" i="6" s="1"/>
  <c r="H633" i="6"/>
  <c r="I633" i="6" s="1"/>
  <c r="G633" i="6"/>
  <c r="G625" i="6"/>
  <c r="H625" i="6" s="1"/>
  <c r="I625" i="6" s="1"/>
  <c r="H617" i="6"/>
  <c r="I617" i="6" s="1"/>
  <c r="G617" i="6"/>
  <c r="G609" i="6"/>
  <c r="H609" i="6" s="1"/>
  <c r="I609" i="6" s="1"/>
  <c r="H601" i="6"/>
  <c r="I601" i="6" s="1"/>
  <c r="G601" i="6"/>
  <c r="G585" i="6"/>
  <c r="H585" i="6" s="1"/>
  <c r="I585" i="6" s="1"/>
  <c r="H577" i="6"/>
  <c r="I577" i="6" s="1"/>
  <c r="G577" i="6"/>
  <c r="G569" i="6"/>
  <c r="H569" i="6" s="1"/>
  <c r="I569" i="6" s="1"/>
  <c r="H561" i="6"/>
  <c r="I561" i="6" s="1"/>
  <c r="G561" i="6"/>
  <c r="G553" i="6"/>
  <c r="H553" i="6" s="1"/>
  <c r="I553" i="6" s="1"/>
  <c r="H537" i="6"/>
  <c r="I537" i="6" s="1"/>
  <c r="G537" i="6"/>
  <c r="G529" i="6"/>
  <c r="H529" i="6"/>
  <c r="I529" i="6" s="1"/>
  <c r="H521" i="6"/>
  <c r="I521" i="6" s="1"/>
  <c r="G521" i="6"/>
  <c r="G513" i="6"/>
  <c r="H513" i="6" s="1"/>
  <c r="I513" i="6" s="1"/>
  <c r="H505" i="6"/>
  <c r="I505" i="6" s="1"/>
  <c r="G505" i="6"/>
  <c r="G497" i="6"/>
  <c r="H497" i="6" s="1"/>
  <c r="I497" i="6" s="1"/>
  <c r="H489" i="6"/>
  <c r="I489" i="6" s="1"/>
  <c r="G489" i="6"/>
  <c r="G481" i="6"/>
  <c r="H481" i="6"/>
  <c r="I481" i="6" s="1"/>
  <c r="H473" i="6"/>
  <c r="I473" i="6" s="1"/>
  <c r="G473" i="6"/>
  <c r="G465" i="6"/>
  <c r="H465" i="6"/>
  <c r="I465" i="6" s="1"/>
  <c r="H457" i="6"/>
  <c r="I457" i="6" s="1"/>
  <c r="G457" i="6"/>
  <c r="G449" i="6"/>
  <c r="H449" i="6" s="1"/>
  <c r="I449" i="6" s="1"/>
  <c r="H441" i="6"/>
  <c r="I441" i="6" s="1"/>
  <c r="G441" i="6"/>
  <c r="G433" i="6"/>
  <c r="H433" i="6" s="1"/>
  <c r="I433" i="6" s="1"/>
  <c r="H425" i="6"/>
  <c r="I425" i="6" s="1"/>
  <c r="G425" i="6"/>
  <c r="G417" i="6"/>
  <c r="H417" i="6"/>
  <c r="I417" i="6" s="1"/>
  <c r="H409" i="6"/>
  <c r="I409" i="6" s="1"/>
  <c r="G409" i="6"/>
  <c r="G401" i="6"/>
  <c r="H401" i="6"/>
  <c r="I401" i="6" s="1"/>
  <c r="H393" i="6"/>
  <c r="I393" i="6" s="1"/>
  <c r="G393" i="6"/>
  <c r="G385" i="6"/>
  <c r="H385" i="6" s="1"/>
  <c r="I385" i="6" s="1"/>
  <c r="H377" i="6"/>
  <c r="I377" i="6" s="1"/>
  <c r="G377" i="6"/>
  <c r="G369" i="6"/>
  <c r="H369" i="6" s="1"/>
  <c r="I369" i="6" s="1"/>
  <c r="H361" i="6"/>
  <c r="I361" i="6" s="1"/>
  <c r="G361" i="6"/>
  <c r="G353" i="6"/>
  <c r="H353" i="6"/>
  <c r="I353" i="6" s="1"/>
  <c r="H345" i="6"/>
  <c r="I345" i="6" s="1"/>
  <c r="G345" i="6"/>
  <c r="G337" i="6"/>
  <c r="H337" i="6" s="1"/>
  <c r="I337" i="6" s="1"/>
  <c r="H329" i="6"/>
  <c r="I329" i="6" s="1"/>
  <c r="G329" i="6"/>
  <c r="G321" i="6"/>
  <c r="H321" i="6" s="1"/>
  <c r="I321" i="6" s="1"/>
  <c r="H305" i="6"/>
  <c r="I305" i="6" s="1"/>
  <c r="G305" i="6"/>
  <c r="G297" i="6"/>
  <c r="H297" i="6" s="1"/>
  <c r="I297" i="6" s="1"/>
  <c r="H289" i="6"/>
  <c r="I289" i="6" s="1"/>
  <c r="G289" i="6"/>
  <c r="G281" i="6"/>
  <c r="H281" i="6" s="1"/>
  <c r="I281" i="6" s="1"/>
  <c r="H273" i="6"/>
  <c r="I273" i="6" s="1"/>
  <c r="G273" i="6"/>
  <c r="G265" i="6"/>
  <c r="H265" i="6" s="1"/>
  <c r="I265" i="6" s="1"/>
  <c r="H257" i="6"/>
  <c r="I257" i="6" s="1"/>
  <c r="G257" i="6"/>
  <c r="G249" i="6"/>
  <c r="H249" i="6" s="1"/>
  <c r="I249" i="6" s="1"/>
  <c r="H241" i="6"/>
  <c r="I241" i="6" s="1"/>
  <c r="G241" i="6"/>
  <c r="G233" i="6"/>
  <c r="H233" i="6" s="1"/>
  <c r="I233" i="6" s="1"/>
  <c r="H225" i="6"/>
  <c r="I225" i="6" s="1"/>
  <c r="G225" i="6"/>
  <c r="G217" i="6"/>
  <c r="H217" i="6" s="1"/>
  <c r="I217" i="6" s="1"/>
  <c r="H209" i="6"/>
  <c r="I209" i="6" s="1"/>
  <c r="G209" i="6"/>
  <c r="G201" i="6"/>
  <c r="H201" i="6" s="1"/>
  <c r="I201" i="6" s="1"/>
  <c r="H193" i="6"/>
  <c r="I193" i="6" s="1"/>
  <c r="G193" i="6"/>
  <c r="G185" i="6"/>
  <c r="H185" i="6" s="1"/>
  <c r="I185" i="6" s="1"/>
  <c r="H177" i="6"/>
  <c r="I177" i="6" s="1"/>
  <c r="G177" i="6"/>
  <c r="G169" i="6"/>
  <c r="H169" i="6" s="1"/>
  <c r="I169" i="6" s="1"/>
  <c r="H161" i="6"/>
  <c r="I161" i="6" s="1"/>
  <c r="G161" i="6"/>
  <c r="G153" i="6"/>
  <c r="H153" i="6" s="1"/>
  <c r="I153" i="6" s="1"/>
  <c r="H145" i="6"/>
  <c r="I145" i="6" s="1"/>
  <c r="G145" i="6"/>
  <c r="G137" i="6"/>
  <c r="H137" i="6" s="1"/>
  <c r="I137" i="6" s="1"/>
  <c r="H129" i="6"/>
  <c r="I129" i="6" s="1"/>
  <c r="G129" i="6"/>
  <c r="G121" i="6"/>
  <c r="H121" i="6" s="1"/>
  <c r="I121" i="6" s="1"/>
  <c r="H113" i="6"/>
  <c r="I113" i="6" s="1"/>
  <c r="G113" i="6"/>
  <c r="G105" i="6"/>
  <c r="H105" i="6" s="1"/>
  <c r="I105" i="6" s="1"/>
  <c r="H97" i="6"/>
  <c r="I97" i="6" s="1"/>
  <c r="G97" i="6"/>
  <c r="H81" i="6"/>
  <c r="I81" i="6" s="1"/>
  <c r="G81" i="6"/>
  <c r="H73" i="6"/>
  <c r="I73" i="6" s="1"/>
  <c r="G65" i="6"/>
  <c r="H65" i="6" s="1"/>
  <c r="I65" i="6" s="1"/>
  <c r="H57" i="6"/>
  <c r="I57" i="6" s="1"/>
  <c r="G57" i="6"/>
  <c r="G492" i="6"/>
  <c r="G428" i="6"/>
  <c r="H428" i="6" s="1"/>
  <c r="I428" i="6" s="1"/>
  <c r="G314" i="6"/>
  <c r="H314" i="6" s="1"/>
  <c r="I314" i="6" s="1"/>
  <c r="G282" i="6"/>
  <c r="H282" i="6" s="1"/>
  <c r="I282" i="6" s="1"/>
  <c r="G250" i="6"/>
  <c r="H250" i="6" s="1"/>
  <c r="I250" i="6" s="1"/>
  <c r="G218" i="6"/>
  <c r="G186" i="6"/>
  <c r="H186" i="6" s="1"/>
  <c r="I186" i="6" s="1"/>
  <c r="G154" i="6"/>
  <c r="G122" i="6"/>
  <c r="H122" i="6" s="1"/>
  <c r="I122" i="6" s="1"/>
  <c r="G89" i="6"/>
  <c r="H89" i="6" s="1"/>
  <c r="I89" i="6" s="1"/>
  <c r="H664" i="6"/>
  <c r="I664" i="6" s="1"/>
  <c r="H688" i="6"/>
  <c r="I688" i="6" s="1"/>
  <c r="G688" i="6"/>
  <c r="G680" i="6"/>
  <c r="H680" i="6" s="1"/>
  <c r="I680" i="6" s="1"/>
  <c r="G672" i="6"/>
  <c r="H672" i="6" s="1"/>
  <c r="I672" i="6" s="1"/>
  <c r="H656" i="6"/>
  <c r="I656" i="6" s="1"/>
  <c r="G656" i="6"/>
  <c r="H648" i="6"/>
  <c r="I648" i="6" s="1"/>
  <c r="G648" i="6"/>
  <c r="G632" i="6"/>
  <c r="H632" i="6" s="1"/>
  <c r="I632" i="6" s="1"/>
  <c r="G624" i="6"/>
  <c r="H624" i="6" s="1"/>
  <c r="I624" i="6" s="1"/>
  <c r="H616" i="6"/>
  <c r="I616" i="6" s="1"/>
  <c r="G616" i="6"/>
  <c r="H608" i="6"/>
  <c r="I608" i="6" s="1"/>
  <c r="G608" i="6"/>
  <c r="G600" i="6"/>
  <c r="H600" i="6" s="1"/>
  <c r="I600" i="6" s="1"/>
  <c r="G592" i="6"/>
  <c r="H592" i="6" s="1"/>
  <c r="I592" i="6" s="1"/>
  <c r="H584" i="6"/>
  <c r="I584" i="6" s="1"/>
  <c r="G584" i="6"/>
  <c r="H576" i="6"/>
  <c r="I576" i="6" s="1"/>
  <c r="G576" i="6"/>
  <c r="G568" i="6"/>
  <c r="H568" i="6" s="1"/>
  <c r="I568" i="6" s="1"/>
  <c r="G560" i="6"/>
  <c r="H560" i="6" s="1"/>
  <c r="I560" i="6" s="1"/>
  <c r="H552" i="6"/>
  <c r="I552" i="6" s="1"/>
  <c r="G552" i="6"/>
  <c r="H544" i="6"/>
  <c r="I544" i="6" s="1"/>
  <c r="G544" i="6"/>
  <c r="G536" i="6"/>
  <c r="H536" i="6" s="1"/>
  <c r="I536" i="6" s="1"/>
  <c r="G528" i="6"/>
  <c r="H528" i="6" s="1"/>
  <c r="I528" i="6" s="1"/>
  <c r="H520" i="6"/>
  <c r="I520" i="6" s="1"/>
  <c r="G520" i="6"/>
  <c r="H512" i="6"/>
  <c r="I512" i="6" s="1"/>
  <c r="G512" i="6"/>
  <c r="G504" i="6"/>
  <c r="H504" i="6" s="1"/>
  <c r="I504" i="6" s="1"/>
  <c r="G496" i="6"/>
  <c r="H496" i="6" s="1"/>
  <c r="I496" i="6" s="1"/>
  <c r="H488" i="6"/>
  <c r="I488" i="6" s="1"/>
  <c r="G488" i="6"/>
  <c r="H480" i="6"/>
  <c r="I480" i="6" s="1"/>
  <c r="G480" i="6"/>
  <c r="G472" i="6"/>
  <c r="H472" i="6" s="1"/>
  <c r="I472" i="6" s="1"/>
  <c r="G464" i="6"/>
  <c r="H464" i="6" s="1"/>
  <c r="I464" i="6" s="1"/>
  <c r="H456" i="6"/>
  <c r="I456" i="6" s="1"/>
  <c r="G456" i="6"/>
  <c r="H448" i="6"/>
  <c r="I448" i="6" s="1"/>
  <c r="G448" i="6"/>
  <c r="G440" i="6"/>
  <c r="H440" i="6" s="1"/>
  <c r="I440" i="6" s="1"/>
  <c r="G432" i="6"/>
  <c r="H432" i="6" s="1"/>
  <c r="I432" i="6" s="1"/>
  <c r="H424" i="6"/>
  <c r="I424" i="6" s="1"/>
  <c r="G424" i="6"/>
  <c r="H416" i="6"/>
  <c r="I416" i="6" s="1"/>
  <c r="G416" i="6"/>
  <c r="G408" i="6"/>
  <c r="H408" i="6" s="1"/>
  <c r="I408" i="6" s="1"/>
  <c r="G400" i="6"/>
  <c r="H400" i="6" s="1"/>
  <c r="I400" i="6" s="1"/>
  <c r="H392" i="6"/>
  <c r="I392" i="6" s="1"/>
  <c r="G392" i="6"/>
  <c r="H384" i="6"/>
  <c r="I384" i="6" s="1"/>
  <c r="G384" i="6"/>
  <c r="G376" i="6"/>
  <c r="H376" i="6" s="1"/>
  <c r="I376" i="6" s="1"/>
  <c r="G368" i="6"/>
  <c r="H368" i="6" s="1"/>
  <c r="I368" i="6" s="1"/>
  <c r="H360" i="6"/>
  <c r="I360" i="6" s="1"/>
  <c r="G360" i="6"/>
  <c r="H352" i="6"/>
  <c r="I352" i="6" s="1"/>
  <c r="G352" i="6"/>
  <c r="G344" i="6"/>
  <c r="H344" i="6" s="1"/>
  <c r="I344" i="6" s="1"/>
  <c r="G336" i="6"/>
  <c r="H336" i="6" s="1"/>
  <c r="I336" i="6" s="1"/>
  <c r="H328" i="6"/>
  <c r="I328" i="6" s="1"/>
  <c r="G328" i="6"/>
  <c r="H320" i="6"/>
  <c r="I320" i="6" s="1"/>
  <c r="G320" i="6"/>
  <c r="G312" i="6"/>
  <c r="H312" i="6" s="1"/>
  <c r="I312" i="6" s="1"/>
  <c r="G304" i="6"/>
  <c r="H304" i="6" s="1"/>
  <c r="I304" i="6" s="1"/>
  <c r="H296" i="6"/>
  <c r="I296" i="6" s="1"/>
  <c r="G296" i="6"/>
  <c r="H288" i="6"/>
  <c r="I288" i="6" s="1"/>
  <c r="G288" i="6"/>
  <c r="G280" i="6"/>
  <c r="H280" i="6" s="1"/>
  <c r="I280" i="6" s="1"/>
  <c r="G272" i="6"/>
  <c r="H272" i="6" s="1"/>
  <c r="I272" i="6" s="1"/>
  <c r="H264" i="6"/>
  <c r="I264" i="6" s="1"/>
  <c r="G264" i="6"/>
  <c r="H256" i="6"/>
  <c r="I256" i="6" s="1"/>
  <c r="G256" i="6"/>
  <c r="G248" i="6"/>
  <c r="H248" i="6" s="1"/>
  <c r="I248" i="6" s="1"/>
  <c r="G240" i="6"/>
  <c r="H240" i="6" s="1"/>
  <c r="I240" i="6" s="1"/>
  <c r="H232" i="6"/>
  <c r="I232" i="6" s="1"/>
  <c r="G232" i="6"/>
  <c r="H224" i="6"/>
  <c r="I224" i="6" s="1"/>
  <c r="G224" i="6"/>
  <c r="G216" i="6"/>
  <c r="H216" i="6" s="1"/>
  <c r="I216" i="6" s="1"/>
  <c r="G208" i="6"/>
  <c r="H208" i="6" s="1"/>
  <c r="I208" i="6" s="1"/>
  <c r="H200" i="6"/>
  <c r="I200" i="6" s="1"/>
  <c r="G200" i="6"/>
  <c r="H192" i="6"/>
  <c r="I192" i="6" s="1"/>
  <c r="G192" i="6"/>
  <c r="G184" i="6"/>
  <c r="H184" i="6" s="1"/>
  <c r="I184" i="6" s="1"/>
  <c r="G176" i="6"/>
  <c r="H176" i="6" s="1"/>
  <c r="I176" i="6" s="1"/>
  <c r="H168" i="6"/>
  <c r="I168" i="6" s="1"/>
  <c r="G168" i="6"/>
  <c r="H160" i="6"/>
  <c r="I160" i="6" s="1"/>
  <c r="G160" i="6"/>
  <c r="G152" i="6"/>
  <c r="H152" i="6" s="1"/>
  <c r="I152" i="6" s="1"/>
  <c r="G144" i="6"/>
  <c r="H144" i="6" s="1"/>
  <c r="I144" i="6" s="1"/>
  <c r="H136" i="6"/>
  <c r="I136" i="6" s="1"/>
  <c r="G136" i="6"/>
  <c r="H128" i="6"/>
  <c r="I128" i="6" s="1"/>
  <c r="G128" i="6"/>
  <c r="G120" i="6"/>
  <c r="H120" i="6" s="1"/>
  <c r="I120" i="6" s="1"/>
  <c r="G112" i="6"/>
  <c r="H112" i="6" s="1"/>
  <c r="I112" i="6" s="1"/>
  <c r="H104" i="6"/>
  <c r="I104" i="6" s="1"/>
  <c r="G104" i="6"/>
  <c r="H96" i="6"/>
  <c r="I96" i="6" s="1"/>
  <c r="G96" i="6"/>
  <c r="G88" i="6"/>
  <c r="H88" i="6" s="1"/>
  <c r="I88" i="6" s="1"/>
  <c r="G72" i="6"/>
  <c r="H72" i="6" s="1"/>
  <c r="I72" i="6" s="1"/>
  <c r="H64" i="6"/>
  <c r="I64" i="6" s="1"/>
  <c r="G64" i="6"/>
  <c r="G56" i="6"/>
  <c r="H56" i="6" s="1"/>
  <c r="I56" i="6" s="1"/>
  <c r="H48" i="6"/>
  <c r="I48" i="6" s="1"/>
  <c r="G40" i="6"/>
  <c r="H40" i="6" s="1"/>
  <c r="I40" i="6" s="1"/>
  <c r="H32" i="6"/>
  <c r="I32" i="6" s="1"/>
  <c r="G32" i="6"/>
  <c r="H24" i="6"/>
  <c r="I24" i="6" s="1"/>
  <c r="G24" i="6"/>
  <c r="H16" i="6"/>
  <c r="I16" i="6" s="1"/>
  <c r="H8" i="6"/>
  <c r="I8" i="6" s="1"/>
  <c r="G8" i="6"/>
  <c r="G468" i="6"/>
  <c r="G404" i="6"/>
  <c r="H404" i="6" s="1"/>
  <c r="I404" i="6" s="1"/>
  <c r="G83" i="6"/>
  <c r="H83" i="6" s="1"/>
  <c r="I83" i="6" s="1"/>
  <c r="H640" i="6"/>
  <c r="I640" i="6" s="1"/>
  <c r="H639" i="6"/>
  <c r="I639" i="6" s="1"/>
  <c r="H623" i="6"/>
  <c r="I623" i="6" s="1"/>
  <c r="G623" i="6"/>
  <c r="G615" i="6"/>
  <c r="H615" i="6" s="1"/>
  <c r="I615" i="6" s="1"/>
  <c r="H607" i="6"/>
  <c r="I607" i="6" s="1"/>
  <c r="G607" i="6"/>
  <c r="G599" i="6"/>
  <c r="H599" i="6" s="1"/>
  <c r="I599" i="6" s="1"/>
  <c r="H591" i="6"/>
  <c r="I591" i="6" s="1"/>
  <c r="G591" i="6"/>
  <c r="G583" i="6"/>
  <c r="H583" i="6" s="1"/>
  <c r="I583" i="6" s="1"/>
  <c r="H575" i="6"/>
  <c r="I575" i="6" s="1"/>
  <c r="G575" i="6"/>
  <c r="G567" i="6"/>
  <c r="H567" i="6" s="1"/>
  <c r="I567" i="6" s="1"/>
  <c r="H559" i="6"/>
  <c r="I559" i="6" s="1"/>
  <c r="G559" i="6"/>
  <c r="G551" i="6"/>
  <c r="H551" i="6" s="1"/>
  <c r="I551" i="6" s="1"/>
  <c r="H543" i="6"/>
  <c r="I543" i="6" s="1"/>
  <c r="G543" i="6"/>
  <c r="G535" i="6"/>
  <c r="H535" i="6" s="1"/>
  <c r="I535" i="6" s="1"/>
  <c r="H527" i="6"/>
  <c r="I527" i="6" s="1"/>
  <c r="G527" i="6"/>
  <c r="G519" i="6"/>
  <c r="H519" i="6" s="1"/>
  <c r="I519" i="6" s="1"/>
  <c r="H511" i="6"/>
  <c r="I511" i="6" s="1"/>
  <c r="G511" i="6"/>
  <c r="G503" i="6"/>
  <c r="H503" i="6" s="1"/>
  <c r="I503" i="6" s="1"/>
  <c r="H495" i="6"/>
  <c r="I495" i="6" s="1"/>
  <c r="G495" i="6"/>
  <c r="G487" i="6"/>
  <c r="H487" i="6" s="1"/>
  <c r="I487" i="6" s="1"/>
  <c r="H479" i="6"/>
  <c r="I479" i="6" s="1"/>
  <c r="G479" i="6"/>
  <c r="G471" i="6"/>
  <c r="H471" i="6" s="1"/>
  <c r="I471" i="6" s="1"/>
  <c r="H463" i="6"/>
  <c r="I463" i="6" s="1"/>
  <c r="G463" i="6"/>
  <c r="G455" i="6"/>
  <c r="H455" i="6" s="1"/>
  <c r="I455" i="6" s="1"/>
  <c r="H447" i="6"/>
  <c r="I447" i="6" s="1"/>
  <c r="G447" i="6"/>
  <c r="G439" i="6"/>
  <c r="H439" i="6" s="1"/>
  <c r="I439" i="6" s="1"/>
  <c r="H431" i="6"/>
  <c r="I431" i="6" s="1"/>
  <c r="G431" i="6"/>
  <c r="G423" i="6"/>
  <c r="H423" i="6" s="1"/>
  <c r="I423" i="6" s="1"/>
  <c r="H415" i="6"/>
  <c r="I415" i="6" s="1"/>
  <c r="G415" i="6"/>
  <c r="G407" i="6"/>
  <c r="H407" i="6" s="1"/>
  <c r="I407" i="6" s="1"/>
  <c r="H399" i="6"/>
  <c r="I399" i="6" s="1"/>
  <c r="G399" i="6"/>
  <c r="G391" i="6"/>
  <c r="H391" i="6" s="1"/>
  <c r="I391" i="6" s="1"/>
  <c r="H383" i="6"/>
  <c r="I383" i="6" s="1"/>
  <c r="G383" i="6"/>
  <c r="G375" i="6"/>
  <c r="H375" i="6" s="1"/>
  <c r="I375" i="6" s="1"/>
  <c r="H367" i="6"/>
  <c r="I367" i="6" s="1"/>
  <c r="G367" i="6"/>
  <c r="G359" i="6"/>
  <c r="H359" i="6" s="1"/>
  <c r="I359" i="6" s="1"/>
  <c r="H351" i="6"/>
  <c r="I351" i="6" s="1"/>
  <c r="G351" i="6"/>
  <c r="G343" i="6"/>
  <c r="H343" i="6" s="1"/>
  <c r="I343" i="6" s="1"/>
  <c r="H335" i="6"/>
  <c r="I335" i="6" s="1"/>
  <c r="G335" i="6"/>
  <c r="G327" i="6"/>
  <c r="H327" i="6" s="1"/>
  <c r="I327" i="6" s="1"/>
  <c r="H319" i="6"/>
  <c r="I319" i="6" s="1"/>
  <c r="G319" i="6"/>
  <c r="G311" i="6"/>
  <c r="H311" i="6" s="1"/>
  <c r="I311" i="6" s="1"/>
  <c r="H303" i="6"/>
  <c r="I303" i="6" s="1"/>
  <c r="G303" i="6"/>
  <c r="G295" i="6"/>
  <c r="H295" i="6" s="1"/>
  <c r="I295" i="6" s="1"/>
  <c r="H287" i="6"/>
  <c r="I287" i="6" s="1"/>
  <c r="G287" i="6"/>
  <c r="G279" i="6"/>
  <c r="H279" i="6" s="1"/>
  <c r="I279" i="6" s="1"/>
  <c r="H271" i="6"/>
  <c r="I271" i="6" s="1"/>
  <c r="G271" i="6"/>
  <c r="G263" i="6"/>
  <c r="H263" i="6" s="1"/>
  <c r="I263" i="6" s="1"/>
  <c r="H255" i="6"/>
  <c r="I255" i="6" s="1"/>
  <c r="G255" i="6"/>
  <c r="G247" i="6"/>
  <c r="H247" i="6" s="1"/>
  <c r="I247" i="6" s="1"/>
  <c r="H239" i="6"/>
  <c r="I239" i="6" s="1"/>
  <c r="G239" i="6"/>
  <c r="G231" i="6"/>
  <c r="H231" i="6" s="1"/>
  <c r="I231" i="6" s="1"/>
  <c r="H223" i="6"/>
  <c r="I223" i="6" s="1"/>
  <c r="G223" i="6"/>
  <c r="G215" i="6"/>
  <c r="H215" i="6" s="1"/>
  <c r="I215" i="6" s="1"/>
  <c r="H199" i="6"/>
  <c r="I199" i="6" s="1"/>
  <c r="G199" i="6"/>
  <c r="G191" i="6"/>
  <c r="H191" i="6" s="1"/>
  <c r="I191" i="6" s="1"/>
  <c r="H183" i="6"/>
  <c r="I183" i="6" s="1"/>
  <c r="G183" i="6"/>
  <c r="G175" i="6"/>
  <c r="H175" i="6" s="1"/>
  <c r="I175" i="6" s="1"/>
  <c r="H167" i="6"/>
  <c r="I167" i="6" s="1"/>
  <c r="G167" i="6"/>
  <c r="G159" i="6"/>
  <c r="H159" i="6" s="1"/>
  <c r="I159" i="6" s="1"/>
  <c r="H151" i="6"/>
  <c r="I151" i="6" s="1"/>
  <c r="G151" i="6"/>
  <c r="G143" i="6"/>
  <c r="H143" i="6" s="1"/>
  <c r="I143" i="6" s="1"/>
  <c r="H135" i="6"/>
  <c r="I135" i="6" s="1"/>
  <c r="G135" i="6"/>
  <c r="G127" i="6"/>
  <c r="H127" i="6" s="1"/>
  <c r="I127" i="6" s="1"/>
  <c r="H119" i="6"/>
  <c r="I119" i="6" s="1"/>
  <c r="G119" i="6"/>
  <c r="G111" i="6"/>
  <c r="H111" i="6" s="1"/>
  <c r="I111" i="6" s="1"/>
  <c r="H103" i="6"/>
  <c r="I103" i="6" s="1"/>
  <c r="G103" i="6"/>
  <c r="G95" i="6"/>
  <c r="H95" i="6" s="1"/>
  <c r="I95" i="6" s="1"/>
  <c r="H87" i="6"/>
  <c r="I87" i="6" s="1"/>
  <c r="G87" i="6"/>
  <c r="G79" i="6"/>
  <c r="H79" i="6" s="1"/>
  <c r="I79" i="6" s="1"/>
  <c r="H71" i="6"/>
  <c r="I71" i="6" s="1"/>
  <c r="G71" i="6"/>
  <c r="H63" i="6"/>
  <c r="I63" i="6" s="1"/>
  <c r="G55" i="6"/>
  <c r="H55" i="6" s="1"/>
  <c r="I55" i="6" s="1"/>
  <c r="H47" i="6"/>
  <c r="I47" i="6" s="1"/>
  <c r="G47" i="6"/>
  <c r="G39" i="6"/>
  <c r="H39" i="6" s="1"/>
  <c r="I39" i="6" s="1"/>
  <c r="G23" i="6"/>
  <c r="H23" i="6" s="1"/>
  <c r="I23" i="6" s="1"/>
  <c r="H15" i="6"/>
  <c r="I15" i="6" s="1"/>
  <c r="G15" i="6"/>
  <c r="G7" i="6"/>
  <c r="H7" i="6" s="1"/>
  <c r="I7" i="6" s="1"/>
  <c r="G444" i="6"/>
  <c r="G306" i="6"/>
  <c r="H306" i="6" s="1"/>
  <c r="I306" i="6" s="1"/>
  <c r="G274" i="6"/>
  <c r="H274" i="6" s="1"/>
  <c r="I274" i="6" s="1"/>
  <c r="G242" i="6"/>
  <c r="H242" i="6" s="1"/>
  <c r="I242" i="6" s="1"/>
  <c r="G210" i="6"/>
  <c r="H210" i="6" s="1"/>
  <c r="I210" i="6" s="1"/>
  <c r="G178" i="6"/>
  <c r="H178" i="6" s="1"/>
  <c r="I178" i="6" s="1"/>
  <c r="G146" i="6"/>
  <c r="H146" i="6" s="1"/>
  <c r="I146" i="6" s="1"/>
  <c r="G114" i="6"/>
  <c r="H114" i="6" s="1"/>
  <c r="I114" i="6" s="1"/>
  <c r="G80" i="6"/>
  <c r="H80" i="6" s="1"/>
  <c r="I80" i="6" s="1"/>
  <c r="H313" i="6"/>
  <c r="I313" i="6" s="1"/>
  <c r="G606" i="6"/>
  <c r="H606" i="6" s="1"/>
  <c r="I606" i="6" s="1"/>
  <c r="H598" i="6"/>
  <c r="I598" i="6" s="1"/>
  <c r="G598" i="6"/>
  <c r="G590" i="6"/>
  <c r="H590" i="6" s="1"/>
  <c r="I590" i="6" s="1"/>
  <c r="H582" i="6"/>
  <c r="I582" i="6" s="1"/>
  <c r="G582" i="6"/>
  <c r="G574" i="6"/>
  <c r="H574" i="6" s="1"/>
  <c r="I574" i="6" s="1"/>
  <c r="H566" i="6"/>
  <c r="I566" i="6" s="1"/>
  <c r="G566" i="6"/>
  <c r="G558" i="6"/>
  <c r="H558" i="6" s="1"/>
  <c r="I558" i="6" s="1"/>
  <c r="H550" i="6"/>
  <c r="I550" i="6" s="1"/>
  <c r="G550" i="6"/>
  <c r="G542" i="6"/>
  <c r="H542" i="6" s="1"/>
  <c r="I542" i="6" s="1"/>
  <c r="H534" i="6"/>
  <c r="I534" i="6" s="1"/>
  <c r="G534" i="6"/>
  <c r="G526" i="6"/>
  <c r="H526" i="6" s="1"/>
  <c r="I526" i="6" s="1"/>
  <c r="H518" i="6"/>
  <c r="I518" i="6" s="1"/>
  <c r="G518" i="6"/>
  <c r="G510" i="6"/>
  <c r="H510" i="6" s="1"/>
  <c r="I510" i="6" s="1"/>
  <c r="H502" i="6"/>
  <c r="I502" i="6" s="1"/>
  <c r="G502" i="6"/>
  <c r="G494" i="6"/>
  <c r="H494" i="6" s="1"/>
  <c r="I494" i="6" s="1"/>
  <c r="H486" i="6"/>
  <c r="I486" i="6" s="1"/>
  <c r="G486" i="6"/>
  <c r="G478" i="6"/>
  <c r="H478" i="6" s="1"/>
  <c r="I478" i="6" s="1"/>
  <c r="H470" i="6"/>
  <c r="I470" i="6" s="1"/>
  <c r="G470" i="6"/>
  <c r="G462" i="6"/>
  <c r="H462" i="6" s="1"/>
  <c r="I462" i="6" s="1"/>
  <c r="H454" i="6"/>
  <c r="I454" i="6" s="1"/>
  <c r="G454" i="6"/>
  <c r="G446" i="6"/>
  <c r="H446" i="6" s="1"/>
  <c r="I446" i="6" s="1"/>
  <c r="H438" i="6"/>
  <c r="I438" i="6" s="1"/>
  <c r="G438" i="6"/>
  <c r="G430" i="6"/>
  <c r="H430" i="6" s="1"/>
  <c r="I430" i="6" s="1"/>
  <c r="H422" i="6"/>
  <c r="I422" i="6" s="1"/>
  <c r="G422" i="6"/>
  <c r="G414" i="6"/>
  <c r="H414" i="6" s="1"/>
  <c r="I414" i="6" s="1"/>
  <c r="H406" i="6"/>
  <c r="I406" i="6" s="1"/>
  <c r="G406" i="6"/>
  <c r="G398" i="6"/>
  <c r="H398" i="6" s="1"/>
  <c r="I398" i="6" s="1"/>
  <c r="H390" i="6"/>
  <c r="I390" i="6" s="1"/>
  <c r="G390" i="6"/>
  <c r="G382" i="6"/>
  <c r="H382" i="6" s="1"/>
  <c r="I382" i="6" s="1"/>
  <c r="H374" i="6"/>
  <c r="I374" i="6" s="1"/>
  <c r="G374" i="6"/>
  <c r="G366" i="6"/>
  <c r="H366" i="6" s="1"/>
  <c r="I366" i="6" s="1"/>
  <c r="H358" i="6"/>
  <c r="I358" i="6" s="1"/>
  <c r="G358" i="6"/>
  <c r="G350" i="6"/>
  <c r="H350" i="6" s="1"/>
  <c r="I350" i="6" s="1"/>
  <c r="H342" i="6"/>
  <c r="I342" i="6" s="1"/>
  <c r="G342" i="6"/>
  <c r="G334" i="6"/>
  <c r="H334" i="6" s="1"/>
  <c r="I334" i="6" s="1"/>
  <c r="H326" i="6"/>
  <c r="I326" i="6" s="1"/>
  <c r="G326" i="6"/>
  <c r="G318" i="6"/>
  <c r="H318" i="6" s="1"/>
  <c r="I318" i="6" s="1"/>
  <c r="H310" i="6"/>
  <c r="I310" i="6" s="1"/>
  <c r="G310" i="6"/>
  <c r="G302" i="6"/>
  <c r="H302" i="6" s="1"/>
  <c r="I302" i="6" s="1"/>
  <c r="H294" i="6"/>
  <c r="I294" i="6" s="1"/>
  <c r="G294" i="6"/>
  <c r="G286" i="6"/>
  <c r="H286" i="6" s="1"/>
  <c r="I286" i="6" s="1"/>
  <c r="H278" i="6"/>
  <c r="I278" i="6" s="1"/>
  <c r="G278" i="6"/>
  <c r="G270" i="6"/>
  <c r="H270" i="6" s="1"/>
  <c r="I270" i="6" s="1"/>
  <c r="H262" i="6"/>
  <c r="I262" i="6" s="1"/>
  <c r="G262" i="6"/>
  <c r="G254" i="6"/>
  <c r="H254" i="6" s="1"/>
  <c r="I254" i="6" s="1"/>
  <c r="H246" i="6"/>
  <c r="I246" i="6" s="1"/>
  <c r="G246" i="6"/>
  <c r="G238" i="6"/>
  <c r="H238" i="6" s="1"/>
  <c r="I238" i="6" s="1"/>
  <c r="H230" i="6"/>
  <c r="I230" i="6" s="1"/>
  <c r="G230" i="6"/>
  <c r="G222" i="6"/>
  <c r="H222" i="6" s="1"/>
  <c r="I222" i="6" s="1"/>
  <c r="H214" i="6"/>
  <c r="I214" i="6" s="1"/>
  <c r="G214" i="6"/>
  <c r="G206" i="6"/>
  <c r="H206" i="6" s="1"/>
  <c r="I206" i="6" s="1"/>
  <c r="H198" i="6"/>
  <c r="I198" i="6" s="1"/>
  <c r="G198" i="6"/>
  <c r="G190" i="6"/>
  <c r="H190" i="6" s="1"/>
  <c r="I190" i="6" s="1"/>
  <c r="H182" i="6"/>
  <c r="I182" i="6" s="1"/>
  <c r="G182" i="6"/>
  <c r="G174" i="6"/>
  <c r="H174" i="6" s="1"/>
  <c r="I174" i="6" s="1"/>
  <c r="G166" i="6"/>
  <c r="H166" i="6" s="1"/>
  <c r="I166" i="6" s="1"/>
  <c r="G158" i="6"/>
  <c r="H158" i="6" s="1"/>
  <c r="I158" i="6" s="1"/>
  <c r="H150" i="6"/>
  <c r="I150" i="6" s="1"/>
  <c r="G150" i="6"/>
  <c r="G142" i="6"/>
  <c r="H142" i="6" s="1"/>
  <c r="I142" i="6" s="1"/>
  <c r="H134" i="6"/>
  <c r="I134" i="6" s="1"/>
  <c r="G134" i="6"/>
  <c r="G126" i="6"/>
  <c r="H126" i="6" s="1"/>
  <c r="I126" i="6" s="1"/>
  <c r="H118" i="6"/>
  <c r="I118" i="6" s="1"/>
  <c r="G118" i="6"/>
  <c r="G110" i="6"/>
  <c r="H110" i="6" s="1"/>
  <c r="I110" i="6" s="1"/>
  <c r="H102" i="6"/>
  <c r="I102" i="6" s="1"/>
  <c r="G102" i="6"/>
  <c r="G94" i="6"/>
  <c r="H94" i="6" s="1"/>
  <c r="I94" i="6" s="1"/>
  <c r="H86" i="6"/>
  <c r="I86" i="6" s="1"/>
  <c r="G86" i="6"/>
  <c r="G78" i="6"/>
  <c r="H78" i="6" s="1"/>
  <c r="I78" i="6" s="1"/>
  <c r="H70" i="6"/>
  <c r="I70" i="6" s="1"/>
  <c r="G62" i="6"/>
  <c r="H62" i="6" s="1"/>
  <c r="I62" i="6" s="1"/>
  <c r="G54" i="6"/>
  <c r="H54" i="6" s="1"/>
  <c r="I54" i="6" s="1"/>
  <c r="H46" i="6"/>
  <c r="I46" i="6" s="1"/>
  <c r="G46" i="6"/>
  <c r="H38" i="6"/>
  <c r="I38" i="6" s="1"/>
  <c r="H30" i="6"/>
  <c r="I30" i="6" s="1"/>
  <c r="G30" i="6"/>
  <c r="G22" i="6"/>
  <c r="H22" i="6" s="1"/>
  <c r="I22" i="6" s="1"/>
  <c r="H14" i="6"/>
  <c r="I14" i="6" s="1"/>
  <c r="G14" i="6"/>
  <c r="G647" i="6"/>
  <c r="G631" i="6"/>
  <c r="H631" i="6" s="1"/>
  <c r="I631" i="6" s="1"/>
  <c r="G484" i="6"/>
  <c r="H484" i="6" s="1"/>
  <c r="I484" i="6" s="1"/>
  <c r="G420" i="6"/>
  <c r="H420" i="6" s="1"/>
  <c r="I420" i="6" s="1"/>
  <c r="G73" i="6"/>
  <c r="G31" i="6"/>
  <c r="H31" i="6" s="1"/>
  <c r="I31" i="6" s="1"/>
  <c r="H593" i="6"/>
  <c r="I593" i="6" s="1"/>
  <c r="H207" i="6"/>
  <c r="I207" i="6" s="1"/>
  <c r="G4" i="6"/>
  <c r="H4" i="6" s="1"/>
  <c r="I4" i="6" s="1"/>
  <c r="H27" i="6"/>
  <c r="I27" i="6" s="1"/>
  <c r="H19" i="6"/>
  <c r="I19" i="6" s="1"/>
  <c r="H3" i="6"/>
  <c r="I3" i="6" s="1"/>
  <c r="G35" i="6"/>
  <c r="H35" i="6" s="1"/>
  <c r="I35" i="6" s="1"/>
  <c r="H49" i="6"/>
  <c r="I49" i="6" s="1"/>
  <c r="H41" i="6"/>
  <c r="I41" i="6" s="1"/>
  <c r="H33" i="6"/>
  <c r="I33" i="6" s="1"/>
  <c r="H25" i="6"/>
  <c r="I25" i="6" s="1"/>
  <c r="H17" i="6"/>
  <c r="I17" i="6" s="1"/>
  <c r="H9" i="6"/>
  <c r="I9" i="6" s="1"/>
  <c r="G11" i="6"/>
  <c r="H11" i="6" s="1"/>
  <c r="I11" i="6" s="1"/>
  <c r="B6" i="9" l="1"/>
  <c r="I2" i="6"/>
  <c r="B8" i="9" s="1"/>
  <c r="B10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DF49A5-0812-4640-BE76-36ED820915B0}" keepAlive="1" name="Query - inventory_by_location" description="Connection to the 'inventory_by_location' query in the workbook." type="5" refreshedVersion="8" background="1" saveData="1">
    <dbPr connection="Provider=Microsoft.Mashup.OleDb.1;Data Source=$Workbook$;Location=inventory_by_location;Extended Properties=&quot;&quot;" command="SELECT * FROM [inventory_by_location]"/>
  </connection>
  <connection id="2" xr16:uid="{2C9F4693-16D3-4C9F-8D16-4B5CB102E488}" keepAlive="1" name="Query - location_master" description="Connection to the 'location_master' query in the workbook." type="5" refreshedVersion="0" background="1">
    <dbPr connection="Provider=Microsoft.Mashup.OleDb.1;Data Source=$Workbook$;Location=location_master;Extended Properties=&quot;&quot;" command="SELECT * FROM [location_master]"/>
  </connection>
  <connection id="3" xr16:uid="{9B3F53DF-9BCA-4862-B56F-9789E7D154C1}" keepAlive="1" name="Query - location_master (2)" description="Connection to the 'location_master (2)' query in the workbook." type="5" refreshedVersion="8" background="1" saveData="1">
    <dbPr connection="Provider=Microsoft.Mashup.OleDb.1;Data Source=$Workbook$;Location=&quot;location_master (2)&quot;;Extended Properties=&quot;&quot;" command="SELECT * FROM [location_master (2)]"/>
  </connection>
  <connection id="4" xr16:uid="{ED0D4DF3-8253-4A91-A3B1-A754E35B5CC8}" keepAlive="1" name="Query - product_master" description="Connection to the 'product_master' query in the workbook." type="5" refreshedVersion="0" background="1">
    <dbPr connection="Provider=Microsoft.Mashup.OleDb.1;Data Source=$Workbook$;Location=product_master;Extended Properties=&quot;&quot;" command="SELECT * FROM [product_master]"/>
  </connection>
  <connection id="5" xr16:uid="{D24B5FE5-E763-4216-AF62-8C052B0E5ABB}" keepAlive="1" name="Query - product_master (2)" description="Connection to the 'product_master (2)' query in the workbook." type="5" refreshedVersion="8" background="1" saveData="1">
    <dbPr connection="Provider=Microsoft.Mashup.OleDb.1;Data Source=$Workbook$;Location=&quot;product_master (2)&quot;;Extended Properties=&quot;&quot;" command="SELECT * FROM [product_master (2)]"/>
  </connection>
  <connection id="6" xr16:uid="{ACB39E57-8FE8-418D-8549-F403AEB8875E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7" xr16:uid="{A8E50028-5AD2-43C1-AC17-7D7173F75146}" name="WorksheetConnection_Excel_ICQA_KPI_Model.xlsx!tbl_inventory" type="102" refreshedVersion="8" minRefreshableVersion="5">
    <extLst>
      <ext xmlns:x15="http://schemas.microsoft.com/office/spreadsheetml/2010/11/main" uri="{DE250136-89BD-433C-8126-D09CA5730AF9}">
        <x15:connection id="tbl_inventory">
          <x15:rangePr sourceName="_xlcn.WorksheetConnection_Excel_ICQA_KPI_Model.xlsxtbl_inventory1"/>
        </x15:connection>
      </ext>
    </extLst>
  </connection>
  <connection id="8" xr16:uid="{E794F4E1-6895-41FC-A6BE-40EB55C2082A}" name="WorksheetConnection_Excel_ICQA_KPI_Model.xlsx!tbl_kpi" type="102" refreshedVersion="8" minRefreshableVersion="5">
    <extLst>
      <ext xmlns:x15="http://schemas.microsoft.com/office/spreadsheetml/2010/11/main" uri="{DE250136-89BD-433C-8126-D09CA5730AF9}">
        <x15:connection id="tbl_kpi" autoDelete="1">
          <x15:rangePr sourceName="_xlcn.WorksheetConnection_Excel_ICQA_KPI_Model.xlsxtbl_kpi1"/>
        </x15:connection>
      </ext>
    </extLst>
  </connection>
  <connection id="9" xr16:uid="{0A43D258-9AB9-4EBA-8A6C-20645495CF9A}" name="WorksheetConnection_Excel_ICQA_KPI_Model.xlsx!tbl_location" type="102" refreshedVersion="8" minRefreshableVersion="5">
    <extLst>
      <ext xmlns:x15="http://schemas.microsoft.com/office/spreadsheetml/2010/11/main" uri="{DE250136-89BD-433C-8126-D09CA5730AF9}">
        <x15:connection id="tbl_location">
          <x15:rangePr sourceName="_xlcn.WorksheetConnection_Excel_ICQA_KPI_Model.xlsxtbl_location1"/>
        </x15:connection>
      </ext>
    </extLst>
  </connection>
  <connection id="10" xr16:uid="{565849CD-4D54-41E0-90AC-A0E6D6FAB875}" name="WorksheetConnection_Excel_ICQA_KPI_Model.xlsx!tbl_product" type="102" refreshedVersion="8" minRefreshableVersion="5">
    <extLst>
      <ext xmlns:x15="http://schemas.microsoft.com/office/spreadsheetml/2010/11/main" uri="{DE250136-89BD-433C-8126-D09CA5730AF9}">
        <x15:connection id="tbl_product">
          <x15:rangePr sourceName="_xlcn.WorksheetConnection_Excel_ICQA_KPI_Model.xlsxtbl_product1"/>
        </x15:connection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ThisWorkbookDataModel"/>
    <s v="{[tbl_kpi].[HighRiskFlag].&amp;[Y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<sst xmlns="http://schemas.openxmlformats.org/spreadsheetml/2006/main" count="2137" uniqueCount="1046">
  <si>
    <t>Debur and Polish</t>
  </si>
  <si>
    <t>Final Assembly</t>
  </si>
  <si>
    <t>Finished Goods Storage</t>
  </si>
  <si>
    <t>Frame Forming</t>
  </si>
  <si>
    <t>Frame Welding</t>
  </si>
  <si>
    <t>Metal Storage</t>
  </si>
  <si>
    <t>Miscellaneous Storage</t>
  </si>
  <si>
    <t>Paint</t>
  </si>
  <si>
    <t>Paint Shop</t>
  </si>
  <si>
    <t>Paint Storage</t>
  </si>
  <si>
    <t>Sheet Metal Racks</t>
  </si>
  <si>
    <t>Specialized Paint</t>
  </si>
  <si>
    <t>Subassembly</t>
  </si>
  <si>
    <t>Tool Crib</t>
  </si>
  <si>
    <t>Adjustable Race</t>
  </si>
  <si>
    <t>AR-5381</t>
  </si>
  <si>
    <t>Bearing Ball</t>
  </si>
  <si>
    <t>BA-8327</t>
  </si>
  <si>
    <t>BB Ball Bearing</t>
  </si>
  <si>
    <t>BE-2349</t>
  </si>
  <si>
    <t>Headset Ball Bearings</t>
  </si>
  <si>
    <t>BE-2908</t>
  </si>
  <si>
    <t>Blade</t>
  </si>
  <si>
    <t>BL-2036</t>
  </si>
  <si>
    <t>LL Crankarm</t>
  </si>
  <si>
    <t>CA-5965</t>
  </si>
  <si>
    <t>ML Crankarm</t>
  </si>
  <si>
    <t>CA-6738</t>
  </si>
  <si>
    <t>HL Crankarm</t>
  </si>
  <si>
    <t>CA-7457</t>
  </si>
  <si>
    <t>Chainring Bolts</t>
  </si>
  <si>
    <t>CB-2903</t>
  </si>
  <si>
    <t>Chainring Nut</t>
  </si>
  <si>
    <t>CN-6137</t>
  </si>
  <si>
    <t>Chainring</t>
  </si>
  <si>
    <t>CR-7833</t>
  </si>
  <si>
    <t>Crown Race</t>
  </si>
  <si>
    <t>CR-9981</t>
  </si>
  <si>
    <t>Chain Stays</t>
  </si>
  <si>
    <t>CS-2812</t>
  </si>
  <si>
    <t>Decal 1</t>
  </si>
  <si>
    <t>DC-8732</t>
  </si>
  <si>
    <t>Decal 2</t>
  </si>
  <si>
    <t>DC-9824</t>
  </si>
  <si>
    <t>Down Tube</t>
  </si>
  <si>
    <t>DT-2377</t>
  </si>
  <si>
    <t>Mountain End Caps</t>
  </si>
  <si>
    <t>EC-M092</t>
  </si>
  <si>
    <t>Road End Caps</t>
  </si>
  <si>
    <t>EC-R098</t>
  </si>
  <si>
    <t>Touring End Caps</t>
  </si>
  <si>
    <t>EC-T209</t>
  </si>
  <si>
    <t>Fork End</t>
  </si>
  <si>
    <t>FE-3760</t>
  </si>
  <si>
    <t>Freewheel</t>
  </si>
  <si>
    <t>FH-2981</t>
  </si>
  <si>
    <t>Flat Washer 1</t>
  </si>
  <si>
    <t>FW-1000</t>
  </si>
  <si>
    <t>Flat Washer 6</t>
  </si>
  <si>
    <t>FW-1200</t>
  </si>
  <si>
    <t>Flat Washer 2</t>
  </si>
  <si>
    <t>FW-1400</t>
  </si>
  <si>
    <t>Flat Washer 9</t>
  </si>
  <si>
    <t>FW-3400</t>
  </si>
  <si>
    <t>Flat Washer 4</t>
  </si>
  <si>
    <t>FW-3800</t>
  </si>
  <si>
    <t>Flat Washer 3</t>
  </si>
  <si>
    <t>FW-5160</t>
  </si>
  <si>
    <t>Flat Washer 8</t>
  </si>
  <si>
    <t>FW-5800</t>
  </si>
  <si>
    <t>Flat Washer 5</t>
  </si>
  <si>
    <t>FW-7160</t>
  </si>
  <si>
    <t>Flat Washer 7</t>
  </si>
  <si>
    <t>FW-9160</t>
  </si>
  <si>
    <t>Fork Crown</t>
  </si>
  <si>
    <t>FC-3654</t>
  </si>
  <si>
    <t>Front Derailleur Cage</t>
  </si>
  <si>
    <t>FC-3982</t>
  </si>
  <si>
    <t>Front Derailleur Linkage</t>
  </si>
  <si>
    <t>FL-2301</t>
  </si>
  <si>
    <t>Guide Pulley</t>
  </si>
  <si>
    <t>GP-0982</t>
  </si>
  <si>
    <t>LL Grip Tape</t>
  </si>
  <si>
    <t>GT-0820</t>
  </si>
  <si>
    <t>ML Grip Tape</t>
  </si>
  <si>
    <t>GT-1209</t>
  </si>
  <si>
    <t>HL Grip Tape</t>
  </si>
  <si>
    <t>GT-2908</t>
  </si>
  <si>
    <t>Thin-Jam Hex Nut 9</t>
  </si>
  <si>
    <t>HJ-1213</t>
  </si>
  <si>
    <t>Thin-Jam Hex Nut 10</t>
  </si>
  <si>
    <t>HJ-1220</t>
  </si>
  <si>
    <t>Thin-Jam Hex Nut 1</t>
  </si>
  <si>
    <t>HJ-1420</t>
  </si>
  <si>
    <t>Thin-Jam Hex Nut 2</t>
  </si>
  <si>
    <t>HJ-1428</t>
  </si>
  <si>
    <t>Thin-Jam Hex Nut 15</t>
  </si>
  <si>
    <t>HJ-3410</t>
  </si>
  <si>
    <t>Thin-Jam Hex Nut 16</t>
  </si>
  <si>
    <t>HJ-3416</t>
  </si>
  <si>
    <t>Thin-Jam Hex Nut 5</t>
  </si>
  <si>
    <t>HJ-3816</t>
  </si>
  <si>
    <t>Thin-Jam Hex Nut 6</t>
  </si>
  <si>
    <t>HJ-3824</t>
  </si>
  <si>
    <t>Thin-Jam Hex Nut 3</t>
  </si>
  <si>
    <t>HJ-5161</t>
  </si>
  <si>
    <t>Thin-Jam Hex Nut 4</t>
  </si>
  <si>
    <t>HJ-5162</t>
  </si>
  <si>
    <t>Thin-Jam Hex Nut 13</t>
  </si>
  <si>
    <t>HJ-5811</t>
  </si>
  <si>
    <t>Thin-Jam Hex Nut 14</t>
  </si>
  <si>
    <t>HJ-5818</t>
  </si>
  <si>
    <t>Thin-Jam Hex Nut 7</t>
  </si>
  <si>
    <t>HJ-7161</t>
  </si>
  <si>
    <t>Thin-Jam Hex Nut 8</t>
  </si>
  <si>
    <t>HJ-7162</t>
  </si>
  <si>
    <t>Thin-Jam Hex Nut 12</t>
  </si>
  <si>
    <t>HJ-9080</t>
  </si>
  <si>
    <t>Thin-Jam Hex Nut 11</t>
  </si>
  <si>
    <t>HJ-9161</t>
  </si>
  <si>
    <t>Hex Nut 5</t>
  </si>
  <si>
    <t>HN-1024</t>
  </si>
  <si>
    <t>Hex Nut 6</t>
  </si>
  <si>
    <t>HN-1032</t>
  </si>
  <si>
    <t>Hex Nut 16</t>
  </si>
  <si>
    <t>HN-1213</t>
  </si>
  <si>
    <t>Hex Nut 17</t>
  </si>
  <si>
    <t>HN-1220</t>
  </si>
  <si>
    <t>Hex Nut 7</t>
  </si>
  <si>
    <t>HN-1224</t>
  </si>
  <si>
    <t>Hex Nut 8</t>
  </si>
  <si>
    <t>HN-1420</t>
  </si>
  <si>
    <t>Hex Nut 9</t>
  </si>
  <si>
    <t>HN-1428</t>
  </si>
  <si>
    <t>Hex Nut 22</t>
  </si>
  <si>
    <t>HN-3410</t>
  </si>
  <si>
    <t>Hex Nut 23</t>
  </si>
  <si>
    <t>HN-3416</t>
  </si>
  <si>
    <t>Hex Nut 12</t>
  </si>
  <si>
    <t>HN-3816</t>
  </si>
  <si>
    <t>Hex Nut 13</t>
  </si>
  <si>
    <t>HN-3824</t>
  </si>
  <si>
    <t>Hex Nut 1</t>
  </si>
  <si>
    <t>HN-4402</t>
  </si>
  <si>
    <t>Hex Nut 10</t>
  </si>
  <si>
    <t>HN-5161</t>
  </si>
  <si>
    <t>Hex Nut 11</t>
  </si>
  <si>
    <t>HN-5162</t>
  </si>
  <si>
    <t>Hex Nut 2</t>
  </si>
  <si>
    <t>HN-5400</t>
  </si>
  <si>
    <t>Hex Nut 20</t>
  </si>
  <si>
    <t>HN-5811</t>
  </si>
  <si>
    <t>Hex Nut 21</t>
  </si>
  <si>
    <t>HN-5818</t>
  </si>
  <si>
    <t>Hex Nut 3</t>
  </si>
  <si>
    <t>HN-6320</t>
  </si>
  <si>
    <t>Hex Nut 14</t>
  </si>
  <si>
    <t>HN-7161</t>
  </si>
  <si>
    <t>Hex Nut 15</t>
  </si>
  <si>
    <t>HN-7162</t>
  </si>
  <si>
    <t>Hex Nut 4</t>
  </si>
  <si>
    <t>HN-8320</t>
  </si>
  <si>
    <t>Hex Nut 18</t>
  </si>
  <si>
    <t>HN-9161</t>
  </si>
  <si>
    <t>Hex Nut 19</t>
  </si>
  <si>
    <t>HN-9168</t>
  </si>
  <si>
    <t>Handlebar Tube</t>
  </si>
  <si>
    <t>HT-2981</t>
  </si>
  <si>
    <t>Head Tube</t>
  </si>
  <si>
    <t>HT-8019</t>
  </si>
  <si>
    <t>LL Hub</t>
  </si>
  <si>
    <t>HU-6280</t>
  </si>
  <si>
    <t>HL Hub</t>
  </si>
  <si>
    <t>HU-8998</t>
  </si>
  <si>
    <t>Keyed Washer</t>
  </si>
  <si>
    <t>KW-4091</t>
  </si>
  <si>
    <t>External Lock Washer 3</t>
  </si>
  <si>
    <t>LE-1000</t>
  </si>
  <si>
    <t>External Lock Washer 4</t>
  </si>
  <si>
    <t>LE-1200</t>
  </si>
  <si>
    <t>External Lock Washer 9</t>
  </si>
  <si>
    <t>LE-1201</t>
  </si>
  <si>
    <t>External Lock Washer 5</t>
  </si>
  <si>
    <t>LE-1400</t>
  </si>
  <si>
    <t>External Lock Washer 7</t>
  </si>
  <si>
    <t>LE-3800</t>
  </si>
  <si>
    <t>External Lock Washer 6</t>
  </si>
  <si>
    <t>LE-5160</t>
  </si>
  <si>
    <t>External Lock Washer 1</t>
  </si>
  <si>
    <t>LE-6000</t>
  </si>
  <si>
    <t>External Lock Washer 8</t>
  </si>
  <si>
    <t>LE-7160</t>
  </si>
  <si>
    <t>External Lock Washer 2</t>
  </si>
  <si>
    <t>LE-8000</t>
  </si>
  <si>
    <t>Internal Lock Washer 3</t>
  </si>
  <si>
    <t>LI-1000</t>
  </si>
  <si>
    <t>Internal Lock Washer 4</t>
  </si>
  <si>
    <t>LI-1200</t>
  </si>
  <si>
    <t>Internal Lock Washer 9</t>
  </si>
  <si>
    <t>LI-1201</t>
  </si>
  <si>
    <t>Internal Lock Washer 5</t>
  </si>
  <si>
    <t>LI-1400</t>
  </si>
  <si>
    <t>Internal Lock Washer 7</t>
  </si>
  <si>
    <t>LI-3800</t>
  </si>
  <si>
    <t>Internal Lock Washer 6</t>
  </si>
  <si>
    <t>LI-5160</t>
  </si>
  <si>
    <t>Internal Lock Washer 10</t>
  </si>
  <si>
    <t>LI-5800</t>
  </si>
  <si>
    <t>Internal Lock Washer 1</t>
  </si>
  <si>
    <t>LI-6000</t>
  </si>
  <si>
    <t>Internal Lock Washer 8</t>
  </si>
  <si>
    <t>LI-7160</t>
  </si>
  <si>
    <t>Internal Lock Washer 2</t>
  </si>
  <si>
    <t>LI-8000</t>
  </si>
  <si>
    <t>Thin-Jam Lock Nut 9</t>
  </si>
  <si>
    <t>LJ-1213</t>
  </si>
  <si>
    <t>Thin-Jam Lock Nut 10</t>
  </si>
  <si>
    <t>LJ-1220</t>
  </si>
  <si>
    <t>Thin-Jam Lock Nut 1</t>
  </si>
  <si>
    <t>LJ-1420</t>
  </si>
  <si>
    <t>Thin-Jam Lock Nut 2</t>
  </si>
  <si>
    <t>LJ-1428</t>
  </si>
  <si>
    <t>Thin-Jam Lock Nut 15</t>
  </si>
  <si>
    <t>LJ-3410</t>
  </si>
  <si>
    <t>Thin-Jam Lock Nut 16</t>
  </si>
  <si>
    <t>LJ-3416</t>
  </si>
  <si>
    <t>Thin-Jam Lock Nut 5</t>
  </si>
  <si>
    <t>LJ-3816</t>
  </si>
  <si>
    <t>Thin-Jam Lock Nut 6</t>
  </si>
  <si>
    <t>LJ-3824</t>
  </si>
  <si>
    <t>Thin-Jam Lock Nut 3</t>
  </si>
  <si>
    <t>LJ-5161</t>
  </si>
  <si>
    <t>Thin-Jam Lock Nut 4</t>
  </si>
  <si>
    <t>LJ-5162</t>
  </si>
  <si>
    <t>Thin-Jam Lock Nut 13</t>
  </si>
  <si>
    <t>LJ-5811</t>
  </si>
  <si>
    <t>Thin-Jam Lock Nut 14</t>
  </si>
  <si>
    <t>LJ-5818</t>
  </si>
  <si>
    <t>Thin-Jam Lock Nut 7</t>
  </si>
  <si>
    <t>LJ-7161</t>
  </si>
  <si>
    <t>Thin-Jam Lock Nut 8</t>
  </si>
  <si>
    <t>LJ-7162</t>
  </si>
  <si>
    <t>Thin-Jam Lock Nut 12</t>
  </si>
  <si>
    <t>LJ-9080</t>
  </si>
  <si>
    <t>Thin-Jam Lock Nut 11</t>
  </si>
  <si>
    <t>LJ-9161</t>
  </si>
  <si>
    <t>Lock Nut 5</t>
  </si>
  <si>
    <t>LN-1024</t>
  </si>
  <si>
    <t>Lock Nut 6</t>
  </si>
  <si>
    <t>LN-1032</t>
  </si>
  <si>
    <t>Lock Nut 16</t>
  </si>
  <si>
    <t>LN-1213</t>
  </si>
  <si>
    <t>Lock Nut 17</t>
  </si>
  <si>
    <t>LN-1220</t>
  </si>
  <si>
    <t>Lock Nut 7</t>
  </si>
  <si>
    <t>LN-1224</t>
  </si>
  <si>
    <t>Lock Nut 8</t>
  </si>
  <si>
    <t>LN-1420</t>
  </si>
  <si>
    <t>Lock Nut 9</t>
  </si>
  <si>
    <t>LN-1428</t>
  </si>
  <si>
    <t>Lock Nut 22</t>
  </si>
  <si>
    <t>LN-3410</t>
  </si>
  <si>
    <t>Lock Nut 23</t>
  </si>
  <si>
    <t>LN-3416</t>
  </si>
  <si>
    <t>Lock Nut 12</t>
  </si>
  <si>
    <t>LN-3816</t>
  </si>
  <si>
    <t>Lock Nut 13</t>
  </si>
  <si>
    <t>LN-3824</t>
  </si>
  <si>
    <t>Lock Nut 1</t>
  </si>
  <si>
    <t>LN-4400</t>
  </si>
  <si>
    <t>Lock Nut 10</t>
  </si>
  <si>
    <t>LN-5161</t>
  </si>
  <si>
    <t>Lock Nut 11</t>
  </si>
  <si>
    <t>LN-5162</t>
  </si>
  <si>
    <t>Lock Nut 2</t>
  </si>
  <si>
    <t>LN-5400</t>
  </si>
  <si>
    <t>Lock Nut 20</t>
  </si>
  <si>
    <t>LN-5811</t>
  </si>
  <si>
    <t>Lock Nut 21</t>
  </si>
  <si>
    <t>LN-5818</t>
  </si>
  <si>
    <t>Lock Nut 3</t>
  </si>
  <si>
    <t>LN-6320</t>
  </si>
  <si>
    <t>Lock Nut 14</t>
  </si>
  <si>
    <t>LN-7161</t>
  </si>
  <si>
    <t>Lock Nut 15</t>
  </si>
  <si>
    <t>LN-7162</t>
  </si>
  <si>
    <t>Lock Nut 4</t>
  </si>
  <si>
    <t>LN-8320</t>
  </si>
  <si>
    <t>Lock Nut 19</t>
  </si>
  <si>
    <t>LN-9080</t>
  </si>
  <si>
    <t>Lock Nut 18</t>
  </si>
  <si>
    <t>LN-9161</t>
  </si>
  <si>
    <t>Lock Ring</t>
  </si>
  <si>
    <t>LR-2398</t>
  </si>
  <si>
    <t>Lower Head Race</t>
  </si>
  <si>
    <t>LR-8520</t>
  </si>
  <si>
    <t>Lock Washer 4</t>
  </si>
  <si>
    <t>LW-1000</t>
  </si>
  <si>
    <t>Lock Washer 5</t>
  </si>
  <si>
    <t>LW-1200</t>
  </si>
  <si>
    <t>Lock Washer 10</t>
  </si>
  <si>
    <t>LW-1201</t>
  </si>
  <si>
    <t>Lock Washer 6</t>
  </si>
  <si>
    <t>LW-1400</t>
  </si>
  <si>
    <t>Lock Washer 13</t>
  </si>
  <si>
    <t>LW-3400</t>
  </si>
  <si>
    <t>Lock Washer 8</t>
  </si>
  <si>
    <t>LW-3800</t>
  </si>
  <si>
    <t>Lock Washer 1</t>
  </si>
  <si>
    <t>LW-4000</t>
  </si>
  <si>
    <t>Lock Washer 7</t>
  </si>
  <si>
    <t>LW-5160</t>
  </si>
  <si>
    <t>Lock Washer 12</t>
  </si>
  <si>
    <t>LW-5800</t>
  </si>
  <si>
    <t>Lock Washer 2</t>
  </si>
  <si>
    <t>LW-6000</t>
  </si>
  <si>
    <t>Lock Washer 9</t>
  </si>
  <si>
    <t>LW-7160</t>
  </si>
  <si>
    <t>Lock Washer 3</t>
  </si>
  <si>
    <t>LW-8000</t>
  </si>
  <si>
    <t>Lock Washer 11</t>
  </si>
  <si>
    <t>LW-9160</t>
  </si>
  <si>
    <t>Metal Angle</t>
  </si>
  <si>
    <t>MA-7075</t>
  </si>
  <si>
    <t>Metal Bar 1</t>
  </si>
  <si>
    <t>MB-2024</t>
  </si>
  <si>
    <t>Metal Bar 2</t>
  </si>
  <si>
    <t>MB-6061</t>
  </si>
  <si>
    <t>Metal Plate 2</t>
  </si>
  <si>
    <t>MP-2066</t>
  </si>
  <si>
    <t>Metal Plate 1</t>
  </si>
  <si>
    <t>MP-2503</t>
  </si>
  <si>
    <t>Metal Plate 3</t>
  </si>
  <si>
    <t>MP-4960</t>
  </si>
  <si>
    <t>Metal Sheet 2</t>
  </si>
  <si>
    <t>MS-0253</t>
  </si>
  <si>
    <t>Metal Sheet 3</t>
  </si>
  <si>
    <t>MS-1256</t>
  </si>
  <si>
    <t>Metal Sheet 7</t>
  </si>
  <si>
    <t>MS-1981</t>
  </si>
  <si>
    <t>Metal Sheet 4</t>
  </si>
  <si>
    <t>MS-2259</t>
  </si>
  <si>
    <t>Metal Sheet 5</t>
  </si>
  <si>
    <t>MS-2341</t>
  </si>
  <si>
    <t>Metal Sheet 6</t>
  </si>
  <si>
    <t>MS-2348</t>
  </si>
  <si>
    <t>Metal Sheet 1</t>
  </si>
  <si>
    <t>MS-6061</t>
  </si>
  <si>
    <t>Metal Tread Plate</t>
  </si>
  <si>
    <t>MT-1000</t>
  </si>
  <si>
    <t>LL Nipple</t>
  </si>
  <si>
    <t>NI-4127</t>
  </si>
  <si>
    <t>HL Nipple</t>
  </si>
  <si>
    <t>NI-9522</t>
  </si>
  <si>
    <t>Paint - Black</t>
  </si>
  <si>
    <t>PA-187B</t>
  </si>
  <si>
    <t>Paint - Red</t>
  </si>
  <si>
    <t>PA-361R</t>
  </si>
  <si>
    <t>Paint - Silver</t>
  </si>
  <si>
    <t>PA-529S</t>
  </si>
  <si>
    <t>Paint - Blue</t>
  </si>
  <si>
    <t>PA-632U</t>
  </si>
  <si>
    <t>Paint - Yellow</t>
  </si>
  <si>
    <t>PA-823Y</t>
  </si>
  <si>
    <t>Pinch Bolt</t>
  </si>
  <si>
    <t>PB-6109</t>
  </si>
  <si>
    <t>Cup-Shaped Race</t>
  </si>
  <si>
    <t>RA-2345</t>
  </si>
  <si>
    <t>Cone-Shaped Race</t>
  </si>
  <si>
    <t>RA-7490</t>
  </si>
  <si>
    <t>Reflector</t>
  </si>
  <si>
    <t>RF-9198</t>
  </si>
  <si>
    <t>LL Mountain Rim</t>
  </si>
  <si>
    <t>RM-M464</t>
  </si>
  <si>
    <t>ML Mountain Rim</t>
  </si>
  <si>
    <t>RM-M692</t>
  </si>
  <si>
    <t>HL Mountain Rim</t>
  </si>
  <si>
    <t>RM-M823</t>
  </si>
  <si>
    <t>LL Road Rim</t>
  </si>
  <si>
    <t>RM-R436</t>
  </si>
  <si>
    <t>ML Road Rim</t>
  </si>
  <si>
    <t>RM-R600</t>
  </si>
  <si>
    <t>HL Road Rim</t>
  </si>
  <si>
    <t>RM-R800</t>
  </si>
  <si>
    <t>Touring Rim</t>
  </si>
  <si>
    <t>RM-T801</t>
  </si>
  <si>
    <t>LL Mountain Seat Assembly</t>
  </si>
  <si>
    <t>SA-M198</t>
  </si>
  <si>
    <t>ML Mountain Seat Assembly</t>
  </si>
  <si>
    <t>SA-M237</t>
  </si>
  <si>
    <t>HL Mountain Seat Assembly</t>
  </si>
  <si>
    <t>SA-M687</t>
  </si>
  <si>
    <t>LL Road Seat Assembly</t>
  </si>
  <si>
    <t>SA-R127</t>
  </si>
  <si>
    <t>ML Road Seat Assembly</t>
  </si>
  <si>
    <t>SA-R430</t>
  </si>
  <si>
    <t>HL Road Seat Assembly</t>
  </si>
  <si>
    <t>SA-R522</t>
  </si>
  <si>
    <t>LL Touring Seat Assembly</t>
  </si>
  <si>
    <t>SA-T467</t>
  </si>
  <si>
    <t>ML Touring Seat Assembly</t>
  </si>
  <si>
    <t>SA-T612</t>
  </si>
  <si>
    <t>HL Touring Seat Assembly</t>
  </si>
  <si>
    <t>SA-T872</t>
  </si>
  <si>
    <t>LL Spindle/Axle</t>
  </si>
  <si>
    <t>SD-2342</t>
  </si>
  <si>
    <t>HL Spindle/Axle</t>
  </si>
  <si>
    <t>SD-9872</t>
  </si>
  <si>
    <t>LL Shell</t>
  </si>
  <si>
    <t>SH-4562</t>
  </si>
  <si>
    <t>HL Shell</t>
  </si>
  <si>
    <t>SH-9312</t>
  </si>
  <si>
    <t>Spokes</t>
  </si>
  <si>
    <t>SK-9283</t>
  </si>
  <si>
    <t>Seat Lug</t>
  </si>
  <si>
    <t>SL-0931</t>
  </si>
  <si>
    <t>Stem</t>
  </si>
  <si>
    <t>SM-9087</t>
  </si>
  <si>
    <t>Seat Post</t>
  </si>
  <si>
    <t>SP-2981</t>
  </si>
  <si>
    <t>Steerer</t>
  </si>
  <si>
    <t>SR-2098</t>
  </si>
  <si>
    <t>Seat Stays</t>
  </si>
  <si>
    <t>SS-2985</t>
  </si>
  <si>
    <t>Seat Tube</t>
  </si>
  <si>
    <t>ST-9828</t>
  </si>
  <si>
    <t>Top Tube</t>
  </si>
  <si>
    <t>TO-2301</t>
  </si>
  <si>
    <t>Tension Pulley</t>
  </si>
  <si>
    <t>TP-0923</t>
  </si>
  <si>
    <t>Rear Derailleur Cage</t>
  </si>
  <si>
    <t>RC-0291</t>
  </si>
  <si>
    <t>HL Road Frame - Black, 58</t>
  </si>
  <si>
    <t>FR-R92B-58</t>
  </si>
  <si>
    <t>HL Road Frame - Red, 58</t>
  </si>
  <si>
    <t>FR-R92R-58</t>
  </si>
  <si>
    <t>Sport-100 Helmet, Red</t>
  </si>
  <si>
    <t>HL-U509-R</t>
  </si>
  <si>
    <t>Sport-100 Helmet, Black</t>
  </si>
  <si>
    <t>HL-U509</t>
  </si>
  <si>
    <t>Mountain Bike Socks, M</t>
  </si>
  <si>
    <t>SO-B909-M</t>
  </si>
  <si>
    <t>Mountain Bike Socks, L</t>
  </si>
  <si>
    <t>SO-B909-L</t>
  </si>
  <si>
    <t>Sport-100 Helmet, Blue</t>
  </si>
  <si>
    <t>HL-U509-B</t>
  </si>
  <si>
    <t>AWC Logo Cap</t>
  </si>
  <si>
    <t>CA-1098</t>
  </si>
  <si>
    <t>Long-Sleeve Logo Jersey, S</t>
  </si>
  <si>
    <t>LJ-0192-S</t>
  </si>
  <si>
    <t>Long-Sleeve Logo Jersey, M</t>
  </si>
  <si>
    <t>LJ-0192-M</t>
  </si>
  <si>
    <t>Long-Sleeve Logo Jersey, L</t>
  </si>
  <si>
    <t>LJ-0192-L</t>
  </si>
  <si>
    <t>Long-Sleeve Logo Jersey, XL</t>
  </si>
  <si>
    <t>LJ-0192-X</t>
  </si>
  <si>
    <t>HL Road Frame - Red, 62</t>
  </si>
  <si>
    <t>FR-R92R-62</t>
  </si>
  <si>
    <t>HL Road Frame - Red, 44</t>
  </si>
  <si>
    <t>FR-R92R-44</t>
  </si>
  <si>
    <t>HL Road Frame - Red, 48</t>
  </si>
  <si>
    <t>FR-R92R-48</t>
  </si>
  <si>
    <t>HL Road Frame - Red, 52</t>
  </si>
  <si>
    <t>FR-R92R-52</t>
  </si>
  <si>
    <t>HL Road Frame - Red, 56</t>
  </si>
  <si>
    <t>FR-R92R-56</t>
  </si>
  <si>
    <t>LL Road Frame - Black, 58</t>
  </si>
  <si>
    <t>FR-R38B-58</t>
  </si>
  <si>
    <t>LL Road Frame - Black, 60</t>
  </si>
  <si>
    <t>FR-R38B-60</t>
  </si>
  <si>
    <t>LL Road Frame - Black, 62</t>
  </si>
  <si>
    <t>FR-R38B-62</t>
  </si>
  <si>
    <t>LL Road Frame - Red, 44</t>
  </si>
  <si>
    <t>FR-R38R-44</t>
  </si>
  <si>
    <t>LL Road Frame - Red, 48</t>
  </si>
  <si>
    <t>FR-R38R-48</t>
  </si>
  <si>
    <t>LL Road Frame - Red, 52</t>
  </si>
  <si>
    <t>FR-R38R-52</t>
  </si>
  <si>
    <t>LL Road Frame - Red, 58</t>
  </si>
  <si>
    <t>FR-R38R-58</t>
  </si>
  <si>
    <t>LL Road Frame - Red, 60</t>
  </si>
  <si>
    <t>FR-R38R-60</t>
  </si>
  <si>
    <t>LL Road Frame - Red, 62</t>
  </si>
  <si>
    <t>FR-R38R-62</t>
  </si>
  <si>
    <t>ML Road Frame - Red, 44</t>
  </si>
  <si>
    <t>FR-R72R-44</t>
  </si>
  <si>
    <t>ML Road Frame - Red, 48</t>
  </si>
  <si>
    <t>FR-R72R-48</t>
  </si>
  <si>
    <t>ML Road Frame - Red, 52</t>
  </si>
  <si>
    <t>FR-R72R-52</t>
  </si>
  <si>
    <t>ML Road Frame - Red, 58</t>
  </si>
  <si>
    <t>FR-R72R-58</t>
  </si>
  <si>
    <t>ML Road Frame - Red, 60</t>
  </si>
  <si>
    <t>FR-R72R-60</t>
  </si>
  <si>
    <t>LL Road Frame - Black, 44</t>
  </si>
  <si>
    <t>FR-R38B-44</t>
  </si>
  <si>
    <t>LL Road Frame - Black, 48</t>
  </si>
  <si>
    <t>FR-R38B-48</t>
  </si>
  <si>
    <t>LL Road Frame - Black, 52</t>
  </si>
  <si>
    <t>FR-R38B-52</t>
  </si>
  <si>
    <t>HL Mountain Frame - Silver, 42</t>
  </si>
  <si>
    <t>FR-M94S-42</t>
  </si>
  <si>
    <t>HL Mountain Frame - Silver, 44</t>
  </si>
  <si>
    <t>FR-M94S-44</t>
  </si>
  <si>
    <t>HL Mountain Frame - Silver, 48</t>
  </si>
  <si>
    <t>FR-M94S-52</t>
  </si>
  <si>
    <t>HL Mountain Frame - Silver, 46</t>
  </si>
  <si>
    <t>FR-M94S-46</t>
  </si>
  <si>
    <t>HL Mountain Frame - Black, 42</t>
  </si>
  <si>
    <t>FR-M94B-42</t>
  </si>
  <si>
    <t>HL Mountain Frame - Black, 44</t>
  </si>
  <si>
    <t>FR-M94B-44</t>
  </si>
  <si>
    <t>HL Mountain Frame - Black, 48</t>
  </si>
  <si>
    <t>FR-M94B-48</t>
  </si>
  <si>
    <t>HL Mountain Frame - Black, 46</t>
  </si>
  <si>
    <t>FR-M94B-46</t>
  </si>
  <si>
    <t>HL Mountain Frame - Black, 38</t>
  </si>
  <si>
    <t>FR-M94B-38</t>
  </si>
  <si>
    <t>HL Mountain Frame - Silver, 38</t>
  </si>
  <si>
    <t>FR-M94S-38</t>
  </si>
  <si>
    <t>Road-150 Red, 62</t>
  </si>
  <si>
    <t>BK-R93R-62</t>
  </si>
  <si>
    <t>Road-150 Red, 44</t>
  </si>
  <si>
    <t>BK-R93R-44</t>
  </si>
  <si>
    <t>Road-150 Red, 48</t>
  </si>
  <si>
    <t>BK-R93R-48</t>
  </si>
  <si>
    <t>Road-150 Red, 52</t>
  </si>
  <si>
    <t>BK-R93R-52</t>
  </si>
  <si>
    <t>Road-150 Red, 56</t>
  </si>
  <si>
    <t>BK-R93R-56</t>
  </si>
  <si>
    <t>Road-450 Red, 58</t>
  </si>
  <si>
    <t>BK-R68R-58</t>
  </si>
  <si>
    <t>Road-450 Red, 60</t>
  </si>
  <si>
    <t>BK-R68R-60</t>
  </si>
  <si>
    <t>Road-450 Red, 44</t>
  </si>
  <si>
    <t>BK-R68R-44</t>
  </si>
  <si>
    <t>Road-450 Red, 48</t>
  </si>
  <si>
    <t>BK-R68R-48</t>
  </si>
  <si>
    <t>Road-450 Red, 52</t>
  </si>
  <si>
    <t>BK-R68R-52</t>
  </si>
  <si>
    <t>Road-650 Red, 58</t>
  </si>
  <si>
    <t>BK-R50R-58</t>
  </si>
  <si>
    <t>Road-650 Red, 60</t>
  </si>
  <si>
    <t>BK-R50R-60</t>
  </si>
  <si>
    <t>Road-650 Red, 62</t>
  </si>
  <si>
    <t>BK-R50R-62</t>
  </si>
  <si>
    <t>Road-650 Red, 44</t>
  </si>
  <si>
    <t>BK-R50R-44</t>
  </si>
  <si>
    <t>Road-650 Red, 48</t>
  </si>
  <si>
    <t>BK-R50R-48</t>
  </si>
  <si>
    <t>Road-650 Red, 52</t>
  </si>
  <si>
    <t>BK-R50R-52</t>
  </si>
  <si>
    <t>Road-650 Black, 58</t>
  </si>
  <si>
    <t>BK-R50B-58</t>
  </si>
  <si>
    <t>Road-650 Black, 60</t>
  </si>
  <si>
    <t>BK-R50B-60</t>
  </si>
  <si>
    <t>Road-650 Black, 62</t>
  </si>
  <si>
    <t>BK-R50B-62</t>
  </si>
  <si>
    <t>Road-650 Black, 44</t>
  </si>
  <si>
    <t>BK-R50B-44</t>
  </si>
  <si>
    <t>Road-650 Black, 48</t>
  </si>
  <si>
    <t>BK-R50B-48</t>
  </si>
  <si>
    <t>Road-650 Black, 52</t>
  </si>
  <si>
    <t>BK-R50B-52</t>
  </si>
  <si>
    <t>Mountain-100 Silver, 38</t>
  </si>
  <si>
    <t>BK-M82S-38</t>
  </si>
  <si>
    <t>Mountain-100 Silver, 42</t>
  </si>
  <si>
    <t>BK-M82S-42</t>
  </si>
  <si>
    <t>Mountain-100 Silver, 44</t>
  </si>
  <si>
    <t>BK-M82S-44</t>
  </si>
  <si>
    <t>Mountain-100 Silver, 48</t>
  </si>
  <si>
    <t>BK-M82S-48</t>
  </si>
  <si>
    <t>Mountain-100 Black, 38</t>
  </si>
  <si>
    <t>BK-M82B-38</t>
  </si>
  <si>
    <t>Mountain-100 Black, 42</t>
  </si>
  <si>
    <t>BK-M82B-42</t>
  </si>
  <si>
    <t>Mountain-100 Black, 44</t>
  </si>
  <si>
    <t>BK-M82B-44</t>
  </si>
  <si>
    <t>Mountain-100 Black, 48</t>
  </si>
  <si>
    <t>BK-M82B-48</t>
  </si>
  <si>
    <t>Mountain-200 Silver, 38</t>
  </si>
  <si>
    <t>BK-M68S-38</t>
  </si>
  <si>
    <t>Mountain-200 Silver, 42</t>
  </si>
  <si>
    <t>BK-M68S-42</t>
  </si>
  <si>
    <t>Mountain-200 Silver, 46</t>
  </si>
  <si>
    <t>BK-M68S-46</t>
  </si>
  <si>
    <t>Mountain-200 Black, 38</t>
  </si>
  <si>
    <t>BK-M68B-38</t>
  </si>
  <si>
    <t>Mountain-200 Black, 42</t>
  </si>
  <si>
    <t>BK-M68B-42</t>
  </si>
  <si>
    <t>Mountain-200 Black, 46</t>
  </si>
  <si>
    <t>BK-M68B-46</t>
  </si>
  <si>
    <t>Mountain-300 Black, 38</t>
  </si>
  <si>
    <t>BK-M47B-38</t>
  </si>
  <si>
    <t>Mountain-300 Black, 40</t>
  </si>
  <si>
    <t>BK-M47B-40</t>
  </si>
  <si>
    <t>Mountain-300 Black, 44</t>
  </si>
  <si>
    <t>BK-M47B-44</t>
  </si>
  <si>
    <t>Mountain-300 Black, 48</t>
  </si>
  <si>
    <t>BK-M47B-48</t>
  </si>
  <si>
    <t>Road-250 Red, 44</t>
  </si>
  <si>
    <t>BK-R89R-44</t>
  </si>
  <si>
    <t>Road-250 Red, 48</t>
  </si>
  <si>
    <t>BK-R89R-48</t>
  </si>
  <si>
    <t>Road-250 Red, 52</t>
  </si>
  <si>
    <t>BK-R89R-52</t>
  </si>
  <si>
    <t>Road-250 Red, 58</t>
  </si>
  <si>
    <t>BK-R89R-58</t>
  </si>
  <si>
    <t>Road-250 Black, 44</t>
  </si>
  <si>
    <t>BK-R89B-44</t>
  </si>
  <si>
    <t>Road-250 Black, 48</t>
  </si>
  <si>
    <t>BK-R89B-48</t>
  </si>
  <si>
    <t>Road-250 Black, 52</t>
  </si>
  <si>
    <t>BK-R89B-52</t>
  </si>
  <si>
    <t>Road-250 Black, 58</t>
  </si>
  <si>
    <t>BK-R89B-58</t>
  </si>
  <si>
    <t>Road-550-W Yellow, 38</t>
  </si>
  <si>
    <t>BK-R64Y-38</t>
  </si>
  <si>
    <t>Road-550-W Yellow, 40</t>
  </si>
  <si>
    <t>BK-R64Y-40</t>
  </si>
  <si>
    <t>Road-550-W Yellow, 42</t>
  </si>
  <si>
    <t>BK-R64Y-42</t>
  </si>
  <si>
    <t>Road-550-W Yellow, 44</t>
  </si>
  <si>
    <t>BK-R64Y-44</t>
  </si>
  <si>
    <t>Road-550-W Yellow, 48</t>
  </si>
  <si>
    <t>BK-R64Y-48</t>
  </si>
  <si>
    <t>LL Fork</t>
  </si>
  <si>
    <t>FK-1639</t>
  </si>
  <si>
    <t>ML Fork</t>
  </si>
  <si>
    <t>FK-5136</t>
  </si>
  <si>
    <t>HL Fork</t>
  </si>
  <si>
    <t>FK-9939</t>
  </si>
  <si>
    <t>LL Headset</t>
  </si>
  <si>
    <t>HS-0296</t>
  </si>
  <si>
    <t>ML Headset</t>
  </si>
  <si>
    <t>HS-2451</t>
  </si>
  <si>
    <t>HL Headset</t>
  </si>
  <si>
    <t>HS-3479</t>
  </si>
  <si>
    <t>LL Mountain Handlebars</t>
  </si>
  <si>
    <t>HB-M243</t>
  </si>
  <si>
    <t>ML Mountain Handlebars</t>
  </si>
  <si>
    <t>HB-M763</t>
  </si>
  <si>
    <t>HL Mountain Handlebars</t>
  </si>
  <si>
    <t>HB-M918</t>
  </si>
  <si>
    <t>LL Road Handlebars</t>
  </si>
  <si>
    <t>HB-R504</t>
  </si>
  <si>
    <t>ML Road Handlebars</t>
  </si>
  <si>
    <t>HB-R720</t>
  </si>
  <si>
    <t>HL Road Handlebars</t>
  </si>
  <si>
    <t>HB-R956</t>
  </si>
  <si>
    <t>ML Mountain Frame - Black, 38</t>
  </si>
  <si>
    <t>FR-M63B-38</t>
  </si>
  <si>
    <t>LL Mountain Front Wheel</t>
  </si>
  <si>
    <t>FW-M423</t>
  </si>
  <si>
    <t>ML Mountain Front Wheel</t>
  </si>
  <si>
    <t>FW-M762</t>
  </si>
  <si>
    <t>HL Mountain Front Wheel</t>
  </si>
  <si>
    <t>FW-M928</t>
  </si>
  <si>
    <t>LL Road Front Wheel</t>
  </si>
  <si>
    <t>FW-R623</t>
  </si>
  <si>
    <t>ML Road Front Wheel</t>
  </si>
  <si>
    <t>FW-R762</t>
  </si>
  <si>
    <t>HL Road Front Wheel</t>
  </si>
  <si>
    <t>FW-R820</t>
  </si>
  <si>
    <t>Touring Front Wheel</t>
  </si>
  <si>
    <t>FW-T905</t>
  </si>
  <si>
    <t>ML Road Frame-W - Yellow, 38</t>
  </si>
  <si>
    <t>FR-R72Y-38</t>
  </si>
  <si>
    <t>LL Mountain Rear Wheel</t>
  </si>
  <si>
    <t>RW-M423</t>
  </si>
  <si>
    <t>ML Mountain Rear Wheel</t>
  </si>
  <si>
    <t>RW-M762</t>
  </si>
  <si>
    <t>HL Mountain Rear Wheel</t>
  </si>
  <si>
    <t>RW-M928</t>
  </si>
  <si>
    <t>LL Road Rear Wheel</t>
  </si>
  <si>
    <t>RW-R623</t>
  </si>
  <si>
    <t>ML Road Rear Wheel</t>
  </si>
  <si>
    <t>RW-R762</t>
  </si>
  <si>
    <t>HL Road Rear Wheel</t>
  </si>
  <si>
    <t>RW-R820</t>
  </si>
  <si>
    <t>Touring Rear Wheel</t>
  </si>
  <si>
    <t>RW-T905</t>
  </si>
  <si>
    <t>ML Mountain Frame - Black, 40</t>
  </si>
  <si>
    <t>FR-M63B-40</t>
  </si>
  <si>
    <t>ML Mountain Frame - Black, 44</t>
  </si>
  <si>
    <t>FR-M63B-44</t>
  </si>
  <si>
    <t>ML Mountain Frame - Black, 48</t>
  </si>
  <si>
    <t>FR-M63B-48</t>
  </si>
  <si>
    <t>ML Road Frame-W - Yellow, 40</t>
  </si>
  <si>
    <t>FR-R72Y-40</t>
  </si>
  <si>
    <t>ML Road Frame-W - Yellow, 42</t>
  </si>
  <si>
    <t>FR-R72Y-42</t>
  </si>
  <si>
    <t>ML Road Frame-W - Yellow, 44</t>
  </si>
  <si>
    <t>FR-R72Y-44</t>
  </si>
  <si>
    <t>ML Road Frame-W - Yellow, 48</t>
  </si>
  <si>
    <t>FR-R72Y-48</t>
  </si>
  <si>
    <t>HL Road Frame - Black, 62</t>
  </si>
  <si>
    <t>FR-R92B-62</t>
  </si>
  <si>
    <t>HL Road Frame - Black, 44</t>
  </si>
  <si>
    <t>FR-R92B-44</t>
  </si>
  <si>
    <t>HL Road Frame - Black, 48</t>
  </si>
  <si>
    <t>FR-R92B-48</t>
  </si>
  <si>
    <t>HL Road Frame - Black, 52</t>
  </si>
  <si>
    <t>FR-R92B-52</t>
  </si>
  <si>
    <t>Men's Sports Shorts, S</t>
  </si>
  <si>
    <t>SH-M897-S</t>
  </si>
  <si>
    <t>Touring-Panniers, Large</t>
  </si>
  <si>
    <t>PA-T100</t>
  </si>
  <si>
    <t>Cable Lock</t>
  </si>
  <si>
    <t>LO-C100</t>
  </si>
  <si>
    <t>Minipump</t>
  </si>
  <si>
    <t>PU-0452</t>
  </si>
  <si>
    <t>Mountain Pump</t>
  </si>
  <si>
    <t>PU-M044</t>
  </si>
  <si>
    <t>Taillights - Battery-Powered</t>
  </si>
  <si>
    <t>LT-T990</t>
  </si>
  <si>
    <t>Headlights - Dual-Beam</t>
  </si>
  <si>
    <t>LT-H902</t>
  </si>
  <si>
    <t>Headlights - Weatherproof</t>
  </si>
  <si>
    <t>LT-H903</t>
  </si>
  <si>
    <t>Men's Sports Shorts, M</t>
  </si>
  <si>
    <t>SH-M897-M</t>
  </si>
  <si>
    <t>Men's Sports Shorts, L</t>
  </si>
  <si>
    <t>SH-M897-L</t>
  </si>
  <si>
    <t>Men's Sports Shorts, XL</t>
  </si>
  <si>
    <t>SH-M897-X</t>
  </si>
  <si>
    <t>Women's Tights, S</t>
  </si>
  <si>
    <t>TG-W091-S</t>
  </si>
  <si>
    <t>Women's Tights, M</t>
  </si>
  <si>
    <t>TG-W091-M</t>
  </si>
  <si>
    <t>Women's Tights, L</t>
  </si>
  <si>
    <t>TG-W091-L</t>
  </si>
  <si>
    <t>Men's Bib-Shorts, S</t>
  </si>
  <si>
    <t>SB-M891-S</t>
  </si>
  <si>
    <t>Men's Bib-Shorts, M</t>
  </si>
  <si>
    <t>SB-M891-M</t>
  </si>
  <si>
    <t>Men's Bib-Shorts, L</t>
  </si>
  <si>
    <t>SB-M891-L</t>
  </si>
  <si>
    <t>Half-Finger Gloves, S</t>
  </si>
  <si>
    <t>GL-H102-S</t>
  </si>
  <si>
    <t>Half-Finger Gloves, M</t>
  </si>
  <si>
    <t>GL-H102-M</t>
  </si>
  <si>
    <t>Half-Finger Gloves, L</t>
  </si>
  <si>
    <t>GL-H102-L</t>
  </si>
  <si>
    <t>Full-Finger Gloves, S</t>
  </si>
  <si>
    <t>GL-F110-S</t>
  </si>
  <si>
    <t>Full-Finger Gloves, M</t>
  </si>
  <si>
    <t>GL-F110-M</t>
  </si>
  <si>
    <t>Full-Finger Gloves, L</t>
  </si>
  <si>
    <t>GL-F110-L</t>
  </si>
  <si>
    <t>Classic Vest, S</t>
  </si>
  <si>
    <t>VE-C304-S</t>
  </si>
  <si>
    <t>Classic Vest, M</t>
  </si>
  <si>
    <t>VE-C304-M</t>
  </si>
  <si>
    <t>Classic Vest, L</t>
  </si>
  <si>
    <t>VE-C304-L</t>
  </si>
  <si>
    <t>Women's Mountain Shorts, S</t>
  </si>
  <si>
    <t>SH-W890-S</t>
  </si>
  <si>
    <t>Women's Mountain Shorts, M</t>
  </si>
  <si>
    <t>SH-W890-M</t>
  </si>
  <si>
    <t>Women's Mountain Shorts, L</t>
  </si>
  <si>
    <t>SH-W890-L</t>
  </si>
  <si>
    <t>Water Bottle - 30 oz.</t>
  </si>
  <si>
    <t>WB-H098</t>
  </si>
  <si>
    <t>Mountain Bottle Cage</t>
  </si>
  <si>
    <t>BC-M005</t>
  </si>
  <si>
    <t>Road Bottle Cage</t>
  </si>
  <si>
    <t>BC-R205</t>
  </si>
  <si>
    <t>Patch Kit/8 Patches</t>
  </si>
  <si>
    <t>PK-7098</t>
  </si>
  <si>
    <t>Racing Socks, M</t>
  </si>
  <si>
    <t>SO-R809-M</t>
  </si>
  <si>
    <t>Racing Socks, L</t>
  </si>
  <si>
    <t>SO-R809-L</t>
  </si>
  <si>
    <t>Hitch Rack - 4-Bike</t>
  </si>
  <si>
    <t>RA-H123</t>
  </si>
  <si>
    <t>Bike Wash - Dissolver</t>
  </si>
  <si>
    <t>CL-9009</t>
  </si>
  <si>
    <t>Fender Set - Mountain</t>
  </si>
  <si>
    <t>FE-6654</t>
  </si>
  <si>
    <t>All-Purpose Bike Stand</t>
  </si>
  <si>
    <t>ST-1401</t>
  </si>
  <si>
    <t>Hydration Pack - 70 oz.</t>
  </si>
  <si>
    <t>HY-1023-70</t>
  </si>
  <si>
    <t>Short-Sleeve Classic Jersey, S</t>
  </si>
  <si>
    <t>SJ-0194-S</t>
  </si>
  <si>
    <t>Short-Sleeve Classic Jersey, M</t>
  </si>
  <si>
    <t>SJ-0194-M</t>
  </si>
  <si>
    <t>Short-Sleeve Classic Jersey, L</t>
  </si>
  <si>
    <t>SJ-0194-L</t>
  </si>
  <si>
    <t>Short-Sleeve Classic Jersey, XL</t>
  </si>
  <si>
    <t>SJ-0194-X</t>
  </si>
  <si>
    <t>HL Touring Frame - Yellow, 60</t>
  </si>
  <si>
    <t>FR-T98Y-60</t>
  </si>
  <si>
    <t>LL Touring Frame - Yellow, 62</t>
  </si>
  <si>
    <t>FR-T67Y-62</t>
  </si>
  <si>
    <t>HL Touring Frame - Yellow, 46</t>
  </si>
  <si>
    <t>FR-T98Y-46</t>
  </si>
  <si>
    <t>HL Touring Frame - Yellow, 50</t>
  </si>
  <si>
    <t>FR-T98Y-50</t>
  </si>
  <si>
    <t>HL Touring Frame - Yellow, 54</t>
  </si>
  <si>
    <t>FR-T98Y-54</t>
  </si>
  <si>
    <t>HL Touring Frame - Blue, 46</t>
  </si>
  <si>
    <t>FR-T98U-46</t>
  </si>
  <si>
    <t>HL Touring Frame - Blue, 50</t>
  </si>
  <si>
    <t>FR-T98U-50</t>
  </si>
  <si>
    <t>HL Touring Frame - Blue, 54</t>
  </si>
  <si>
    <t>FR-T98U-54</t>
  </si>
  <si>
    <t>HL Touring Frame - Blue, 60</t>
  </si>
  <si>
    <t>FR-T98U-60</t>
  </si>
  <si>
    <t>Rear Derailleur</t>
  </si>
  <si>
    <t>RD-2308</t>
  </si>
  <si>
    <t>LL Touring Frame - Blue, 50</t>
  </si>
  <si>
    <t>FR-T67U-50</t>
  </si>
  <si>
    <t>LL Touring Frame - Blue, 54</t>
  </si>
  <si>
    <t>FR-T67U-54</t>
  </si>
  <si>
    <t>LL Touring Frame - Blue, 58</t>
  </si>
  <si>
    <t>FR-T67U-58</t>
  </si>
  <si>
    <t>LL Touring Frame - Blue, 62</t>
  </si>
  <si>
    <t>FR-T67U-62</t>
  </si>
  <si>
    <t>LL Touring Frame - Yellow, 44</t>
  </si>
  <si>
    <t>FR-T67Y-44</t>
  </si>
  <si>
    <t>LL Touring Frame - Yellow, 50</t>
  </si>
  <si>
    <t>FR-T67Y-50</t>
  </si>
  <si>
    <t>LL Touring Frame - Yellow, 54</t>
  </si>
  <si>
    <t>FR-T67Y-54</t>
  </si>
  <si>
    <t>LL Touring Frame - Yellow, 58</t>
  </si>
  <si>
    <t>FR-T67Y-58</t>
  </si>
  <si>
    <t>LL Touring Frame - Blue, 44</t>
  </si>
  <si>
    <t>FR-T67U-44</t>
  </si>
  <si>
    <t>ML Mountain Frame-W - Silver, 40</t>
  </si>
  <si>
    <t>FR-M63S-40</t>
  </si>
  <si>
    <t>ML Mountain Frame-W - Silver, 42</t>
  </si>
  <si>
    <t>FR-M63S-42</t>
  </si>
  <si>
    <t>ML Mountain Frame-W - Silver, 46</t>
  </si>
  <si>
    <t>FR-M63S-46</t>
  </si>
  <si>
    <t>Rear Brakes</t>
  </si>
  <si>
    <t>RB-9231</t>
  </si>
  <si>
    <t>LL Mountain Seat/Saddle</t>
  </si>
  <si>
    <t>SE-M236</t>
  </si>
  <si>
    <t>ML Mountain Seat/Saddle</t>
  </si>
  <si>
    <t>SE-M798</t>
  </si>
  <si>
    <t>HL Mountain Seat/Saddle</t>
  </si>
  <si>
    <t>SE-M940</t>
  </si>
  <si>
    <t>LL Road Seat/Saddle</t>
  </si>
  <si>
    <t>SE-R581</t>
  </si>
  <si>
    <t>ML Road Seat/Saddle</t>
  </si>
  <si>
    <t>SE-R908</t>
  </si>
  <si>
    <t>HL Road Seat/Saddle</t>
  </si>
  <si>
    <t>SE-R995</t>
  </si>
  <si>
    <t>LL Touring Seat/Saddle</t>
  </si>
  <si>
    <t>SE-T312</t>
  </si>
  <si>
    <t>ML Touring Seat/Saddle</t>
  </si>
  <si>
    <t>SE-T762</t>
  </si>
  <si>
    <t>HL Touring Seat/Saddle</t>
  </si>
  <si>
    <t>SE-T924</t>
  </si>
  <si>
    <t>LL Mountain Frame - Silver, 42</t>
  </si>
  <si>
    <t>FR-M21S-42</t>
  </si>
  <si>
    <t>LL Mountain Frame - Silver, 44</t>
  </si>
  <si>
    <t>FR-M21S-44</t>
  </si>
  <si>
    <t>LL Mountain Frame - Silver, 48</t>
  </si>
  <si>
    <t>FR-M21S-48</t>
  </si>
  <si>
    <t>LL Mountain Frame - Silver, 52</t>
  </si>
  <si>
    <t>FR-M21S-52</t>
  </si>
  <si>
    <t>Mountain Tire Tube</t>
  </si>
  <si>
    <t>TT-M928</t>
  </si>
  <si>
    <t>Road Tire Tube</t>
  </si>
  <si>
    <t>TT-R982</t>
  </si>
  <si>
    <t>Touring Tire Tube</t>
  </si>
  <si>
    <t>TT-T092</t>
  </si>
  <si>
    <t>LL Mountain Frame - Black, 42</t>
  </si>
  <si>
    <t>FR-M21B-42</t>
  </si>
  <si>
    <t>LL Mountain Frame - Black, 44</t>
  </si>
  <si>
    <t>FR-M21B-44</t>
  </si>
  <si>
    <t>LL Mountain Frame - Black, 48</t>
  </si>
  <si>
    <t>FR-M21B-48</t>
  </si>
  <si>
    <t>LL Mountain Frame - Black, 52</t>
  </si>
  <si>
    <t>FR-M21B-52</t>
  </si>
  <si>
    <t>LL Mountain Tire</t>
  </si>
  <si>
    <t>TI-M267</t>
  </si>
  <si>
    <t>ML Mountain Tire</t>
  </si>
  <si>
    <t>TI-M602</t>
  </si>
  <si>
    <t>HL Mountain Tire</t>
  </si>
  <si>
    <t>TI-M823</t>
  </si>
  <si>
    <t>LL Road Tire</t>
  </si>
  <si>
    <t>TI-R092</t>
  </si>
  <si>
    <t>ML Road Tire</t>
  </si>
  <si>
    <t>TI-R628</t>
  </si>
  <si>
    <t>HL Road Tire</t>
  </si>
  <si>
    <t>TI-R982</t>
  </si>
  <si>
    <t>Touring Tire</t>
  </si>
  <si>
    <t>TI-T723</t>
  </si>
  <si>
    <t>LL Mountain Pedal</t>
  </si>
  <si>
    <t>PD-M282</t>
  </si>
  <si>
    <t>ML Mountain Pedal</t>
  </si>
  <si>
    <t>PD-M340</t>
  </si>
  <si>
    <t>HL Mountain Pedal</t>
  </si>
  <si>
    <t>PD-M562</t>
  </si>
  <si>
    <t>LL Road Pedal</t>
  </si>
  <si>
    <t>PD-R347</t>
  </si>
  <si>
    <t>ML Road Pedal</t>
  </si>
  <si>
    <t>PD-R563</t>
  </si>
  <si>
    <t>HL Road Pedal</t>
  </si>
  <si>
    <t>PD-R853</t>
  </si>
  <si>
    <t>Touring Pedal</t>
  </si>
  <si>
    <t>PD-T852</t>
  </si>
  <si>
    <t>ML Mountain Frame-W - Silver, 38</t>
  </si>
  <si>
    <t>FR-M63S-38</t>
  </si>
  <si>
    <t>LL Mountain Frame - Black, 40</t>
  </si>
  <si>
    <t>FR-M21B-40</t>
  </si>
  <si>
    <t>LL Mountain Frame - Silver, 40</t>
  </si>
  <si>
    <t>FR-M21S-40</t>
  </si>
  <si>
    <t>Front Derailleur</t>
  </si>
  <si>
    <t>FD-2342</t>
  </si>
  <si>
    <t>LL Touring Handlebars</t>
  </si>
  <si>
    <t>HB-T721</t>
  </si>
  <si>
    <t>HL Touring Handlebars</t>
  </si>
  <si>
    <t>HB-T928</t>
  </si>
  <si>
    <t>Front Brakes</t>
  </si>
  <si>
    <t>FB-9873</t>
  </si>
  <si>
    <t>LL Crankset</t>
  </si>
  <si>
    <t>CS-4759</t>
  </si>
  <si>
    <t>ML Crankset</t>
  </si>
  <si>
    <t>CS-6583</t>
  </si>
  <si>
    <t>HL Crankset</t>
  </si>
  <si>
    <t>CS-9183</t>
  </si>
  <si>
    <t>Chain</t>
  </si>
  <si>
    <t>CH-0234</t>
  </si>
  <si>
    <t>Touring-2000 Blue, 60</t>
  </si>
  <si>
    <t>BK-T44U-60</t>
  </si>
  <si>
    <t>Touring-1000 Yellow, 46</t>
  </si>
  <si>
    <t>BK-T79Y-46</t>
  </si>
  <si>
    <t>Touring-1000 Yellow, 50</t>
  </si>
  <si>
    <t>BK-T79Y-50</t>
  </si>
  <si>
    <t>Touring-1000 Yellow, 54</t>
  </si>
  <si>
    <t>BK-T79Y-54</t>
  </si>
  <si>
    <t>Touring-1000 Yellow, 60</t>
  </si>
  <si>
    <t>BK-T79Y-60</t>
  </si>
  <si>
    <t>Touring-3000 Blue, 54</t>
  </si>
  <si>
    <t>BK-T18U-54</t>
  </si>
  <si>
    <t>Touring-3000 Blue, 58</t>
  </si>
  <si>
    <t>BK-T18U-58</t>
  </si>
  <si>
    <t>Touring-3000 Blue, 62</t>
  </si>
  <si>
    <t>BK-T18U-62</t>
  </si>
  <si>
    <t>Touring-3000 Yellow, 44</t>
  </si>
  <si>
    <t>BK-T18Y-44</t>
  </si>
  <si>
    <t>Touring-3000 Yellow, 50</t>
  </si>
  <si>
    <t>BK-T18Y-50</t>
  </si>
  <si>
    <t>Touring-3000 Yellow, 54</t>
  </si>
  <si>
    <t>BK-T18Y-54</t>
  </si>
  <si>
    <t>Touring-3000 Yellow, 58</t>
  </si>
  <si>
    <t>BK-T18Y-58</t>
  </si>
  <si>
    <t>Touring-3000 Yellow, 62</t>
  </si>
  <si>
    <t>BK-T18Y-62</t>
  </si>
  <si>
    <t>Touring-1000 Blue, 46</t>
  </si>
  <si>
    <t>BK-T79U-46</t>
  </si>
  <si>
    <t>Touring-1000 Blue, 50</t>
  </si>
  <si>
    <t>BK-T79U-50</t>
  </si>
  <si>
    <t>Touring-1000 Blue, 54</t>
  </si>
  <si>
    <t>BK-T79U-54</t>
  </si>
  <si>
    <t>Touring-1000 Blue, 60</t>
  </si>
  <si>
    <t>BK-T79U-60</t>
  </si>
  <si>
    <t>Touring-2000 Blue, 46</t>
  </si>
  <si>
    <t>BK-T44U-46</t>
  </si>
  <si>
    <t>Touring-2000 Blue, 50</t>
  </si>
  <si>
    <t>BK-T44U-50</t>
  </si>
  <si>
    <t>Touring-2000 Blue, 54</t>
  </si>
  <si>
    <t>BK-T44U-54</t>
  </si>
  <si>
    <t>Road-350-W Yellow, 40</t>
  </si>
  <si>
    <t>BK-R79Y-40</t>
  </si>
  <si>
    <t>Road-350-W Yellow, 42</t>
  </si>
  <si>
    <t>BK-R79Y-42</t>
  </si>
  <si>
    <t>Road-350-W Yellow, 44</t>
  </si>
  <si>
    <t>BK-R79Y-44</t>
  </si>
  <si>
    <t>Road-350-W Yellow, 48</t>
  </si>
  <si>
    <t>BK-R79Y-48</t>
  </si>
  <si>
    <t>Road-750 Black, 58</t>
  </si>
  <si>
    <t>BK-R19B-58</t>
  </si>
  <si>
    <t>Touring-3000 Blue, 44</t>
  </si>
  <si>
    <t>BK-T18U-44</t>
  </si>
  <si>
    <t>Touring-3000 Blue, 50</t>
  </si>
  <si>
    <t>BK-T18U-50</t>
  </si>
  <si>
    <t>Mountain-400-W Silver, 38</t>
  </si>
  <si>
    <t>BK-M38S-38</t>
  </si>
  <si>
    <t>Mountain-400-W Silver, 40</t>
  </si>
  <si>
    <t>BK-M38S-40</t>
  </si>
  <si>
    <t>Mountain-400-W Silver, 42</t>
  </si>
  <si>
    <t>BK-M38S-42</t>
  </si>
  <si>
    <t>Mountain-400-W Silver, 46</t>
  </si>
  <si>
    <t>BK-M38S-46</t>
  </si>
  <si>
    <t>Mountain-500 Silver, 40</t>
  </si>
  <si>
    <t>BK-M18S-40</t>
  </si>
  <si>
    <t>Mountain-500 Silver, 42</t>
  </si>
  <si>
    <t>BK-M18S-42</t>
  </si>
  <si>
    <t>Mountain-500 Silver, 44</t>
  </si>
  <si>
    <t>BK-M18S-44</t>
  </si>
  <si>
    <t>Mountain-500 Silver, 48</t>
  </si>
  <si>
    <t>BK-M18S-48</t>
  </si>
  <si>
    <t>Mountain-500 Silver, 52</t>
  </si>
  <si>
    <t>BK-M18S-52</t>
  </si>
  <si>
    <t>Mountain-500 Black, 40</t>
  </si>
  <si>
    <t>BK-M18B-40</t>
  </si>
  <si>
    <t>Mountain-500 Black, 42</t>
  </si>
  <si>
    <t>BK-M18B-42</t>
  </si>
  <si>
    <t>Mountain-500 Black, 44</t>
  </si>
  <si>
    <t>BK-M18B-44</t>
  </si>
  <si>
    <t>Mountain-500 Black, 48</t>
  </si>
  <si>
    <t>BK-M18B-48</t>
  </si>
  <si>
    <t>Mountain-500 Black, 52</t>
  </si>
  <si>
    <t>BK-M18B-52</t>
  </si>
  <si>
    <t>LL Bottom Bracket</t>
  </si>
  <si>
    <t>BB-7421</t>
  </si>
  <si>
    <t>ML Bottom Bracket</t>
  </si>
  <si>
    <t>BB-8107</t>
  </si>
  <si>
    <t>HL Bottom Bracket</t>
  </si>
  <si>
    <t>BB-9108</t>
  </si>
  <si>
    <t>Road-750 Black, 44</t>
  </si>
  <si>
    <t>BK-R19B-44</t>
  </si>
  <si>
    <t>Road-750 Black, 48</t>
  </si>
  <si>
    <t>BK-R19B-48</t>
  </si>
  <si>
    <t>Road-750 Black, 52</t>
  </si>
  <si>
    <t>BK-R19B-52</t>
  </si>
  <si>
    <t>ProductID</t>
  </si>
  <si>
    <t>LocationID</t>
  </si>
  <si>
    <t>Quantity</t>
  </si>
  <si>
    <t>ProductName</t>
  </si>
  <si>
    <t>ProductNumber</t>
  </si>
  <si>
    <t>LocationName</t>
  </si>
  <si>
    <t>OnHandQty</t>
  </si>
  <si>
    <t>key</t>
  </si>
  <si>
    <t>ExpectedQty</t>
  </si>
  <si>
    <t>VarianceQty</t>
  </si>
  <si>
    <t>AccuracyPct</t>
  </si>
  <si>
    <t>HighRiskFlag</t>
  </si>
  <si>
    <t>CountedQty</t>
  </si>
  <si>
    <t>Accuracy bounds</t>
  </si>
  <si>
    <t>High-risk count</t>
  </si>
  <si>
    <t>Variance sanity</t>
  </si>
  <si>
    <t>Row Labels</t>
  </si>
  <si>
    <t>Grand Total</t>
  </si>
  <si>
    <t>Average of AccuracyPct</t>
  </si>
  <si>
    <t>Avg Inventory Accuracy</t>
  </si>
  <si>
    <t>Y</t>
  </si>
  <si>
    <t>High-Risk SKU Count</t>
  </si>
  <si>
    <t>Inventory Accuracy (%)</t>
  </si>
  <si>
    <t>High-Risk SKU × Location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</si>
</sst>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</cellXfs>
  <cellStyles count="1">
    <cellStyle name="Normal" xfId="0" builtinId="0"/>
  </cellStyles>
  <dxfs count="18"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pivotCacheDefinition" Target="pivotCache/pivotCacheDefinition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5.xml"/><Relationship Id="rId25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4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Relationship Id="rId22" Type="http://schemas.openxmlformats.org/officeDocument/2006/relationships/styles" Target="styles.xml"/><Relationship Id="rId27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s Kan" refreshedDate="46027.611847800923" createdVersion="8" refreshedVersion="8" minRefreshableVersion="3" recordCount="1069" xr:uid="{EE626D90-80E9-47B0-8F23-478278EB98DF}">
  <cacheSource type="worksheet">
    <worksheetSource name="tbl_kpi"/>
  </cacheSource>
  <cacheFields count="8">
    <cacheField name="ProductID" numFmtId="0">
      <sharedItems containsSemiMixedTypes="0" containsString="0" containsNumber="1" containsInteger="1" minValue="1" maxValue="999"/>
    </cacheField>
    <cacheField name="LocationID" numFmtId="0">
      <sharedItems containsSemiMixedTypes="0" containsString="0" containsNumber="1" containsInteger="1" minValue="1" maxValue="60"/>
    </cacheField>
    <cacheField name="OnHandQty" numFmtId="0">
      <sharedItems containsSemiMixedTypes="0" containsString="0" containsNumber="1" containsInteger="1" minValue="0" maxValue="924"/>
    </cacheField>
    <cacheField name="CountedQty" numFmtId="0">
      <sharedItems containsSemiMixedTypes="0" containsString="0" containsNumber="1" containsInteger="1" minValue="0" maxValue="918"/>
    </cacheField>
    <cacheField name="ExpectedQty" numFmtId="0">
      <sharedItems containsSemiMixedTypes="0" containsString="0" containsNumber="1" containsInteger="1" minValue="0" maxValue="924"/>
    </cacheField>
    <cacheField name="VarianceQty" numFmtId="0">
      <sharedItems containsSemiMixedTypes="0" containsString="0" containsNumber="1" containsInteger="1" minValue="-19" maxValue="18"/>
    </cacheField>
    <cacheField name="AccuracyPct" numFmtId="0">
      <sharedItems containsSemiMixedTypes="0" containsString="0" containsNumber="1" minValue="0.96" maxValue="1"/>
    </cacheField>
    <cacheField name="HighRiskFlag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s Kan" refreshedDate="46027.655064814811" backgroundQuery="1" createdVersion="8" refreshedVersion="8" minRefreshableVersion="3" recordCount="0" supportSubquery="1" supportAdvancedDrill="1" xr:uid="{B28BE9BC-FCF7-4F8F-B7CA-9FD6EA1F310E}">
  <cacheSource type="external" connectionId="6"/>
  <cacheFields count="2">
    <cacheField name="[tbl_location].[LocationName].[LocationName]" caption="LocationName" numFmtId="0" hierarchy="13" level="1">
      <sharedItems count="14">
        <s v="Debur and Polish"/>
        <s v="Final Assembly"/>
        <s v="Finished Goods Storage"/>
        <s v="Frame Forming"/>
        <s v="Frame Welding"/>
        <s v="Metal Storage"/>
        <s v="Miscellaneous Storage"/>
        <s v="Paint"/>
        <s v="Paint Shop"/>
        <s v="Paint Storage"/>
        <s v="Sheet Metal Racks"/>
        <s v="Specialized Paint"/>
        <s v="Subassembly"/>
        <s v="Tool Crib"/>
      </sharedItems>
    </cacheField>
    <cacheField name="[Measures].[Average of AccuracyPct]" caption="Average of AccuracyPct" numFmtId="0" hierarchy="23" level="32767"/>
  </cacheFields>
  <cacheHierarchies count="31">
    <cacheHierarchy uniqueName="[tbl_inventory].[ProductID]" caption="ProductID" attribute="1" defaultMemberUniqueName="[tbl_inventory].[ProductID].[All]" allUniqueName="[tbl_inventory].[ProductID].[All]" dimensionUniqueName="[tbl_inventory]" displayFolder="" count="0" memberValueDatatype="20" unbalanced="0"/>
    <cacheHierarchy uniqueName="[tbl_inventory].[LocationID]" caption="LocationID" attribute="1" defaultMemberUniqueName="[tbl_inventory].[LocationID].[All]" allUniqueName="[tbl_inventory].[LocationID].[All]" dimensionUniqueName="[tbl_inventory]" displayFolder="" count="0" memberValueDatatype="130" unbalanced="0"/>
    <cacheHierarchy uniqueName="[tbl_inventory].[Quantity]" caption="Quantity" attribute="1" defaultMemberUniqueName="[tbl_inventory].[Quantity].[All]" allUniqueName="[tbl_inventory].[Quantity].[All]" dimensionUniqueName="[tbl_inventory]" displayFolder="" count="0" memberValueDatatype="20" unbalanced="0"/>
    <cacheHierarchy uniqueName="[tbl_kpi].[ProductID]" caption="ProductID" attribute="1" defaultMemberUniqueName="[tbl_kpi].[ProductID].[All]" allUniqueName="[tbl_kpi].[ProductID].[All]" dimensionUniqueName="[tbl_kpi]" displayFolder="" count="0" memberValueDatatype="20" unbalanced="0"/>
    <cacheHierarchy uniqueName="[tbl_kpi].[LocationID]" caption="LocationID" attribute="1" defaultMemberUniqueName="[tbl_kpi].[LocationID].[All]" allUniqueName="[tbl_kpi].[LocationID].[All]" dimensionUniqueName="[tbl_kpi]" displayFolder="" count="0" memberValueDatatype="20" unbalanced="0"/>
    <cacheHierarchy uniqueName="[tbl_kpi].[LocationName]" caption="LocationName" attribute="1" defaultMemberUniqueName="[tbl_kpi].[LocationName].[All]" allUniqueName="[tbl_kpi].[LocationName].[All]" dimensionUniqueName="[tbl_kpi]" displayFolder="" count="0" memberValueDatatype="130" unbalanced="0"/>
    <cacheHierarchy uniqueName="[tbl_kpi].[OnHandQty]" caption="OnHandQty" attribute="1" defaultMemberUniqueName="[tbl_kpi].[OnHandQty].[All]" allUniqueName="[tbl_kpi].[OnHandQty].[All]" dimensionUniqueName="[tbl_kpi]" displayFolder="" count="0" memberValueDatatype="20" unbalanced="0"/>
    <cacheHierarchy uniqueName="[tbl_kpi].[CountedQty]" caption="CountedQty" attribute="1" defaultMemberUniqueName="[tbl_kpi].[CountedQty].[All]" allUniqueName="[tbl_kpi].[CountedQty].[All]" dimensionUniqueName="[tbl_kpi]" displayFolder="" count="0" memberValueDatatype="20" unbalanced="0"/>
    <cacheHierarchy uniqueName="[tbl_kpi].[ExpectedQty]" caption="ExpectedQty" attribute="1" defaultMemberUniqueName="[tbl_kpi].[ExpectedQty].[All]" allUniqueName="[tbl_kpi].[ExpectedQty].[All]" dimensionUniqueName="[tbl_kpi]" displayFolder="" count="0" memberValueDatatype="20" unbalanced="0"/>
    <cacheHierarchy uniqueName="[tbl_kpi].[VarianceQty]" caption="VarianceQty" attribute="1" defaultMemberUniqueName="[tbl_kpi].[VarianceQty].[All]" allUniqueName="[tbl_kpi].[VarianceQty].[All]" dimensionUniqueName="[tbl_kpi]" displayFolder="" count="0" memberValueDatatype="20" unbalanced="0"/>
    <cacheHierarchy uniqueName="[tbl_kpi].[AccuracyPct]" caption="AccuracyPct" attribute="1" defaultMemberUniqueName="[tbl_kpi].[AccuracyPct].[All]" allUniqueName="[tbl_kpi].[AccuracyPct].[All]" dimensionUniqueName="[tbl_kpi]" displayFolder="" count="0" memberValueDatatype="5" unbalanced="0"/>
    <cacheHierarchy uniqueName="[tbl_kpi].[HighRiskFlag]" caption="HighRiskFlag" attribute="1" defaultMemberUniqueName="[tbl_kpi].[HighRiskFlag].[All]" allUniqueName="[tbl_kpi].[HighRiskFlag].[All]" dimensionUniqueName="[tbl_kpi]" displayFolder="" count="0" memberValueDatatype="130" unbalanced="0"/>
    <cacheHierarchy uniqueName="[tbl_location].[LocationID]" caption="LocationID" attribute="1" defaultMemberUniqueName="[tbl_location].[LocationID].[All]" allUniqueName="[tbl_location].[LocationID].[All]" dimensionUniqueName="[tbl_location]" displayFolder="" count="0" memberValueDatatype="20" unbalanced="0"/>
    <cacheHierarchy uniqueName="[tbl_location].[LocationName]" caption="LocationName" attribute="1" defaultMemberUniqueName="[tbl_location].[LocationName].[All]" allUniqueName="[tbl_location].[LocationName].[All]" dimensionUniqueName="[tbl_location]" displayFolder="" count="2" memberValueDatatype="130" unbalanced="0">
      <fieldsUsage count="2">
        <fieldUsage x="-1"/>
        <fieldUsage x="0"/>
      </fieldsUsage>
    </cacheHierarchy>
    <cacheHierarchy uniqueName="[tbl_product].[ProductID]" caption="ProductID" attribute="1" defaultMemberUniqueName="[tbl_product].[ProductID].[All]" allUniqueName="[tbl_product].[ProductID].[All]" dimensionUniqueName="[tbl_product]" displayFolder="" count="0" memberValueDatatype="20" unbalanced="0"/>
    <cacheHierarchy uniqueName="[tbl_product].[ProductName]" caption="ProductName" attribute="1" defaultMemberUniqueName="[tbl_product].[ProductName].[All]" allUniqueName="[tbl_product].[ProductName].[All]" dimensionUniqueName="[tbl_product]" displayFolder="" count="0" memberValueDatatype="130" unbalanced="0"/>
    <cacheHierarchy uniqueName="[tbl_product].[ProductNumber]" caption="ProductNumber" attribute="1" defaultMemberUniqueName="[tbl_product].[ProductNumber].[All]" allUniqueName="[tbl_product].[ProductNumber].[All]" dimensionUniqueName="[tbl_product]" displayFolder="" count="0" memberValueDatatype="130" unbalanced="0"/>
    <cacheHierarchy uniqueName="[Measures].[__XL_Count tbl_kpi]" caption="__XL_Count tbl_kpi" measure="1" displayFolder="" measureGroup="tbl_kpi" count="0" hidden="1"/>
    <cacheHierarchy uniqueName="[Measures].[__XL_Count tbl_location]" caption="__XL_Count tbl_location" measure="1" displayFolder="" measureGroup="tbl_location" count="0" hidden="1"/>
    <cacheHierarchy uniqueName="[Measures].[__XL_Count tbl_product]" caption="__XL_Count tbl_product" measure="1" displayFolder="" measureGroup="tbl_product" count="0" hidden="1"/>
    <cacheHierarchy uniqueName="[Measures].[__XL_Count tbl_inventory]" caption="__XL_Count tbl_inventory" measure="1" displayFolder="" measureGroup="tbl_inventory" count="0" hidden="1"/>
    <cacheHierarchy uniqueName="[Measures].[__No measures defined]" caption="__No measures defined" measure="1" displayFolder="" count="0" hidden="1"/>
    <cacheHierarchy uniqueName="[Measures].[Sum of AccuracyPct]" caption="Sum of AccuracyPct" measure="1" displayFolder="" measureGroup="tbl_kp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ccuracyPct]" caption="Average of AccuracyPct" measure="1" displayFolder="" measureGroup="tbl_kp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ghRiskFlag]" caption="Count of HighRiskFlag" measure="1" displayFolder="" measureGroup="tbl_kp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ID]" caption="Sum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ID]" caption="Count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ID 2]" caption="Sum of ProductID 2" measure="1" displayFolder="" measureGroup="tbl_kp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ID 2]" caption="Count of ProductID 2" measure="1" displayFolder="" measureGroup="tbl_kp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ductID 3]" caption="Sum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ID 3]" caption="Count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tbl_inventory" uniqueName="[tbl_inventory]" caption="tbl_inventory"/>
    <dimension name="tbl_kpi" uniqueName="[tbl_kpi]" caption="tbl_kpi"/>
    <dimension name="tbl_location" uniqueName="[tbl_location]" caption="tbl_location"/>
    <dimension name="tbl_product" uniqueName="[tbl_product]" caption="tbl_product"/>
  </dimensions>
  <measureGroups count="4">
    <measureGroup name="tbl_inventory" caption="tbl_inventory"/>
    <measureGroup name="tbl_kpi" caption="tbl_kpi"/>
    <measureGroup name="tbl_location" caption="tbl_location"/>
    <measureGroup name="tbl_product" caption="tbl_product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s Kan" refreshedDate="46027.65506597222" backgroundQuery="1" createdVersion="8" refreshedVersion="8" minRefreshableVersion="3" recordCount="0" supportSubquery="1" supportAdvancedDrill="1" xr:uid="{12843EDB-FE29-450B-A07C-EEB48EB2B172}">
  <cacheSource type="external" connectionId="6"/>
  <cacheFields count="3">
    <cacheField name="[tbl_product].[ProductName].[ProductName]" caption="ProductName" numFmtId="0" hierarchy="15" level="1">
      <sharedItems count="504">
        <s v="Adjustable Race"/>
        <s v="All-Purpose Bike Stand"/>
        <s v="AWC Logo Cap"/>
        <s v="BB Ball Bearing"/>
        <s v="Bearing Ball"/>
        <s v="Bike Wash - Dissolver"/>
        <s v="Blade"/>
        <s v="Cable Lock"/>
        <s v="Chain"/>
        <s v="Chain Stays"/>
        <s v="Chainring"/>
        <s v="Chainring Bolts"/>
        <s v="Chainring Nut"/>
        <s v="Classic Vest, L"/>
        <s v="Classic Vest, M"/>
        <s v="Classic Vest, S"/>
        <s v="Cone-Shaped Race"/>
        <s v="Crown Race"/>
        <s v="Cup-Shaped Race"/>
        <s v="Decal 1"/>
        <s v="Decal 2"/>
        <s v="Down Tube"/>
        <s v="External Lock Washer 1"/>
        <s v="External Lock Washer 2"/>
        <s v="External Lock Washer 3"/>
        <s v="External Lock Washer 4"/>
        <s v="External Lock Washer 5"/>
        <s v="External Lock Washer 6"/>
        <s v="External Lock Washer 7"/>
        <s v="External Lock Washer 8"/>
        <s v="External Lock Washer 9"/>
        <s v="Fender Set - Mountain"/>
        <s v="Flat Washer 1"/>
        <s v="Flat Washer 2"/>
        <s v="Flat Washer 3"/>
        <s v="Flat Washer 4"/>
        <s v="Flat Washer 5"/>
        <s v="Flat Washer 6"/>
        <s v="Flat Washer 7"/>
        <s v="Flat Washer 8"/>
        <s v="Flat Washer 9"/>
        <s v="Fork Crown"/>
        <s v="Fork End"/>
        <s v="Freewheel"/>
        <s v="Front Brakes"/>
        <s v="Front Derailleur"/>
        <s v="Front Derailleur Cage"/>
        <s v="Front Derailleur Linkage"/>
        <s v="Full-Finger Gloves, L"/>
        <s v="Full-Finger Gloves, M"/>
        <s v="Full-Finger Gloves, S"/>
        <s v="Guide Pulley"/>
        <s v="Half-Finger Gloves, L"/>
        <s v="Half-Finger Gloves, M"/>
        <s v="Half-Finger Gloves, S"/>
        <s v="Handlebar Tube"/>
        <s v="Head Tube"/>
        <s v="Headlights - Dual-Beam"/>
        <s v="Headlights - Weatherproof"/>
        <s v="Headset Ball Bearings"/>
        <s v="Hex Nut 1"/>
        <s v="Hex Nut 10"/>
        <s v="Hex Nut 11"/>
        <s v="Hex Nut 12"/>
        <s v="Hex Nut 13"/>
        <s v="Hex Nut 14"/>
        <s v="Hex Nut 15"/>
        <s v="Hex Nut 16"/>
        <s v="Hex Nut 17"/>
        <s v="Hex Nut 18"/>
        <s v="Hex Nut 19"/>
        <s v="Hex Nut 2"/>
        <s v="Hex Nut 20"/>
        <s v="Hex Nut 21"/>
        <s v="Hex Nut 22"/>
        <s v="Hex Nut 23"/>
        <s v="Hex Nut 3"/>
        <s v="Hex Nut 4"/>
        <s v="Hex Nut 5"/>
        <s v="Hex Nut 6"/>
        <s v="Hex Nut 7"/>
        <s v="Hex Nut 8"/>
        <s v="Hex Nut 9"/>
        <s v="Hitch Rack - 4-Bike"/>
        <s v="HL Bottom Bracket"/>
        <s v="HL Crankarm"/>
        <s v="HL Crankset"/>
        <s v="HL Fork"/>
        <s v="HL Grip Tape"/>
        <s v="HL Headset"/>
        <s v="HL Hub"/>
        <s v="HL Mountain Frame - Black, 38"/>
        <s v="HL Mountain Frame - Black, 42"/>
        <s v="HL Mountain Frame - Black, 44"/>
        <s v="HL Mountain Frame - Black, 46"/>
        <s v="HL Mountain Frame - Black, 48"/>
        <s v="HL Mountain Frame - Silver, 38"/>
        <s v="HL Mountain Frame - Silver, 42"/>
        <s v="HL Mountain Frame - Silver, 44"/>
        <s v="HL Mountain Frame - Silver, 46"/>
        <s v="HL Mountain Frame - Silver, 48"/>
        <s v="HL Mountain Front Wheel"/>
        <s v="HL Mountain Handlebars"/>
        <s v="HL Mountain Pedal"/>
        <s v="HL Mountain Rear Wheel"/>
        <s v="HL Mountain Rim"/>
        <s v="HL Mountain Seat Assembly"/>
        <s v="HL Mountain Seat/Saddle"/>
        <s v="HL Mountain Tire"/>
        <s v="HL Nipple"/>
        <s v="HL Road Frame - Black, 44"/>
        <s v="HL Road Frame - Black, 48"/>
        <s v="HL Road Frame - Black, 52"/>
        <s v="HL Road Frame - Black, 58"/>
        <s v="HL Road Frame - Black, 62"/>
        <s v="HL Road Frame - Red, 44"/>
        <s v="HL Road Frame - Red, 48"/>
        <s v="HL Road Frame - Red, 52"/>
        <s v="HL Road Frame - Red, 56"/>
        <s v="HL Road Frame - Red, 58"/>
        <s v="HL Road Frame - Red, 62"/>
        <s v="HL Road Front Wheel"/>
        <s v="HL Road Handlebars"/>
        <s v="HL Road Pedal"/>
        <s v="HL Road Rear Wheel"/>
        <s v="HL Road Rim"/>
        <s v="HL Road Seat Assembly"/>
        <s v="HL Road Seat/Saddle"/>
        <s v="HL Road Tire"/>
        <s v="HL Shell"/>
        <s v="HL Spindle/Axle"/>
        <s v="HL Touring Frame - Blue, 46"/>
        <s v="HL Touring Frame - Blue, 50"/>
        <s v="HL Touring Frame - Blue, 54"/>
        <s v="HL Touring Frame - Blue, 60"/>
        <s v="HL Touring Frame - Yellow, 46"/>
        <s v="HL Touring Frame - Yellow, 50"/>
        <s v="HL Touring Frame - Yellow, 54"/>
        <s v="HL Touring Frame - Yellow, 60"/>
        <s v="HL Touring Handlebars"/>
        <s v="HL Touring Seat Assembly"/>
        <s v="HL Touring Seat/Saddle"/>
        <s v="Hydration Pack - 70 oz."/>
        <s v="Internal Lock Washer 1"/>
        <s v="Internal Lock Washer 10"/>
        <s v="Internal Lock Washer 2"/>
        <s v="Internal Lock Washer 3"/>
        <s v="Internal Lock Washer 4"/>
        <s v="Internal Lock Washer 5"/>
        <s v="Internal Lock Washer 6"/>
        <s v="Internal Lock Washer 7"/>
        <s v="Internal Lock Washer 8"/>
        <s v="Internal Lock Washer 9"/>
        <s v="Keyed Washer"/>
        <s v="LL Bottom Bracket"/>
        <s v="LL Crankarm"/>
        <s v="LL Crankset"/>
        <s v="LL Fork"/>
        <s v="LL Grip Tape"/>
        <s v="LL Headset"/>
        <s v="LL Hub"/>
        <s v="LL Mountain Frame - Black, 40"/>
        <s v="LL Mountain Frame - Black, 42"/>
        <s v="LL Mountain Frame - Black, 44"/>
        <s v="LL Mountain Frame - Black, 48"/>
        <s v="LL Mountain Frame - Black, 52"/>
        <s v="LL Mountain Frame - Silver, 40"/>
        <s v="LL Mountain Frame - Silver, 42"/>
        <s v="LL Mountain Frame - Silver, 44"/>
        <s v="LL Mountain Frame - Silver, 48"/>
        <s v="LL Mountain Frame - Silver, 52"/>
        <s v="LL Mountain Front Wheel"/>
        <s v="LL Mountain Handlebars"/>
        <s v="LL Mountain Pedal"/>
        <s v="LL Mountain Rear Wheel"/>
        <s v="LL Mountain Rim"/>
        <s v="LL Mountain Seat Assembly"/>
        <s v="LL Mountain Seat/Saddle"/>
        <s v="LL Mountain Tire"/>
        <s v="LL Nipple"/>
        <s v="LL Road Frame - Black, 44"/>
        <s v="LL Road Frame - Black, 48"/>
        <s v="LL Road Frame - Black, 52"/>
        <s v="LL Road Frame - Black, 58"/>
        <s v="LL Road Frame - Black, 60"/>
        <s v="LL Road Frame - Black, 62"/>
        <s v="LL Road Frame - Red, 44"/>
        <s v="LL Road Frame - Red, 48"/>
        <s v="LL Road Frame - Red, 52"/>
        <s v="LL Road Frame - Red, 58"/>
        <s v="LL Road Frame - Red, 60"/>
        <s v="LL Road Frame - Red, 62"/>
        <s v="LL Road Front Wheel"/>
        <s v="LL Road Handlebars"/>
        <s v="LL Road Pedal"/>
        <s v="LL Road Rear Wheel"/>
        <s v="LL Road Rim"/>
        <s v="LL Road Seat Assembly"/>
        <s v="LL Road Seat/Saddle"/>
        <s v="LL Road Tire"/>
        <s v="LL Shell"/>
        <s v="LL Spindle/Axle"/>
        <s v="LL Touring Frame - Blue, 44"/>
        <s v="LL Touring Frame - Blue, 50"/>
        <s v="LL Touring Frame - Blue, 54"/>
        <s v="LL Touring Frame - Blue, 58"/>
        <s v="LL Touring Frame - Blue, 62"/>
        <s v="LL Touring Frame - Yellow, 44"/>
        <s v="LL Touring Frame - Yellow, 50"/>
        <s v="LL Touring Frame - Yellow, 54"/>
        <s v="LL Touring Frame - Yellow, 58"/>
        <s v="LL Touring Frame - Yellow, 62"/>
        <s v="LL Touring Handlebars"/>
        <s v="LL Touring Seat Assembly"/>
        <s v="LL Touring Seat/Saddle"/>
        <s v="Lock Nut 1"/>
        <s v="Lock Nut 10"/>
        <s v="Lock Nut 11"/>
        <s v="Lock Nut 12"/>
        <s v="Lock Nut 13"/>
        <s v="Lock Nut 14"/>
        <s v="Lock Nut 15"/>
        <s v="Lock Nut 16"/>
        <s v="Lock Nut 17"/>
        <s v="Lock Nut 18"/>
        <s v="Lock Nut 19"/>
        <s v="Lock Nut 2"/>
        <s v="Lock Nut 20"/>
        <s v="Lock Nut 21"/>
        <s v="Lock Nut 22"/>
        <s v="Lock Nut 23"/>
        <s v="Lock Nut 3"/>
        <s v="Lock Nut 4"/>
        <s v="Lock Nut 5"/>
        <s v="Lock Nut 6"/>
        <s v="Lock Nut 7"/>
        <s v="Lock Nut 8"/>
        <s v="Lock Nut 9"/>
        <s v="Lock Ring"/>
        <s v="Lock Washer 1"/>
        <s v="Lock Washer 10"/>
        <s v="Lock Washer 11"/>
        <s v="Lock Washer 12"/>
        <s v="Lock Washer 13"/>
        <s v="Lock Washer 2"/>
        <s v="Lock Washer 3"/>
        <s v="Lock Washer 4"/>
        <s v="Lock Washer 5"/>
        <s v="Lock Washer 6"/>
        <s v="Lock Washer 7"/>
        <s v="Lock Washer 8"/>
        <s v="Lock Washer 9"/>
        <s v="Long-Sleeve Logo Jersey, L"/>
        <s v="Long-Sleeve Logo Jersey, M"/>
        <s v="Long-Sleeve Logo Jersey, S"/>
        <s v="Long-Sleeve Logo Jersey, XL"/>
        <s v="Lower Head Race"/>
        <s v="Men's Bib-Shorts, L"/>
        <s v="Men's Bib-Shorts, M"/>
        <s v="Men's Bib-Shorts, S"/>
        <s v="Men's Sports Shorts, L"/>
        <s v="Men's Sports Shorts, M"/>
        <s v="Men's Sports Shorts, S"/>
        <s v="Men's Sports Shorts, XL"/>
        <s v="Metal Angle"/>
        <s v="Metal Bar 1"/>
        <s v="Metal Bar 2"/>
        <s v="Metal Plate 1"/>
        <s v="Metal Plate 2"/>
        <s v="Metal Plate 3"/>
        <s v="Metal Sheet 1"/>
        <s v="Metal Sheet 2"/>
        <s v="Metal Sheet 3"/>
        <s v="Metal Sheet 4"/>
        <s v="Metal Sheet 5"/>
        <s v="Metal Sheet 6"/>
        <s v="Metal Sheet 7"/>
        <s v="Metal Tread Plate"/>
        <s v="Minipump"/>
        <s v="ML Bottom Bracket"/>
        <s v="ML Crankarm"/>
        <s v="ML Crankset"/>
        <s v="ML Fork"/>
        <s v="ML Grip Tape"/>
        <s v="ML Headset"/>
        <s v="ML Mountain Frame - Black, 38"/>
        <s v="ML Mountain Frame - Black, 40"/>
        <s v="ML Mountain Frame - Black, 44"/>
        <s v="ML Mountain Frame - Black, 48"/>
        <s v="ML Mountain Frame-W - Silver, 38"/>
        <s v="ML Mountain Frame-W - Silver, 40"/>
        <s v="ML Mountain Frame-W - Silver, 42"/>
        <s v="ML Mountain Frame-W - Silver, 46"/>
        <s v="ML Mountain Front Wheel"/>
        <s v="ML Mountain Handlebars"/>
        <s v="ML Mountain Pedal"/>
        <s v="ML Mountain Rear Wheel"/>
        <s v="ML Mountain Rim"/>
        <s v="ML Mountain Seat Assembly"/>
        <s v="ML Mountain Seat/Saddle"/>
        <s v="ML Mountain Tire"/>
        <s v="ML Road Frame - Red, 44"/>
        <s v="ML Road Frame - Red, 48"/>
        <s v="ML Road Frame - Red, 52"/>
        <s v="ML Road Frame - Red, 58"/>
        <s v="ML Road Frame - Red, 60"/>
        <s v="ML Road Frame-W - Yellow, 38"/>
        <s v="ML Road Frame-W - Yellow, 40"/>
        <s v="ML Road Frame-W - Yellow, 42"/>
        <s v="ML Road Frame-W - Yellow, 44"/>
        <s v="ML Road Frame-W - Yellow, 48"/>
        <s v="ML Road Front Wheel"/>
        <s v="ML Road Handlebars"/>
        <s v="ML Road Pedal"/>
        <s v="ML Road Rear Wheel"/>
        <s v="ML Road Rim"/>
        <s v="ML Road Seat Assembly"/>
        <s v="ML Road Seat/Saddle"/>
        <s v="ML Road Tire"/>
        <s v="ML Touring Seat Assembly"/>
        <s v="ML Touring Seat/Saddle"/>
        <s v="Mountain Bike Socks, L"/>
        <s v="Mountain Bike Socks, M"/>
        <s v="Mountain Bottle Cage"/>
        <s v="Mountain End Caps"/>
        <s v="Mountain Pump"/>
        <s v="Mountain Tire Tube"/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Mountain-300 Black, 38"/>
        <s v="Mountain-300 Black, 40"/>
        <s v="Mountain-300 Black, 44"/>
        <s v="Mountain-300 Black, 48"/>
        <s v="Mountain-400-W Silver, 38"/>
        <s v="Mountain-400-W Silver, 40"/>
        <s v="Mountain-400-W Silver, 42"/>
        <s v="Mountain-400-W Silver, 46"/>
        <s v="Mountain-500 Black, 40"/>
        <s v="Mountain-500 Black, 42"/>
        <s v="Mountain-500 Black, 44"/>
        <s v="Mountain-500 Black, 48"/>
        <s v="Mountain-500 Black, 52"/>
        <s v="Mountain-500 Silver, 40"/>
        <s v="Mountain-500 Silver, 42"/>
        <s v="Mountain-500 Silver, 44"/>
        <s v="Mountain-500 Silver, 48"/>
        <s v="Mountain-500 Silver, 52"/>
        <s v="Paint - Black"/>
        <s v="Paint - Blue"/>
        <s v="Paint - Red"/>
        <s v="Paint - Silver"/>
        <s v="Paint - Yellow"/>
        <s v="Patch Kit/8 Patches"/>
        <s v="Pinch Bolt"/>
        <s v="Racing Socks, L"/>
        <s v="Racing Socks, M"/>
        <s v="Rear Brakes"/>
        <s v="Rear Derailleur"/>
        <s v="Rear Derailleur Cage"/>
        <s v="Reflector"/>
        <s v="Road Bottle Cage"/>
        <s v="Road End Caps"/>
        <s v="Road Tire Tube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350-W Yellow, 40"/>
        <s v="Road-350-W Yellow, 42"/>
        <s v="Road-350-W Yellow, 44"/>
        <s v="Road-350-W Yellow, 48"/>
        <s v="Road-450 Red, 44"/>
        <s v="Road-450 Red, 48"/>
        <s v="Road-450 Red, 52"/>
        <s v="Road-450 Red, 58"/>
        <s v="Road-450 Red, 60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  <s v="Road-750 Black, 44"/>
        <s v="Road-750 Black, 48"/>
        <s v="Road-750 Black, 52"/>
        <s v="Road-750 Black, 58"/>
        <s v="Seat Lug"/>
        <s v="Seat Post"/>
        <s v="Seat Stays"/>
        <s v="Seat Tube"/>
        <s v="Short-Sleeve Classic Jersey, L"/>
        <s v="Short-Sleeve Classic Jersey, M"/>
        <s v="Short-Sleeve Classic Jersey, S"/>
        <s v="Short-Sleeve Classic Jersey, XL"/>
        <s v="Spokes"/>
        <s v="Sport-100 Helmet, Black"/>
        <s v="Sport-100 Helmet, Blue"/>
        <s v="Sport-100 Helmet, Red"/>
        <s v="Steerer"/>
        <s v="Stem"/>
        <s v="Taillights - Battery-Powered"/>
        <s v="Tension Pulley"/>
        <s v="Thin-Jam Hex Nut 1"/>
        <s v="Thin-Jam Hex Nut 10"/>
        <s v="Thin-Jam Hex Nut 11"/>
        <s v="Thin-Jam Hex Nut 12"/>
        <s v="Thin-Jam Hex Nut 13"/>
        <s v="Thin-Jam Hex Nut 14"/>
        <s v="Thin-Jam Hex Nut 15"/>
        <s v="Thin-Jam Hex Nut 16"/>
        <s v="Thin-Jam Hex Nut 2"/>
        <s v="Thin-Jam Hex Nut 3"/>
        <s v="Thin-Jam Hex Nut 4"/>
        <s v="Thin-Jam Hex Nut 5"/>
        <s v="Thin-Jam Hex Nut 6"/>
        <s v="Thin-Jam Hex Nut 7"/>
        <s v="Thin-Jam Hex Nut 8"/>
        <s v="Thin-Jam Hex Nut 9"/>
        <s v="Thin-Jam Lock Nut 1"/>
        <s v="Thin-Jam Lock Nut 10"/>
        <s v="Thin-Jam Lock Nut 11"/>
        <s v="Thin-Jam Lock Nut 12"/>
        <s v="Thin-Jam Lock Nut 13"/>
        <s v="Thin-Jam Lock Nut 14"/>
        <s v="Thin-Jam Lock Nut 15"/>
        <s v="Thin-Jam Lock Nut 16"/>
        <s v="Thin-Jam Lock Nut 2"/>
        <s v="Thin-Jam Lock Nut 3"/>
        <s v="Thin-Jam Lock Nut 4"/>
        <s v="Thin-Jam Lock Nut 5"/>
        <s v="Thin-Jam Lock Nut 6"/>
        <s v="Thin-Jam Lock Nut 7"/>
        <s v="Thin-Jam Lock Nut 8"/>
        <s v="Thin-Jam Lock Nut 9"/>
        <s v="Top Tube"/>
        <s v="Touring End Caps"/>
        <s v="Touring Front Wheel"/>
        <s v="Touring Pedal"/>
        <s v="Touring Rear Wheel"/>
        <s v="Touring Rim"/>
        <s v="Touring Tire"/>
        <s v="Touring Tire Tube"/>
        <s v="Touring-1000 Blue, 46"/>
        <s v="Touring-1000 Blue, 50"/>
        <s v="Touring-1000 Blue, 54"/>
        <s v="Touring-1000 Blue, 60"/>
        <s v="Touring-1000 Yellow, 46"/>
        <s v="Touring-1000 Yellow, 50"/>
        <s v="Touring-1000 Yellow, 54"/>
        <s v="Touring-1000 Yellow, 60"/>
        <s v="Touring-2000 Blue, 46"/>
        <s v="Touring-2000 Blue, 50"/>
        <s v="Touring-2000 Blue, 54"/>
        <s v="Touring-2000 Blue, 60"/>
        <s v="Touring-3000 Blue, 44"/>
        <s v="Touring-3000 Blue, 5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Touring-Panniers, Large"/>
        <s v="Water Bottle - 30 oz."/>
        <s v="Women's Mountain Shorts, L"/>
        <s v="Women's Mountain Shorts, M"/>
        <s v="Women's Mountain Shorts, S"/>
        <s v="Women's Tights, L"/>
        <s v="Women's Tights, M"/>
        <s v="Women's Tights, S"/>
      </sharedItems>
    </cacheField>
    <cacheField name="[tbl_kpi].[HighRiskFlag].[HighRiskFlag]" caption="HighRiskFlag" numFmtId="0" hierarchy="11" level="1">
      <sharedItems containsSemiMixedTypes="0" containsNonDate="0" containsString="0"/>
    </cacheField>
    <cacheField name="[Measures].[Average of AccuracyPct]" caption="Average of AccuracyPct" numFmtId="0" hierarchy="23" level="32767"/>
  </cacheFields>
  <cacheHierarchies count="31">
    <cacheHierarchy uniqueName="[tbl_inventory].[ProductID]" caption="ProductID" attribute="1" defaultMemberUniqueName="[tbl_inventory].[ProductID].[All]" allUniqueName="[tbl_inventory].[ProductID].[All]" dimensionUniqueName="[tbl_inventory]" displayFolder="" count="0" memberValueDatatype="20" unbalanced="0"/>
    <cacheHierarchy uniqueName="[tbl_inventory].[LocationID]" caption="LocationID" attribute="1" defaultMemberUniqueName="[tbl_inventory].[LocationID].[All]" allUniqueName="[tbl_inventory].[LocationID].[All]" dimensionUniqueName="[tbl_inventory]" displayFolder="" count="0" memberValueDatatype="130" unbalanced="0"/>
    <cacheHierarchy uniqueName="[tbl_inventory].[Quantity]" caption="Quantity" attribute="1" defaultMemberUniqueName="[tbl_inventory].[Quantity].[All]" allUniqueName="[tbl_inventory].[Quantity].[All]" dimensionUniqueName="[tbl_inventory]" displayFolder="" count="0" memberValueDatatype="20" unbalanced="0"/>
    <cacheHierarchy uniqueName="[tbl_kpi].[ProductID]" caption="ProductID" attribute="1" defaultMemberUniqueName="[tbl_kpi].[ProductID].[All]" allUniqueName="[tbl_kpi].[ProductID].[All]" dimensionUniqueName="[tbl_kpi]" displayFolder="" count="0" memberValueDatatype="20" unbalanced="0"/>
    <cacheHierarchy uniqueName="[tbl_kpi].[LocationID]" caption="LocationID" attribute="1" defaultMemberUniqueName="[tbl_kpi].[LocationID].[All]" allUniqueName="[tbl_kpi].[LocationID].[All]" dimensionUniqueName="[tbl_kpi]" displayFolder="" count="0" memberValueDatatype="20" unbalanced="0"/>
    <cacheHierarchy uniqueName="[tbl_kpi].[LocationName]" caption="LocationName" attribute="1" defaultMemberUniqueName="[tbl_kpi].[LocationName].[All]" allUniqueName="[tbl_kpi].[LocationName].[All]" dimensionUniqueName="[tbl_kpi]" displayFolder="" count="0" memberValueDatatype="130" unbalanced="0"/>
    <cacheHierarchy uniqueName="[tbl_kpi].[OnHandQty]" caption="OnHandQty" attribute="1" defaultMemberUniqueName="[tbl_kpi].[OnHandQty].[All]" allUniqueName="[tbl_kpi].[OnHandQty].[All]" dimensionUniqueName="[tbl_kpi]" displayFolder="" count="0" memberValueDatatype="20" unbalanced="0"/>
    <cacheHierarchy uniqueName="[tbl_kpi].[CountedQty]" caption="CountedQty" attribute="1" defaultMemberUniqueName="[tbl_kpi].[CountedQty].[All]" allUniqueName="[tbl_kpi].[CountedQty].[All]" dimensionUniqueName="[tbl_kpi]" displayFolder="" count="0" memberValueDatatype="20" unbalanced="0"/>
    <cacheHierarchy uniqueName="[tbl_kpi].[ExpectedQty]" caption="ExpectedQty" attribute="1" defaultMemberUniqueName="[tbl_kpi].[ExpectedQty].[All]" allUniqueName="[tbl_kpi].[ExpectedQty].[All]" dimensionUniqueName="[tbl_kpi]" displayFolder="" count="0" memberValueDatatype="20" unbalanced="0"/>
    <cacheHierarchy uniqueName="[tbl_kpi].[VarianceQty]" caption="VarianceQty" attribute="1" defaultMemberUniqueName="[tbl_kpi].[VarianceQty].[All]" allUniqueName="[tbl_kpi].[VarianceQty].[All]" dimensionUniqueName="[tbl_kpi]" displayFolder="" count="0" memberValueDatatype="20" unbalanced="0"/>
    <cacheHierarchy uniqueName="[tbl_kpi].[AccuracyPct]" caption="AccuracyPct" attribute="1" defaultMemberUniqueName="[tbl_kpi].[AccuracyPct].[All]" allUniqueName="[tbl_kpi].[AccuracyPct].[All]" dimensionUniqueName="[tbl_kpi]" displayFolder="" count="0" memberValueDatatype="5" unbalanced="0"/>
    <cacheHierarchy uniqueName="[tbl_kpi].[HighRiskFlag]" caption="HighRiskFlag" attribute="1" defaultMemberUniqueName="[tbl_kpi].[HighRiskFlag].[All]" allUniqueName="[tbl_kpi].[HighRiskFlag].[All]" dimensionUniqueName="[tbl_kpi]" displayFolder="" count="2" memberValueDatatype="130" unbalanced="0">
      <fieldsUsage count="2">
        <fieldUsage x="-1"/>
        <fieldUsage x="1"/>
      </fieldsUsage>
    </cacheHierarchy>
    <cacheHierarchy uniqueName="[tbl_location].[LocationID]" caption="LocationID" attribute="1" defaultMemberUniqueName="[tbl_location].[LocationID].[All]" allUniqueName="[tbl_location].[LocationID].[All]" dimensionUniqueName="[tbl_location]" displayFolder="" count="0" memberValueDatatype="20" unbalanced="0"/>
    <cacheHierarchy uniqueName="[tbl_location].[LocationName]" caption="LocationName" attribute="1" defaultMemberUniqueName="[tbl_location].[LocationName].[All]" allUniqueName="[tbl_location].[LocationName].[All]" dimensionUniqueName="[tbl_location]" displayFolder="" count="0" memberValueDatatype="130" unbalanced="0"/>
    <cacheHierarchy uniqueName="[tbl_product].[ProductID]" caption="ProductID" attribute="1" defaultMemberUniqueName="[tbl_product].[ProductID].[All]" allUniqueName="[tbl_product].[ProductID].[All]" dimensionUniqueName="[tbl_product]" displayFolder="" count="0" memberValueDatatype="20" unbalanced="0"/>
    <cacheHierarchy uniqueName="[tbl_product].[ProductName]" caption="ProductName" attribute="1" defaultMemberUniqueName="[tbl_product].[ProductName].[All]" allUniqueName="[tbl_product].[ProductName].[All]" dimensionUniqueName="[tbl_product]" displayFolder="" count="2" memberValueDatatype="130" unbalanced="0">
      <fieldsUsage count="2">
        <fieldUsage x="-1"/>
        <fieldUsage x="0"/>
      </fieldsUsage>
    </cacheHierarchy>
    <cacheHierarchy uniqueName="[tbl_product].[ProductNumber]" caption="ProductNumber" attribute="1" defaultMemberUniqueName="[tbl_product].[ProductNumber].[All]" allUniqueName="[tbl_product].[ProductNumber].[All]" dimensionUniqueName="[tbl_product]" displayFolder="" count="0" memberValueDatatype="130" unbalanced="0"/>
    <cacheHierarchy uniqueName="[Measures].[__XL_Count tbl_kpi]" caption="__XL_Count tbl_kpi" measure="1" displayFolder="" measureGroup="tbl_kpi" count="0" hidden="1"/>
    <cacheHierarchy uniqueName="[Measures].[__XL_Count tbl_location]" caption="__XL_Count tbl_location" measure="1" displayFolder="" measureGroup="tbl_location" count="0" hidden="1"/>
    <cacheHierarchy uniqueName="[Measures].[__XL_Count tbl_product]" caption="__XL_Count tbl_product" measure="1" displayFolder="" measureGroup="tbl_product" count="0" hidden="1"/>
    <cacheHierarchy uniqueName="[Measures].[__XL_Count tbl_inventory]" caption="__XL_Count tbl_inventory" measure="1" displayFolder="" measureGroup="tbl_inventory" count="0" hidden="1"/>
    <cacheHierarchy uniqueName="[Measures].[__No measures defined]" caption="__No measures defined" measure="1" displayFolder="" count="0" hidden="1"/>
    <cacheHierarchy uniqueName="[Measures].[Sum of AccuracyPct]" caption="Sum of AccuracyPct" measure="1" displayFolder="" measureGroup="tbl_kp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ccuracyPct]" caption="Average of AccuracyPct" measure="1" displayFolder="" measureGroup="tbl_kp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ghRiskFlag]" caption="Count of HighRiskFlag" measure="1" displayFolder="" measureGroup="tbl_kp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ID]" caption="Sum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ID]" caption="Count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ID 2]" caption="Sum of ProductID 2" measure="1" displayFolder="" measureGroup="tbl_kp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ID 2]" caption="Count of ProductID 2" measure="1" displayFolder="" measureGroup="tbl_kp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ductID 3]" caption="Sum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ID 3]" caption="Count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tbl_inventory" uniqueName="[tbl_inventory]" caption="tbl_inventory"/>
    <dimension name="tbl_kpi" uniqueName="[tbl_kpi]" caption="tbl_kpi"/>
    <dimension name="tbl_location" uniqueName="[tbl_location]" caption="tbl_location"/>
    <dimension name="tbl_product" uniqueName="[tbl_product]" caption="tbl_product"/>
  </dimensions>
  <measureGroups count="4">
    <measureGroup name="tbl_inventory" caption="tbl_inventory"/>
    <measureGroup name="tbl_kpi" caption="tbl_kpi"/>
    <measureGroup name="tbl_location" caption="tbl_location"/>
    <measureGroup name="tbl_product" caption="tbl_product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s Kan" refreshedDate="46027.655110763888" backgroundQuery="1" createdVersion="8" refreshedVersion="8" minRefreshableVersion="3" recordCount="0" supportSubquery="1" supportAdvancedDrill="1" xr:uid="{7B89CF5F-1E29-4F24-AFA1-F2EDD70E69CC}">
  <cacheSource type="external" connectionId="6"/>
  <cacheFields count="3">
    <cacheField name="[tbl_kpi].[HighRiskFlag].[HighRiskFlag]" caption="HighRiskFlag" numFmtId="0" hierarchy="11" level="1">
      <sharedItems containsSemiMixedTypes="0" containsNonDate="0" containsString="0"/>
    </cacheField>
    <cacheField name="[Measures].[Count of ProductID 2]" caption="Count of ProductID 2" numFmtId="0" hierarchy="28" level="32767"/>
    <cacheField name="[tbl_kpi].[LocationName].[LocationName]" caption="LocationName" numFmtId="0" hierarchy="5" level="1">
      <sharedItems count="14">
        <s v="Debur and Polish"/>
        <s v="Final Assembly"/>
        <s v="Finished Goods Storage"/>
        <s v="Frame Forming"/>
        <s v="Frame Welding"/>
        <s v="Metal Storage"/>
        <s v="Miscellaneous Storage"/>
        <s v="Paint"/>
        <s v="Paint Shop"/>
        <s v="Paint Storage"/>
        <s v="Sheet Metal Racks"/>
        <s v="Specialized Paint"/>
        <s v="Subassembly"/>
        <s v="Tool Crib"/>
      </sharedItems>
    </cacheField>
  </cacheFields>
  <cacheHierarchies count="31">
    <cacheHierarchy uniqueName="[tbl_inventory].[ProductID]" caption="ProductID" attribute="1" defaultMemberUniqueName="[tbl_inventory].[ProductID].[All]" allUniqueName="[tbl_inventory].[ProductID].[All]" dimensionUniqueName="[tbl_inventory]" displayFolder="" count="0" memberValueDatatype="20" unbalanced="0"/>
    <cacheHierarchy uniqueName="[tbl_inventory].[LocationID]" caption="LocationID" attribute="1" defaultMemberUniqueName="[tbl_inventory].[LocationID].[All]" allUniqueName="[tbl_inventory].[LocationID].[All]" dimensionUniqueName="[tbl_inventory]" displayFolder="" count="0" memberValueDatatype="130" unbalanced="0"/>
    <cacheHierarchy uniqueName="[tbl_inventory].[Quantity]" caption="Quantity" attribute="1" defaultMemberUniqueName="[tbl_inventory].[Quantity].[All]" allUniqueName="[tbl_inventory].[Quantity].[All]" dimensionUniqueName="[tbl_inventory]" displayFolder="" count="0" memberValueDatatype="20" unbalanced="0"/>
    <cacheHierarchy uniqueName="[tbl_kpi].[ProductID]" caption="ProductID" attribute="1" defaultMemberUniqueName="[tbl_kpi].[ProductID].[All]" allUniqueName="[tbl_kpi].[ProductID].[All]" dimensionUniqueName="[tbl_kpi]" displayFolder="" count="0" memberValueDatatype="20" unbalanced="0"/>
    <cacheHierarchy uniqueName="[tbl_kpi].[LocationID]" caption="LocationID" attribute="1" defaultMemberUniqueName="[tbl_kpi].[LocationID].[All]" allUniqueName="[tbl_kpi].[LocationID].[All]" dimensionUniqueName="[tbl_kpi]" displayFolder="" count="0" memberValueDatatype="20" unbalanced="0"/>
    <cacheHierarchy uniqueName="[tbl_kpi].[LocationName]" caption="LocationName" attribute="1" defaultMemberUniqueName="[tbl_kpi].[LocationName].[All]" allUniqueName="[tbl_kpi].[LocationName].[All]" dimensionUniqueName="[tbl_kpi]" displayFolder="" count="2" memberValueDatatype="130" unbalanced="0">
      <fieldsUsage count="2">
        <fieldUsage x="-1"/>
        <fieldUsage x="2"/>
      </fieldsUsage>
    </cacheHierarchy>
    <cacheHierarchy uniqueName="[tbl_kpi].[OnHandQty]" caption="OnHandQty" attribute="1" defaultMemberUniqueName="[tbl_kpi].[OnHandQty].[All]" allUniqueName="[tbl_kpi].[OnHandQty].[All]" dimensionUniqueName="[tbl_kpi]" displayFolder="" count="0" memberValueDatatype="20" unbalanced="0"/>
    <cacheHierarchy uniqueName="[tbl_kpi].[CountedQty]" caption="CountedQty" attribute="1" defaultMemberUniqueName="[tbl_kpi].[CountedQty].[All]" allUniqueName="[tbl_kpi].[CountedQty].[All]" dimensionUniqueName="[tbl_kpi]" displayFolder="" count="0" memberValueDatatype="20" unbalanced="0"/>
    <cacheHierarchy uniqueName="[tbl_kpi].[ExpectedQty]" caption="ExpectedQty" attribute="1" defaultMemberUniqueName="[tbl_kpi].[ExpectedQty].[All]" allUniqueName="[tbl_kpi].[ExpectedQty].[All]" dimensionUniqueName="[tbl_kpi]" displayFolder="" count="0" memberValueDatatype="20" unbalanced="0"/>
    <cacheHierarchy uniqueName="[tbl_kpi].[VarianceQty]" caption="VarianceQty" attribute="1" defaultMemberUniqueName="[tbl_kpi].[VarianceQty].[All]" allUniqueName="[tbl_kpi].[VarianceQty].[All]" dimensionUniqueName="[tbl_kpi]" displayFolder="" count="0" memberValueDatatype="20" unbalanced="0"/>
    <cacheHierarchy uniqueName="[tbl_kpi].[AccuracyPct]" caption="AccuracyPct" attribute="1" defaultMemberUniqueName="[tbl_kpi].[AccuracyPct].[All]" allUniqueName="[tbl_kpi].[AccuracyPct].[All]" dimensionUniqueName="[tbl_kpi]" displayFolder="" count="0" memberValueDatatype="5" unbalanced="0"/>
    <cacheHierarchy uniqueName="[tbl_kpi].[HighRiskFlag]" caption="HighRiskFlag" attribute="1" defaultMemberUniqueName="[tbl_kpi].[HighRiskFlag].[All]" allUniqueName="[tbl_kpi].[HighRiskFlag].[All]" dimensionUniqueName="[tbl_kpi]" displayFolder="" count="2" memberValueDatatype="130" unbalanced="0">
      <fieldsUsage count="2">
        <fieldUsage x="-1"/>
        <fieldUsage x="0"/>
      </fieldsUsage>
    </cacheHierarchy>
    <cacheHierarchy uniqueName="[tbl_location].[LocationID]" caption="LocationID" attribute="1" defaultMemberUniqueName="[tbl_location].[LocationID].[All]" allUniqueName="[tbl_location].[LocationID].[All]" dimensionUniqueName="[tbl_location]" displayFolder="" count="0" memberValueDatatype="20" unbalanced="0"/>
    <cacheHierarchy uniqueName="[tbl_location].[LocationName]" caption="LocationName" attribute="1" defaultMemberUniqueName="[tbl_location].[LocationName].[All]" allUniqueName="[tbl_location].[LocationName].[All]" dimensionUniqueName="[tbl_location]" displayFolder="" count="0" memberValueDatatype="130" unbalanced="0"/>
    <cacheHierarchy uniqueName="[tbl_product].[ProductID]" caption="ProductID" attribute="1" defaultMemberUniqueName="[tbl_product].[ProductID].[All]" allUniqueName="[tbl_product].[ProductID].[All]" dimensionUniqueName="[tbl_product]" displayFolder="" count="0" memberValueDatatype="20" unbalanced="0"/>
    <cacheHierarchy uniqueName="[tbl_product].[ProductName]" caption="ProductName" attribute="1" defaultMemberUniqueName="[tbl_product].[ProductName].[All]" allUniqueName="[tbl_product].[ProductName].[All]" dimensionUniqueName="[tbl_product]" displayFolder="" count="0" memberValueDatatype="130" unbalanced="0"/>
    <cacheHierarchy uniqueName="[tbl_product].[ProductNumber]" caption="ProductNumber" attribute="1" defaultMemberUniqueName="[tbl_product].[ProductNumber].[All]" allUniqueName="[tbl_product].[ProductNumber].[All]" dimensionUniqueName="[tbl_product]" displayFolder="" count="0" memberValueDatatype="130" unbalanced="0"/>
    <cacheHierarchy uniqueName="[Measures].[__XL_Count tbl_kpi]" caption="__XL_Count tbl_kpi" measure="1" displayFolder="" measureGroup="tbl_kpi" count="0" hidden="1"/>
    <cacheHierarchy uniqueName="[Measures].[__XL_Count tbl_location]" caption="__XL_Count tbl_location" measure="1" displayFolder="" measureGroup="tbl_location" count="0" hidden="1"/>
    <cacheHierarchy uniqueName="[Measures].[__XL_Count tbl_product]" caption="__XL_Count tbl_product" measure="1" displayFolder="" measureGroup="tbl_product" count="0" hidden="1"/>
    <cacheHierarchy uniqueName="[Measures].[__XL_Count tbl_inventory]" caption="__XL_Count tbl_inventory" measure="1" displayFolder="" measureGroup="tbl_inventory" count="0" hidden="1"/>
    <cacheHierarchy uniqueName="[Measures].[__No measures defined]" caption="__No measures defined" measure="1" displayFolder="" count="0" hidden="1"/>
    <cacheHierarchy uniqueName="[Measures].[Sum of AccuracyPct]" caption="Sum of AccuracyPct" measure="1" displayFolder="" measureGroup="tbl_kp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ccuracyPct]" caption="Average of AccuracyPct" measure="1" displayFolder="" measureGroup="tbl_kp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ghRiskFlag]" caption="Count of HighRiskFlag" measure="1" displayFolder="" measureGroup="tbl_kp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ID]" caption="Sum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ID]" caption="Count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ID 2]" caption="Sum of ProductID 2" measure="1" displayFolder="" measureGroup="tbl_kp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ID 2]" caption="Count of ProductID 2" measure="1" displayFolder="" measureGroup="tbl_kp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ductID 3]" caption="Sum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ID 3]" caption="Count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tbl_inventory" uniqueName="[tbl_inventory]" caption="tbl_inventory"/>
    <dimension name="tbl_kpi" uniqueName="[tbl_kpi]" caption="tbl_kpi"/>
    <dimension name="tbl_location" uniqueName="[tbl_location]" caption="tbl_location"/>
    <dimension name="tbl_product" uniqueName="[tbl_product]" caption="tbl_product"/>
  </dimensions>
  <measureGroups count="4">
    <measureGroup name="tbl_inventory" caption="tbl_inventory"/>
    <measureGroup name="tbl_kpi" caption="tbl_kpi"/>
    <measureGroup name="tbl_location" caption="tbl_location"/>
    <measureGroup name="tbl_product" caption="tbl_product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s Kan" refreshedDate="46027.659260416665" backgroundQuery="1" createdVersion="8" refreshedVersion="8" minRefreshableVersion="3" recordCount="0" supportSubquery="1" supportAdvancedDrill="1" xr:uid="{CD866E55-19D2-4C71-A479-0E4D0AAC2EBF}">
  <cacheSource type="external" connectionId="6"/>
  <cacheFields count="2">
    <cacheField name="[tbl_location].[LocationName].[LocationName]" caption="LocationName" numFmtId="0" hierarchy="13" level="1">
      <sharedItems count="14">
        <s v="Debur and Polish"/>
        <s v="Final Assembly"/>
        <s v="Finished Goods Storage"/>
        <s v="Frame Forming"/>
        <s v="Frame Welding"/>
        <s v="Metal Storage"/>
        <s v="Miscellaneous Storage"/>
        <s v="Paint"/>
        <s v="Paint Shop"/>
        <s v="Paint Storage"/>
        <s v="Sheet Metal Racks"/>
        <s v="Specialized Paint"/>
        <s v="Subassembly"/>
        <s v="Tool Crib"/>
      </sharedItems>
    </cacheField>
    <cacheField name="[Measures].[Average of AccuracyPct]" caption="Average of AccuracyPct" numFmtId="0" hierarchy="23" level="32767"/>
  </cacheFields>
  <cacheHierarchies count="31">
    <cacheHierarchy uniqueName="[tbl_inventory].[ProductID]" caption="ProductID" attribute="1" defaultMemberUniqueName="[tbl_inventory].[ProductID].[All]" allUniqueName="[tbl_inventory].[ProductID].[All]" dimensionUniqueName="[tbl_inventory]" displayFolder="" count="0" memberValueDatatype="20" unbalanced="0"/>
    <cacheHierarchy uniqueName="[tbl_inventory].[LocationID]" caption="LocationID" attribute="1" defaultMemberUniqueName="[tbl_inventory].[LocationID].[All]" allUniqueName="[tbl_inventory].[LocationID].[All]" dimensionUniqueName="[tbl_inventory]" displayFolder="" count="0" memberValueDatatype="130" unbalanced="0"/>
    <cacheHierarchy uniqueName="[tbl_inventory].[Quantity]" caption="Quantity" attribute="1" defaultMemberUniqueName="[tbl_inventory].[Quantity].[All]" allUniqueName="[tbl_inventory].[Quantity].[All]" dimensionUniqueName="[tbl_inventory]" displayFolder="" count="0" memberValueDatatype="20" unbalanced="0"/>
    <cacheHierarchy uniqueName="[tbl_kpi].[ProductID]" caption="ProductID" attribute="1" defaultMemberUniqueName="[tbl_kpi].[ProductID].[All]" allUniqueName="[tbl_kpi].[ProductID].[All]" dimensionUniqueName="[tbl_kpi]" displayFolder="" count="0" memberValueDatatype="20" unbalanced="0"/>
    <cacheHierarchy uniqueName="[tbl_kpi].[LocationID]" caption="LocationID" attribute="1" defaultMemberUniqueName="[tbl_kpi].[LocationID].[All]" allUniqueName="[tbl_kpi].[LocationID].[All]" dimensionUniqueName="[tbl_kpi]" displayFolder="" count="0" memberValueDatatype="20" unbalanced="0"/>
    <cacheHierarchy uniqueName="[tbl_kpi].[LocationName]" caption="LocationName" attribute="1" defaultMemberUniqueName="[tbl_kpi].[LocationName].[All]" allUniqueName="[tbl_kpi].[LocationName].[All]" dimensionUniqueName="[tbl_kpi]" displayFolder="" count="0" memberValueDatatype="130" unbalanced="0"/>
    <cacheHierarchy uniqueName="[tbl_kpi].[OnHandQty]" caption="OnHandQty" attribute="1" defaultMemberUniqueName="[tbl_kpi].[OnHandQty].[All]" allUniqueName="[tbl_kpi].[OnHandQty].[All]" dimensionUniqueName="[tbl_kpi]" displayFolder="" count="0" memberValueDatatype="20" unbalanced="0"/>
    <cacheHierarchy uniqueName="[tbl_kpi].[CountedQty]" caption="CountedQty" attribute="1" defaultMemberUniqueName="[tbl_kpi].[CountedQty].[All]" allUniqueName="[tbl_kpi].[CountedQty].[All]" dimensionUniqueName="[tbl_kpi]" displayFolder="" count="0" memberValueDatatype="20" unbalanced="0"/>
    <cacheHierarchy uniqueName="[tbl_kpi].[ExpectedQty]" caption="ExpectedQty" attribute="1" defaultMemberUniqueName="[tbl_kpi].[ExpectedQty].[All]" allUniqueName="[tbl_kpi].[ExpectedQty].[All]" dimensionUniqueName="[tbl_kpi]" displayFolder="" count="0" memberValueDatatype="20" unbalanced="0"/>
    <cacheHierarchy uniqueName="[tbl_kpi].[VarianceQty]" caption="VarianceQty" attribute="1" defaultMemberUniqueName="[tbl_kpi].[VarianceQty].[All]" allUniqueName="[tbl_kpi].[VarianceQty].[All]" dimensionUniqueName="[tbl_kpi]" displayFolder="" count="0" memberValueDatatype="20" unbalanced="0"/>
    <cacheHierarchy uniqueName="[tbl_kpi].[AccuracyPct]" caption="AccuracyPct" attribute="1" defaultMemberUniqueName="[tbl_kpi].[AccuracyPct].[All]" allUniqueName="[tbl_kpi].[AccuracyPct].[All]" dimensionUniqueName="[tbl_kpi]" displayFolder="" count="0" memberValueDatatype="5" unbalanced="0"/>
    <cacheHierarchy uniqueName="[tbl_kpi].[HighRiskFlag]" caption="HighRiskFlag" attribute="1" defaultMemberUniqueName="[tbl_kpi].[HighRiskFlag].[All]" allUniqueName="[tbl_kpi].[HighRiskFlag].[All]" dimensionUniqueName="[tbl_kpi]" displayFolder="" count="0" memberValueDatatype="130" unbalanced="0"/>
    <cacheHierarchy uniqueName="[tbl_location].[LocationID]" caption="LocationID" attribute="1" defaultMemberUniqueName="[tbl_location].[LocationID].[All]" allUniqueName="[tbl_location].[LocationID].[All]" dimensionUniqueName="[tbl_location]" displayFolder="" count="0" memberValueDatatype="20" unbalanced="0"/>
    <cacheHierarchy uniqueName="[tbl_location].[LocationName]" caption="LocationName" attribute="1" defaultMemberUniqueName="[tbl_location].[LocationName].[All]" allUniqueName="[tbl_location].[LocationName].[All]" dimensionUniqueName="[tbl_location]" displayFolder="" count="2" memberValueDatatype="130" unbalanced="0">
      <fieldsUsage count="2">
        <fieldUsage x="-1"/>
        <fieldUsage x="0"/>
      </fieldsUsage>
    </cacheHierarchy>
    <cacheHierarchy uniqueName="[tbl_product].[ProductID]" caption="ProductID" attribute="1" defaultMemberUniqueName="[tbl_product].[ProductID].[All]" allUniqueName="[tbl_product].[ProductID].[All]" dimensionUniqueName="[tbl_product]" displayFolder="" count="0" memberValueDatatype="20" unbalanced="0"/>
    <cacheHierarchy uniqueName="[tbl_product].[ProductName]" caption="ProductName" attribute="1" defaultMemberUniqueName="[tbl_product].[ProductName].[All]" allUniqueName="[tbl_product].[ProductName].[All]" dimensionUniqueName="[tbl_product]" displayFolder="" count="0" memberValueDatatype="130" unbalanced="0"/>
    <cacheHierarchy uniqueName="[tbl_product].[ProductNumber]" caption="ProductNumber" attribute="1" defaultMemberUniqueName="[tbl_product].[ProductNumber].[All]" allUniqueName="[tbl_product].[ProductNumber].[All]" dimensionUniqueName="[tbl_product]" displayFolder="" count="0" memberValueDatatype="130" unbalanced="0"/>
    <cacheHierarchy uniqueName="[Measures].[__XL_Count tbl_kpi]" caption="__XL_Count tbl_kpi" measure="1" displayFolder="" measureGroup="tbl_kpi" count="0" hidden="1"/>
    <cacheHierarchy uniqueName="[Measures].[__XL_Count tbl_location]" caption="__XL_Count tbl_location" measure="1" displayFolder="" measureGroup="tbl_location" count="0" hidden="1"/>
    <cacheHierarchy uniqueName="[Measures].[__XL_Count tbl_product]" caption="__XL_Count tbl_product" measure="1" displayFolder="" measureGroup="tbl_product" count="0" hidden="1"/>
    <cacheHierarchy uniqueName="[Measures].[__XL_Count tbl_inventory]" caption="__XL_Count tbl_inventory" measure="1" displayFolder="" measureGroup="tbl_inventory" count="0" hidden="1"/>
    <cacheHierarchy uniqueName="[Measures].[__No measures defined]" caption="__No measures defined" measure="1" displayFolder="" count="0" hidden="1"/>
    <cacheHierarchy uniqueName="[Measures].[Sum of AccuracyPct]" caption="Sum of AccuracyPct" measure="1" displayFolder="" measureGroup="tbl_kp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ccuracyPct]" caption="Average of AccuracyPct" measure="1" displayFolder="" measureGroup="tbl_kp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ghRiskFlag]" caption="Count of HighRiskFlag" measure="1" displayFolder="" measureGroup="tbl_kp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ID]" caption="Sum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ID]" caption="Count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ID 2]" caption="Sum of ProductID 2" measure="1" displayFolder="" measureGroup="tbl_kp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ID 2]" caption="Count of ProductID 2" measure="1" displayFolder="" measureGroup="tbl_kp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ductID 3]" caption="Sum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ID 3]" caption="Count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tbl_inventory" uniqueName="[tbl_inventory]" caption="tbl_inventory"/>
    <dimension name="tbl_kpi" uniqueName="[tbl_kpi]" caption="tbl_kpi"/>
    <dimension name="tbl_location" uniqueName="[tbl_location]" caption="tbl_location"/>
    <dimension name="tbl_product" uniqueName="[tbl_product]" caption="tbl_product"/>
  </dimensions>
  <measureGroups count="4">
    <measureGroup name="tbl_inventory" caption="tbl_inventory"/>
    <measureGroup name="tbl_kpi" caption="tbl_kpi"/>
    <measureGroup name="tbl_location" caption="tbl_location"/>
    <measureGroup name="tbl_product" caption="tbl_product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s Kan" refreshedDate="46027.659315625002" backgroundQuery="1" createdVersion="8" refreshedVersion="8" minRefreshableVersion="3" recordCount="0" supportSubquery="1" supportAdvancedDrill="1" xr:uid="{FA874511-9A1B-40ED-AC2B-E67F44A49056}">
  <cacheSource type="external" connectionId="6"/>
  <cacheFields count="3">
    <cacheField name="[tbl_kpi].[HighRiskFlag].[HighRiskFlag]" caption="HighRiskFlag" numFmtId="0" hierarchy="11" level="1">
      <sharedItems containsSemiMixedTypes="0" containsNonDate="0" containsString="0"/>
    </cacheField>
    <cacheField name="[Measures].[Count of ProductID 2]" caption="Count of ProductID 2" numFmtId="0" hierarchy="28" level="32767"/>
    <cacheField name="[tbl_kpi].[LocationName].[LocationName]" caption="LocationName" numFmtId="0" hierarchy="5" level="1">
      <sharedItems count="14">
        <s v="Debur and Polish"/>
        <s v="Final Assembly"/>
        <s v="Finished Goods Storage"/>
        <s v="Frame Forming"/>
        <s v="Frame Welding"/>
        <s v="Metal Storage"/>
        <s v="Miscellaneous Storage"/>
        <s v="Paint"/>
        <s v="Paint Shop"/>
        <s v="Paint Storage"/>
        <s v="Sheet Metal Racks"/>
        <s v="Specialized Paint"/>
        <s v="Subassembly"/>
        <s v="Tool Crib"/>
      </sharedItems>
    </cacheField>
  </cacheFields>
  <cacheHierarchies count="31">
    <cacheHierarchy uniqueName="[tbl_inventory].[ProductID]" caption="ProductID" attribute="1" defaultMemberUniqueName="[tbl_inventory].[ProductID].[All]" allUniqueName="[tbl_inventory].[ProductID].[All]" dimensionUniqueName="[tbl_inventory]" displayFolder="" count="0" memberValueDatatype="20" unbalanced="0"/>
    <cacheHierarchy uniqueName="[tbl_inventory].[LocationID]" caption="LocationID" attribute="1" defaultMemberUniqueName="[tbl_inventory].[LocationID].[All]" allUniqueName="[tbl_inventory].[LocationID].[All]" dimensionUniqueName="[tbl_inventory]" displayFolder="" count="0" memberValueDatatype="130" unbalanced="0"/>
    <cacheHierarchy uniqueName="[tbl_inventory].[Quantity]" caption="Quantity" attribute="1" defaultMemberUniqueName="[tbl_inventory].[Quantity].[All]" allUniqueName="[tbl_inventory].[Quantity].[All]" dimensionUniqueName="[tbl_inventory]" displayFolder="" count="0" memberValueDatatype="20" unbalanced="0"/>
    <cacheHierarchy uniqueName="[tbl_kpi].[ProductID]" caption="ProductID" attribute="1" defaultMemberUniqueName="[tbl_kpi].[ProductID].[All]" allUniqueName="[tbl_kpi].[ProductID].[All]" dimensionUniqueName="[tbl_kpi]" displayFolder="" count="0" memberValueDatatype="20" unbalanced="0"/>
    <cacheHierarchy uniqueName="[tbl_kpi].[LocationID]" caption="LocationID" attribute="1" defaultMemberUniqueName="[tbl_kpi].[LocationID].[All]" allUniqueName="[tbl_kpi].[LocationID].[All]" dimensionUniqueName="[tbl_kpi]" displayFolder="" count="0" memberValueDatatype="20" unbalanced="0"/>
    <cacheHierarchy uniqueName="[tbl_kpi].[LocationName]" caption="LocationName" attribute="1" defaultMemberUniqueName="[tbl_kpi].[LocationName].[All]" allUniqueName="[tbl_kpi].[LocationName].[All]" dimensionUniqueName="[tbl_kpi]" displayFolder="" count="2" memberValueDatatype="130" unbalanced="0">
      <fieldsUsage count="2">
        <fieldUsage x="-1"/>
        <fieldUsage x="2"/>
      </fieldsUsage>
    </cacheHierarchy>
    <cacheHierarchy uniqueName="[tbl_kpi].[OnHandQty]" caption="OnHandQty" attribute="1" defaultMemberUniqueName="[tbl_kpi].[OnHandQty].[All]" allUniqueName="[tbl_kpi].[OnHandQty].[All]" dimensionUniqueName="[tbl_kpi]" displayFolder="" count="0" memberValueDatatype="20" unbalanced="0"/>
    <cacheHierarchy uniqueName="[tbl_kpi].[CountedQty]" caption="CountedQty" attribute="1" defaultMemberUniqueName="[tbl_kpi].[CountedQty].[All]" allUniqueName="[tbl_kpi].[CountedQty].[All]" dimensionUniqueName="[tbl_kpi]" displayFolder="" count="0" memberValueDatatype="20" unbalanced="0"/>
    <cacheHierarchy uniqueName="[tbl_kpi].[ExpectedQty]" caption="ExpectedQty" attribute="1" defaultMemberUniqueName="[tbl_kpi].[ExpectedQty].[All]" allUniqueName="[tbl_kpi].[ExpectedQty].[All]" dimensionUniqueName="[tbl_kpi]" displayFolder="" count="0" memberValueDatatype="20" unbalanced="0"/>
    <cacheHierarchy uniqueName="[tbl_kpi].[VarianceQty]" caption="VarianceQty" attribute="1" defaultMemberUniqueName="[tbl_kpi].[VarianceQty].[All]" allUniqueName="[tbl_kpi].[VarianceQty].[All]" dimensionUniqueName="[tbl_kpi]" displayFolder="" count="0" memberValueDatatype="20" unbalanced="0"/>
    <cacheHierarchy uniqueName="[tbl_kpi].[AccuracyPct]" caption="AccuracyPct" attribute="1" defaultMemberUniqueName="[tbl_kpi].[AccuracyPct].[All]" allUniqueName="[tbl_kpi].[AccuracyPct].[All]" dimensionUniqueName="[tbl_kpi]" displayFolder="" count="0" memberValueDatatype="5" unbalanced="0"/>
    <cacheHierarchy uniqueName="[tbl_kpi].[HighRiskFlag]" caption="HighRiskFlag" attribute="1" defaultMemberUniqueName="[tbl_kpi].[HighRiskFlag].[All]" allUniqueName="[tbl_kpi].[HighRiskFlag].[All]" dimensionUniqueName="[tbl_kpi]" displayFolder="" count="2" memberValueDatatype="130" unbalanced="0">
      <fieldsUsage count="2">
        <fieldUsage x="-1"/>
        <fieldUsage x="0"/>
      </fieldsUsage>
    </cacheHierarchy>
    <cacheHierarchy uniqueName="[tbl_location].[LocationID]" caption="LocationID" attribute="1" defaultMemberUniqueName="[tbl_location].[LocationID].[All]" allUniqueName="[tbl_location].[LocationID].[All]" dimensionUniqueName="[tbl_location]" displayFolder="" count="0" memberValueDatatype="20" unbalanced="0"/>
    <cacheHierarchy uniqueName="[tbl_location].[LocationName]" caption="LocationName" attribute="1" defaultMemberUniqueName="[tbl_location].[LocationName].[All]" allUniqueName="[tbl_location].[LocationName].[All]" dimensionUniqueName="[tbl_location]" displayFolder="" count="0" memberValueDatatype="130" unbalanced="0"/>
    <cacheHierarchy uniqueName="[tbl_product].[ProductID]" caption="ProductID" attribute="1" defaultMemberUniqueName="[tbl_product].[ProductID].[All]" allUniqueName="[tbl_product].[ProductID].[All]" dimensionUniqueName="[tbl_product]" displayFolder="" count="0" memberValueDatatype="20" unbalanced="0"/>
    <cacheHierarchy uniqueName="[tbl_product].[ProductName]" caption="ProductName" attribute="1" defaultMemberUniqueName="[tbl_product].[ProductName].[All]" allUniqueName="[tbl_product].[ProductName].[All]" dimensionUniqueName="[tbl_product]" displayFolder="" count="0" memberValueDatatype="130" unbalanced="0"/>
    <cacheHierarchy uniqueName="[tbl_product].[ProductNumber]" caption="ProductNumber" attribute="1" defaultMemberUniqueName="[tbl_product].[ProductNumber].[All]" allUniqueName="[tbl_product].[ProductNumber].[All]" dimensionUniqueName="[tbl_product]" displayFolder="" count="0" memberValueDatatype="130" unbalanced="0"/>
    <cacheHierarchy uniqueName="[Measures].[__XL_Count tbl_kpi]" caption="__XL_Count tbl_kpi" measure="1" displayFolder="" measureGroup="tbl_kpi" count="0" hidden="1"/>
    <cacheHierarchy uniqueName="[Measures].[__XL_Count tbl_location]" caption="__XL_Count tbl_location" measure="1" displayFolder="" measureGroup="tbl_location" count="0" hidden="1"/>
    <cacheHierarchy uniqueName="[Measures].[__XL_Count tbl_product]" caption="__XL_Count tbl_product" measure="1" displayFolder="" measureGroup="tbl_product" count="0" hidden="1"/>
    <cacheHierarchy uniqueName="[Measures].[__XL_Count tbl_inventory]" caption="__XL_Count tbl_inventory" measure="1" displayFolder="" measureGroup="tbl_inventory" count="0" hidden="1"/>
    <cacheHierarchy uniqueName="[Measures].[__No measures defined]" caption="__No measures defined" measure="1" displayFolder="" count="0" hidden="1"/>
    <cacheHierarchy uniqueName="[Measures].[Sum of AccuracyPct]" caption="Sum of AccuracyPct" measure="1" displayFolder="" measureGroup="tbl_kp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ccuracyPct]" caption="Average of AccuracyPct" measure="1" displayFolder="" measureGroup="tbl_kp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ghRiskFlag]" caption="Count of HighRiskFlag" measure="1" displayFolder="" measureGroup="tbl_kp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ID]" caption="Sum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ID]" caption="Count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ID 2]" caption="Sum of ProductID 2" measure="1" displayFolder="" measureGroup="tbl_kp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ID 2]" caption="Count of ProductID 2" measure="1" displayFolder="" measureGroup="tbl_kpi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ductID 3]" caption="Sum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ID 3]" caption="Count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tbl_inventory" uniqueName="[tbl_inventory]" caption="tbl_inventory"/>
    <dimension name="tbl_kpi" uniqueName="[tbl_kpi]" caption="tbl_kpi"/>
    <dimension name="tbl_location" uniqueName="[tbl_location]" caption="tbl_location"/>
    <dimension name="tbl_product" uniqueName="[tbl_product]" caption="tbl_product"/>
  </dimensions>
  <measureGroups count="4">
    <measureGroup name="tbl_inventory" caption="tbl_inventory"/>
    <measureGroup name="tbl_kpi" caption="tbl_kpi"/>
    <measureGroup name="tbl_location" caption="tbl_location"/>
    <measureGroup name="tbl_product" caption="tbl_product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as Kan" refreshedDate="46027.659431018517" backgroundQuery="1" createdVersion="8" refreshedVersion="8" minRefreshableVersion="3" recordCount="0" supportSubquery="1" supportAdvancedDrill="1" xr:uid="{AABE6E03-CA22-4408-8861-CE2C1E2808DF}">
  <cacheSource type="external" connectionId="6"/>
  <cacheFields count="3">
    <cacheField name="[tbl_product].[ProductName].[ProductName]" caption="ProductName" numFmtId="0" hierarchy="15" level="1">
      <sharedItems count="504">
        <s v="Adjustable Race"/>
        <s v="All-Purpose Bike Stand"/>
        <s v="AWC Logo Cap"/>
        <s v="BB Ball Bearing"/>
        <s v="Bearing Ball"/>
        <s v="Bike Wash - Dissolver"/>
        <s v="Blade"/>
        <s v="Cable Lock"/>
        <s v="Chain"/>
        <s v="Chain Stays"/>
        <s v="Chainring"/>
        <s v="Chainring Bolts"/>
        <s v="Chainring Nut"/>
        <s v="Classic Vest, L"/>
        <s v="Classic Vest, M"/>
        <s v="Classic Vest, S"/>
        <s v="Cone-Shaped Race"/>
        <s v="Crown Race"/>
        <s v="Cup-Shaped Race"/>
        <s v="Decal 1"/>
        <s v="Decal 2"/>
        <s v="Down Tube"/>
        <s v="External Lock Washer 1"/>
        <s v="External Lock Washer 2"/>
        <s v="External Lock Washer 3"/>
        <s v="External Lock Washer 4"/>
        <s v="External Lock Washer 5"/>
        <s v="External Lock Washer 6"/>
        <s v="External Lock Washer 7"/>
        <s v="External Lock Washer 8"/>
        <s v="External Lock Washer 9"/>
        <s v="Fender Set - Mountain"/>
        <s v="Flat Washer 1"/>
        <s v="Flat Washer 2"/>
        <s v="Flat Washer 3"/>
        <s v="Flat Washer 4"/>
        <s v="Flat Washer 5"/>
        <s v="Flat Washer 6"/>
        <s v="Flat Washer 7"/>
        <s v="Flat Washer 8"/>
        <s v="Flat Washer 9"/>
        <s v="Fork Crown"/>
        <s v="Fork End"/>
        <s v="Freewheel"/>
        <s v="Front Brakes"/>
        <s v="Front Derailleur"/>
        <s v="Front Derailleur Cage"/>
        <s v="Front Derailleur Linkage"/>
        <s v="Full-Finger Gloves, L"/>
        <s v="Full-Finger Gloves, M"/>
        <s v="Full-Finger Gloves, S"/>
        <s v="Guide Pulley"/>
        <s v="Half-Finger Gloves, L"/>
        <s v="Half-Finger Gloves, M"/>
        <s v="Half-Finger Gloves, S"/>
        <s v="Handlebar Tube"/>
        <s v="Head Tube"/>
        <s v="Headlights - Dual-Beam"/>
        <s v="Headlights - Weatherproof"/>
        <s v="Headset Ball Bearings"/>
        <s v="Hex Nut 1"/>
        <s v="Hex Nut 10"/>
        <s v="Hex Nut 11"/>
        <s v="Hex Nut 12"/>
        <s v="Hex Nut 13"/>
        <s v="Hex Nut 14"/>
        <s v="Hex Nut 15"/>
        <s v="Hex Nut 16"/>
        <s v="Hex Nut 17"/>
        <s v="Hex Nut 18"/>
        <s v="Hex Nut 19"/>
        <s v="Hex Nut 2"/>
        <s v="Hex Nut 20"/>
        <s v="Hex Nut 21"/>
        <s v="Hex Nut 22"/>
        <s v="Hex Nut 23"/>
        <s v="Hex Nut 3"/>
        <s v="Hex Nut 4"/>
        <s v="Hex Nut 5"/>
        <s v="Hex Nut 6"/>
        <s v="Hex Nut 7"/>
        <s v="Hex Nut 8"/>
        <s v="Hex Nut 9"/>
        <s v="Hitch Rack - 4-Bike"/>
        <s v="HL Bottom Bracket"/>
        <s v="HL Crankarm"/>
        <s v="HL Crankset"/>
        <s v="HL Fork"/>
        <s v="HL Grip Tape"/>
        <s v="HL Headset"/>
        <s v="HL Hub"/>
        <s v="HL Mountain Frame - Black, 38"/>
        <s v="HL Mountain Frame - Black, 42"/>
        <s v="HL Mountain Frame - Black, 44"/>
        <s v="HL Mountain Frame - Black, 46"/>
        <s v="HL Mountain Frame - Black, 48"/>
        <s v="HL Mountain Frame - Silver, 38"/>
        <s v="HL Mountain Frame - Silver, 42"/>
        <s v="HL Mountain Frame - Silver, 44"/>
        <s v="HL Mountain Frame - Silver, 46"/>
        <s v="HL Mountain Frame - Silver, 48"/>
        <s v="HL Mountain Front Wheel"/>
        <s v="HL Mountain Handlebars"/>
        <s v="HL Mountain Pedal"/>
        <s v="HL Mountain Rear Wheel"/>
        <s v="HL Mountain Rim"/>
        <s v="HL Mountain Seat Assembly"/>
        <s v="HL Mountain Seat/Saddle"/>
        <s v="HL Mountain Tire"/>
        <s v="HL Nipple"/>
        <s v="HL Road Frame - Black, 44"/>
        <s v="HL Road Frame - Black, 48"/>
        <s v="HL Road Frame - Black, 52"/>
        <s v="HL Road Frame - Black, 58"/>
        <s v="HL Road Frame - Black, 62"/>
        <s v="HL Road Frame - Red, 44"/>
        <s v="HL Road Frame - Red, 48"/>
        <s v="HL Road Frame - Red, 52"/>
        <s v="HL Road Frame - Red, 56"/>
        <s v="HL Road Frame - Red, 58"/>
        <s v="HL Road Frame - Red, 62"/>
        <s v="HL Road Front Wheel"/>
        <s v="HL Road Handlebars"/>
        <s v="HL Road Pedal"/>
        <s v="HL Road Rear Wheel"/>
        <s v="HL Road Rim"/>
        <s v="HL Road Seat Assembly"/>
        <s v="HL Road Seat/Saddle"/>
        <s v="HL Road Tire"/>
        <s v="HL Shell"/>
        <s v="HL Spindle/Axle"/>
        <s v="HL Touring Frame - Blue, 46"/>
        <s v="HL Touring Frame - Blue, 50"/>
        <s v="HL Touring Frame - Blue, 54"/>
        <s v="HL Touring Frame - Blue, 60"/>
        <s v="HL Touring Frame - Yellow, 46"/>
        <s v="HL Touring Frame - Yellow, 50"/>
        <s v="HL Touring Frame - Yellow, 54"/>
        <s v="HL Touring Frame - Yellow, 60"/>
        <s v="HL Touring Handlebars"/>
        <s v="HL Touring Seat Assembly"/>
        <s v="HL Touring Seat/Saddle"/>
        <s v="Hydration Pack - 70 oz."/>
        <s v="Internal Lock Washer 1"/>
        <s v="Internal Lock Washer 10"/>
        <s v="Internal Lock Washer 2"/>
        <s v="Internal Lock Washer 3"/>
        <s v="Internal Lock Washer 4"/>
        <s v="Internal Lock Washer 5"/>
        <s v="Internal Lock Washer 6"/>
        <s v="Internal Lock Washer 7"/>
        <s v="Internal Lock Washer 8"/>
        <s v="Internal Lock Washer 9"/>
        <s v="Keyed Washer"/>
        <s v="LL Bottom Bracket"/>
        <s v="LL Crankarm"/>
        <s v="LL Crankset"/>
        <s v="LL Fork"/>
        <s v="LL Grip Tape"/>
        <s v="LL Headset"/>
        <s v="LL Hub"/>
        <s v="LL Mountain Frame - Black, 40"/>
        <s v="LL Mountain Frame - Black, 42"/>
        <s v="LL Mountain Frame - Black, 44"/>
        <s v="LL Mountain Frame - Black, 48"/>
        <s v="LL Mountain Frame - Black, 52"/>
        <s v="LL Mountain Frame - Silver, 40"/>
        <s v="LL Mountain Frame - Silver, 42"/>
        <s v="LL Mountain Frame - Silver, 44"/>
        <s v="LL Mountain Frame - Silver, 48"/>
        <s v="LL Mountain Frame - Silver, 52"/>
        <s v="LL Mountain Front Wheel"/>
        <s v="LL Mountain Handlebars"/>
        <s v="LL Mountain Pedal"/>
        <s v="LL Mountain Rear Wheel"/>
        <s v="LL Mountain Rim"/>
        <s v="LL Mountain Seat Assembly"/>
        <s v="LL Mountain Seat/Saddle"/>
        <s v="LL Mountain Tire"/>
        <s v="LL Nipple"/>
        <s v="LL Road Frame - Black, 44"/>
        <s v="LL Road Frame - Black, 48"/>
        <s v="LL Road Frame - Black, 52"/>
        <s v="LL Road Frame - Black, 58"/>
        <s v="LL Road Frame - Black, 60"/>
        <s v="LL Road Frame - Black, 62"/>
        <s v="LL Road Frame - Red, 44"/>
        <s v="LL Road Frame - Red, 48"/>
        <s v="LL Road Frame - Red, 52"/>
        <s v="LL Road Frame - Red, 58"/>
        <s v="LL Road Frame - Red, 60"/>
        <s v="LL Road Frame - Red, 62"/>
        <s v="LL Road Front Wheel"/>
        <s v="LL Road Handlebars"/>
        <s v="LL Road Pedal"/>
        <s v="LL Road Rear Wheel"/>
        <s v="LL Road Rim"/>
        <s v="LL Road Seat Assembly"/>
        <s v="LL Road Seat/Saddle"/>
        <s v="LL Road Tire"/>
        <s v="LL Shell"/>
        <s v="LL Spindle/Axle"/>
        <s v="LL Touring Frame - Blue, 44"/>
        <s v="LL Touring Frame - Blue, 50"/>
        <s v="LL Touring Frame - Blue, 54"/>
        <s v="LL Touring Frame - Blue, 58"/>
        <s v="LL Touring Frame - Blue, 62"/>
        <s v="LL Touring Frame - Yellow, 44"/>
        <s v="LL Touring Frame - Yellow, 50"/>
        <s v="LL Touring Frame - Yellow, 54"/>
        <s v="LL Touring Frame - Yellow, 58"/>
        <s v="LL Touring Frame - Yellow, 62"/>
        <s v="LL Touring Handlebars"/>
        <s v="LL Touring Seat Assembly"/>
        <s v="LL Touring Seat/Saddle"/>
        <s v="Lock Nut 1"/>
        <s v="Lock Nut 10"/>
        <s v="Lock Nut 11"/>
        <s v="Lock Nut 12"/>
        <s v="Lock Nut 13"/>
        <s v="Lock Nut 14"/>
        <s v="Lock Nut 15"/>
        <s v="Lock Nut 16"/>
        <s v="Lock Nut 17"/>
        <s v="Lock Nut 18"/>
        <s v="Lock Nut 19"/>
        <s v="Lock Nut 2"/>
        <s v="Lock Nut 20"/>
        <s v="Lock Nut 21"/>
        <s v="Lock Nut 22"/>
        <s v="Lock Nut 23"/>
        <s v="Lock Nut 3"/>
        <s v="Lock Nut 4"/>
        <s v="Lock Nut 5"/>
        <s v="Lock Nut 6"/>
        <s v="Lock Nut 7"/>
        <s v="Lock Nut 8"/>
        <s v="Lock Nut 9"/>
        <s v="Lock Ring"/>
        <s v="Lock Washer 1"/>
        <s v="Lock Washer 10"/>
        <s v="Lock Washer 11"/>
        <s v="Lock Washer 12"/>
        <s v="Lock Washer 13"/>
        <s v="Lock Washer 2"/>
        <s v="Lock Washer 3"/>
        <s v="Lock Washer 4"/>
        <s v="Lock Washer 5"/>
        <s v="Lock Washer 6"/>
        <s v="Lock Washer 7"/>
        <s v="Lock Washer 8"/>
        <s v="Lock Washer 9"/>
        <s v="Long-Sleeve Logo Jersey, L"/>
        <s v="Long-Sleeve Logo Jersey, M"/>
        <s v="Long-Sleeve Logo Jersey, S"/>
        <s v="Long-Sleeve Logo Jersey, XL"/>
        <s v="Lower Head Race"/>
        <s v="Men's Bib-Shorts, L"/>
        <s v="Men's Bib-Shorts, M"/>
        <s v="Men's Bib-Shorts, S"/>
        <s v="Men's Sports Shorts, L"/>
        <s v="Men's Sports Shorts, M"/>
        <s v="Men's Sports Shorts, S"/>
        <s v="Men's Sports Shorts, XL"/>
        <s v="Metal Angle"/>
        <s v="Metal Bar 1"/>
        <s v="Metal Bar 2"/>
        <s v="Metal Plate 1"/>
        <s v="Metal Plate 2"/>
        <s v="Metal Plate 3"/>
        <s v="Metal Sheet 1"/>
        <s v="Metal Sheet 2"/>
        <s v="Metal Sheet 3"/>
        <s v="Metal Sheet 4"/>
        <s v="Metal Sheet 5"/>
        <s v="Metal Sheet 6"/>
        <s v="Metal Sheet 7"/>
        <s v="Metal Tread Plate"/>
        <s v="Minipump"/>
        <s v="ML Bottom Bracket"/>
        <s v="ML Crankarm"/>
        <s v="ML Crankset"/>
        <s v="ML Fork"/>
        <s v="ML Grip Tape"/>
        <s v="ML Headset"/>
        <s v="ML Mountain Frame - Black, 38"/>
        <s v="ML Mountain Frame - Black, 40"/>
        <s v="ML Mountain Frame - Black, 44"/>
        <s v="ML Mountain Frame - Black, 48"/>
        <s v="ML Mountain Frame-W - Silver, 38"/>
        <s v="ML Mountain Frame-W - Silver, 40"/>
        <s v="ML Mountain Frame-W - Silver, 42"/>
        <s v="ML Mountain Frame-W - Silver, 46"/>
        <s v="ML Mountain Front Wheel"/>
        <s v="ML Mountain Handlebars"/>
        <s v="ML Mountain Pedal"/>
        <s v="ML Mountain Rear Wheel"/>
        <s v="ML Mountain Rim"/>
        <s v="ML Mountain Seat Assembly"/>
        <s v="ML Mountain Seat/Saddle"/>
        <s v="ML Mountain Tire"/>
        <s v="ML Road Frame - Red, 44"/>
        <s v="ML Road Frame - Red, 48"/>
        <s v="ML Road Frame - Red, 52"/>
        <s v="ML Road Frame - Red, 58"/>
        <s v="ML Road Frame - Red, 60"/>
        <s v="ML Road Frame-W - Yellow, 38"/>
        <s v="ML Road Frame-W - Yellow, 40"/>
        <s v="ML Road Frame-W - Yellow, 42"/>
        <s v="ML Road Frame-W - Yellow, 44"/>
        <s v="ML Road Frame-W - Yellow, 48"/>
        <s v="ML Road Front Wheel"/>
        <s v="ML Road Handlebars"/>
        <s v="ML Road Pedal"/>
        <s v="ML Road Rear Wheel"/>
        <s v="ML Road Rim"/>
        <s v="ML Road Seat Assembly"/>
        <s v="ML Road Seat/Saddle"/>
        <s v="ML Road Tire"/>
        <s v="ML Touring Seat Assembly"/>
        <s v="ML Touring Seat/Saddle"/>
        <s v="Mountain Bike Socks, L"/>
        <s v="Mountain Bike Socks, M"/>
        <s v="Mountain Bottle Cage"/>
        <s v="Mountain End Caps"/>
        <s v="Mountain Pump"/>
        <s v="Mountain Tire Tube"/>
        <s v="Mountain-100 Black, 38"/>
        <s v="Mountain-100 Black, 42"/>
        <s v="Mountain-100 Black, 44"/>
        <s v="Mountain-100 Black, 48"/>
        <s v="Mountain-100 Silver, 38"/>
        <s v="Mountain-100 Silver, 42"/>
        <s v="Mountain-100 Silver, 44"/>
        <s v="Mountain-100 Silver, 48"/>
        <s v="Mountain-200 Black, 38"/>
        <s v="Mountain-200 Black, 42"/>
        <s v="Mountain-200 Black, 46"/>
        <s v="Mountain-200 Silver, 38"/>
        <s v="Mountain-200 Silver, 42"/>
        <s v="Mountain-200 Silver, 46"/>
        <s v="Mountain-300 Black, 38"/>
        <s v="Mountain-300 Black, 40"/>
        <s v="Mountain-300 Black, 44"/>
        <s v="Mountain-300 Black, 48"/>
        <s v="Mountain-400-W Silver, 38"/>
        <s v="Mountain-400-W Silver, 40"/>
        <s v="Mountain-400-W Silver, 42"/>
        <s v="Mountain-400-W Silver, 46"/>
        <s v="Mountain-500 Black, 40"/>
        <s v="Mountain-500 Black, 42"/>
        <s v="Mountain-500 Black, 44"/>
        <s v="Mountain-500 Black, 48"/>
        <s v="Mountain-500 Black, 52"/>
        <s v="Mountain-500 Silver, 40"/>
        <s v="Mountain-500 Silver, 42"/>
        <s v="Mountain-500 Silver, 44"/>
        <s v="Mountain-500 Silver, 48"/>
        <s v="Mountain-500 Silver, 52"/>
        <s v="Paint - Black"/>
        <s v="Paint - Blue"/>
        <s v="Paint - Red"/>
        <s v="Paint - Silver"/>
        <s v="Paint - Yellow"/>
        <s v="Patch Kit/8 Patches"/>
        <s v="Pinch Bolt"/>
        <s v="Racing Socks, L"/>
        <s v="Racing Socks, M"/>
        <s v="Rear Brakes"/>
        <s v="Rear Derailleur"/>
        <s v="Rear Derailleur Cage"/>
        <s v="Reflector"/>
        <s v="Road Bottle Cage"/>
        <s v="Road End Caps"/>
        <s v="Road Tire Tube"/>
        <s v="Road-150 Red, 44"/>
        <s v="Road-150 Red, 48"/>
        <s v="Road-150 Red, 52"/>
        <s v="Road-150 Red, 56"/>
        <s v="Road-150 Red, 62"/>
        <s v="Road-250 Black, 44"/>
        <s v="Road-250 Black, 48"/>
        <s v="Road-250 Black, 52"/>
        <s v="Road-250 Black, 58"/>
        <s v="Road-250 Red, 44"/>
        <s v="Road-250 Red, 48"/>
        <s v="Road-250 Red, 52"/>
        <s v="Road-250 Red, 58"/>
        <s v="Road-350-W Yellow, 40"/>
        <s v="Road-350-W Yellow, 42"/>
        <s v="Road-350-W Yellow, 44"/>
        <s v="Road-350-W Yellow, 48"/>
        <s v="Road-450 Red, 44"/>
        <s v="Road-450 Red, 48"/>
        <s v="Road-450 Red, 52"/>
        <s v="Road-450 Red, 58"/>
        <s v="Road-450 Red, 60"/>
        <s v="Road-550-W Yellow, 38"/>
        <s v="Road-550-W Yellow, 40"/>
        <s v="Road-550-W Yellow, 42"/>
        <s v="Road-550-W Yellow, 44"/>
        <s v="Road-550-W Yellow, 48"/>
        <s v="Road-650 Black, 44"/>
        <s v="Road-650 Black, 48"/>
        <s v="Road-650 Black, 52"/>
        <s v="Road-650 Black, 58"/>
        <s v="Road-650 Black, 60"/>
        <s v="Road-650 Black, 62"/>
        <s v="Road-650 Red, 44"/>
        <s v="Road-650 Red, 48"/>
        <s v="Road-650 Red, 52"/>
        <s v="Road-650 Red, 58"/>
        <s v="Road-650 Red, 60"/>
        <s v="Road-650 Red, 62"/>
        <s v="Road-750 Black, 44"/>
        <s v="Road-750 Black, 48"/>
        <s v="Road-750 Black, 52"/>
        <s v="Road-750 Black, 58"/>
        <s v="Seat Lug"/>
        <s v="Seat Post"/>
        <s v="Seat Stays"/>
        <s v="Seat Tube"/>
        <s v="Short-Sleeve Classic Jersey, L"/>
        <s v="Short-Sleeve Classic Jersey, M"/>
        <s v="Short-Sleeve Classic Jersey, S"/>
        <s v="Short-Sleeve Classic Jersey, XL"/>
        <s v="Spokes"/>
        <s v="Sport-100 Helmet, Black"/>
        <s v="Sport-100 Helmet, Blue"/>
        <s v="Sport-100 Helmet, Red"/>
        <s v="Steerer"/>
        <s v="Stem"/>
        <s v="Taillights - Battery-Powered"/>
        <s v="Tension Pulley"/>
        <s v="Thin-Jam Hex Nut 1"/>
        <s v="Thin-Jam Hex Nut 10"/>
        <s v="Thin-Jam Hex Nut 11"/>
        <s v="Thin-Jam Hex Nut 12"/>
        <s v="Thin-Jam Hex Nut 13"/>
        <s v="Thin-Jam Hex Nut 14"/>
        <s v="Thin-Jam Hex Nut 15"/>
        <s v="Thin-Jam Hex Nut 16"/>
        <s v="Thin-Jam Hex Nut 2"/>
        <s v="Thin-Jam Hex Nut 3"/>
        <s v="Thin-Jam Hex Nut 4"/>
        <s v="Thin-Jam Hex Nut 5"/>
        <s v="Thin-Jam Hex Nut 6"/>
        <s v="Thin-Jam Hex Nut 7"/>
        <s v="Thin-Jam Hex Nut 8"/>
        <s v="Thin-Jam Hex Nut 9"/>
        <s v="Thin-Jam Lock Nut 1"/>
        <s v="Thin-Jam Lock Nut 10"/>
        <s v="Thin-Jam Lock Nut 11"/>
        <s v="Thin-Jam Lock Nut 12"/>
        <s v="Thin-Jam Lock Nut 13"/>
        <s v="Thin-Jam Lock Nut 14"/>
        <s v="Thin-Jam Lock Nut 15"/>
        <s v="Thin-Jam Lock Nut 16"/>
        <s v="Thin-Jam Lock Nut 2"/>
        <s v="Thin-Jam Lock Nut 3"/>
        <s v="Thin-Jam Lock Nut 4"/>
        <s v="Thin-Jam Lock Nut 5"/>
        <s v="Thin-Jam Lock Nut 6"/>
        <s v="Thin-Jam Lock Nut 7"/>
        <s v="Thin-Jam Lock Nut 8"/>
        <s v="Thin-Jam Lock Nut 9"/>
        <s v="Top Tube"/>
        <s v="Touring End Caps"/>
        <s v="Touring Front Wheel"/>
        <s v="Touring Pedal"/>
        <s v="Touring Rear Wheel"/>
        <s v="Touring Rim"/>
        <s v="Touring Tire"/>
        <s v="Touring Tire Tube"/>
        <s v="Touring-1000 Blue, 46"/>
        <s v="Touring-1000 Blue, 50"/>
        <s v="Touring-1000 Blue, 54"/>
        <s v="Touring-1000 Blue, 60"/>
        <s v="Touring-1000 Yellow, 46"/>
        <s v="Touring-1000 Yellow, 50"/>
        <s v="Touring-1000 Yellow, 54"/>
        <s v="Touring-1000 Yellow, 60"/>
        <s v="Touring-2000 Blue, 46"/>
        <s v="Touring-2000 Blue, 50"/>
        <s v="Touring-2000 Blue, 54"/>
        <s v="Touring-2000 Blue, 60"/>
        <s v="Touring-3000 Blue, 44"/>
        <s v="Touring-3000 Blue, 50"/>
        <s v="Touring-3000 Blue, 54"/>
        <s v="Touring-3000 Blue, 58"/>
        <s v="Touring-3000 Blue, 62"/>
        <s v="Touring-3000 Yellow, 44"/>
        <s v="Touring-3000 Yellow, 50"/>
        <s v="Touring-3000 Yellow, 54"/>
        <s v="Touring-3000 Yellow, 58"/>
        <s v="Touring-3000 Yellow, 62"/>
        <s v="Touring-Panniers, Large"/>
        <s v="Water Bottle - 30 oz."/>
        <s v="Women's Mountain Shorts, L"/>
        <s v="Women's Mountain Shorts, M"/>
        <s v="Women's Mountain Shorts, S"/>
        <s v="Women's Tights, L"/>
        <s v="Women's Tights, M"/>
        <s v="Women's Tights, S"/>
      </sharedItems>
    </cacheField>
    <cacheField name="[tbl_kpi].[HighRiskFlag].[HighRiskFlag]" caption="HighRiskFlag" numFmtId="0" hierarchy="11" level="1">
      <sharedItems containsSemiMixedTypes="0" containsNonDate="0" containsString="0"/>
    </cacheField>
    <cacheField name="[Measures].[Average of AccuracyPct]" caption="Average of AccuracyPct" numFmtId="0" hierarchy="23" level="32767"/>
  </cacheFields>
  <cacheHierarchies count="31">
    <cacheHierarchy uniqueName="[tbl_inventory].[ProductID]" caption="ProductID" attribute="1" defaultMemberUniqueName="[tbl_inventory].[ProductID].[All]" allUniqueName="[tbl_inventory].[ProductID].[All]" dimensionUniqueName="[tbl_inventory]" displayFolder="" count="0" memberValueDatatype="20" unbalanced="0"/>
    <cacheHierarchy uniqueName="[tbl_inventory].[LocationID]" caption="LocationID" attribute="1" defaultMemberUniqueName="[tbl_inventory].[LocationID].[All]" allUniqueName="[tbl_inventory].[LocationID].[All]" dimensionUniqueName="[tbl_inventory]" displayFolder="" count="0" memberValueDatatype="130" unbalanced="0"/>
    <cacheHierarchy uniqueName="[tbl_inventory].[Quantity]" caption="Quantity" attribute="1" defaultMemberUniqueName="[tbl_inventory].[Quantity].[All]" allUniqueName="[tbl_inventory].[Quantity].[All]" dimensionUniqueName="[tbl_inventory]" displayFolder="" count="0" memberValueDatatype="20" unbalanced="0"/>
    <cacheHierarchy uniqueName="[tbl_kpi].[ProductID]" caption="ProductID" attribute="1" defaultMemberUniqueName="[tbl_kpi].[ProductID].[All]" allUniqueName="[tbl_kpi].[ProductID].[All]" dimensionUniqueName="[tbl_kpi]" displayFolder="" count="0" memberValueDatatype="20" unbalanced="0"/>
    <cacheHierarchy uniqueName="[tbl_kpi].[LocationID]" caption="LocationID" attribute="1" defaultMemberUniqueName="[tbl_kpi].[LocationID].[All]" allUniqueName="[tbl_kpi].[LocationID].[All]" dimensionUniqueName="[tbl_kpi]" displayFolder="" count="0" memberValueDatatype="20" unbalanced="0"/>
    <cacheHierarchy uniqueName="[tbl_kpi].[LocationName]" caption="LocationName" attribute="1" defaultMemberUniqueName="[tbl_kpi].[LocationName].[All]" allUniqueName="[tbl_kpi].[LocationName].[All]" dimensionUniqueName="[tbl_kpi]" displayFolder="" count="0" memberValueDatatype="130" unbalanced="0"/>
    <cacheHierarchy uniqueName="[tbl_kpi].[OnHandQty]" caption="OnHandQty" attribute="1" defaultMemberUniqueName="[tbl_kpi].[OnHandQty].[All]" allUniqueName="[tbl_kpi].[OnHandQty].[All]" dimensionUniqueName="[tbl_kpi]" displayFolder="" count="0" memberValueDatatype="20" unbalanced="0"/>
    <cacheHierarchy uniqueName="[tbl_kpi].[CountedQty]" caption="CountedQty" attribute="1" defaultMemberUniqueName="[tbl_kpi].[CountedQty].[All]" allUniqueName="[tbl_kpi].[CountedQty].[All]" dimensionUniqueName="[tbl_kpi]" displayFolder="" count="0" memberValueDatatype="20" unbalanced="0"/>
    <cacheHierarchy uniqueName="[tbl_kpi].[ExpectedQty]" caption="ExpectedQty" attribute="1" defaultMemberUniqueName="[tbl_kpi].[ExpectedQty].[All]" allUniqueName="[tbl_kpi].[ExpectedQty].[All]" dimensionUniqueName="[tbl_kpi]" displayFolder="" count="0" memberValueDatatype="20" unbalanced="0"/>
    <cacheHierarchy uniqueName="[tbl_kpi].[VarianceQty]" caption="VarianceQty" attribute="1" defaultMemberUniqueName="[tbl_kpi].[VarianceQty].[All]" allUniqueName="[tbl_kpi].[VarianceQty].[All]" dimensionUniqueName="[tbl_kpi]" displayFolder="" count="0" memberValueDatatype="20" unbalanced="0"/>
    <cacheHierarchy uniqueName="[tbl_kpi].[AccuracyPct]" caption="AccuracyPct" attribute="1" defaultMemberUniqueName="[tbl_kpi].[AccuracyPct].[All]" allUniqueName="[tbl_kpi].[AccuracyPct].[All]" dimensionUniqueName="[tbl_kpi]" displayFolder="" count="0" memberValueDatatype="5" unbalanced="0"/>
    <cacheHierarchy uniqueName="[tbl_kpi].[HighRiskFlag]" caption="HighRiskFlag" attribute="1" defaultMemberUniqueName="[tbl_kpi].[HighRiskFlag].[All]" allUniqueName="[tbl_kpi].[HighRiskFlag].[All]" dimensionUniqueName="[tbl_kpi]" displayFolder="" count="2" memberValueDatatype="130" unbalanced="0">
      <fieldsUsage count="2">
        <fieldUsage x="-1"/>
        <fieldUsage x="1"/>
      </fieldsUsage>
    </cacheHierarchy>
    <cacheHierarchy uniqueName="[tbl_location].[LocationID]" caption="LocationID" attribute="1" defaultMemberUniqueName="[tbl_location].[LocationID].[All]" allUniqueName="[tbl_location].[LocationID].[All]" dimensionUniqueName="[tbl_location]" displayFolder="" count="0" memberValueDatatype="20" unbalanced="0"/>
    <cacheHierarchy uniqueName="[tbl_location].[LocationName]" caption="LocationName" attribute="1" defaultMemberUniqueName="[tbl_location].[LocationName].[All]" allUniqueName="[tbl_location].[LocationName].[All]" dimensionUniqueName="[tbl_location]" displayFolder="" count="0" memberValueDatatype="130" unbalanced="0"/>
    <cacheHierarchy uniqueName="[tbl_product].[ProductID]" caption="ProductID" attribute="1" defaultMemberUniqueName="[tbl_product].[ProductID].[All]" allUniqueName="[tbl_product].[ProductID].[All]" dimensionUniqueName="[tbl_product]" displayFolder="" count="0" memberValueDatatype="20" unbalanced="0"/>
    <cacheHierarchy uniqueName="[tbl_product].[ProductName]" caption="ProductName" attribute="1" defaultMemberUniqueName="[tbl_product].[ProductName].[All]" allUniqueName="[tbl_product].[ProductName].[All]" dimensionUniqueName="[tbl_product]" displayFolder="" count="2" memberValueDatatype="130" unbalanced="0">
      <fieldsUsage count="2">
        <fieldUsage x="-1"/>
        <fieldUsage x="0"/>
      </fieldsUsage>
    </cacheHierarchy>
    <cacheHierarchy uniqueName="[tbl_product].[ProductNumber]" caption="ProductNumber" attribute="1" defaultMemberUniqueName="[tbl_product].[ProductNumber].[All]" allUniqueName="[tbl_product].[ProductNumber].[All]" dimensionUniqueName="[tbl_product]" displayFolder="" count="0" memberValueDatatype="130" unbalanced="0"/>
    <cacheHierarchy uniqueName="[Measures].[__XL_Count tbl_kpi]" caption="__XL_Count tbl_kpi" measure="1" displayFolder="" measureGroup="tbl_kpi" count="0" hidden="1"/>
    <cacheHierarchy uniqueName="[Measures].[__XL_Count tbl_location]" caption="__XL_Count tbl_location" measure="1" displayFolder="" measureGroup="tbl_location" count="0" hidden="1"/>
    <cacheHierarchy uniqueName="[Measures].[__XL_Count tbl_product]" caption="__XL_Count tbl_product" measure="1" displayFolder="" measureGroup="tbl_product" count="0" hidden="1"/>
    <cacheHierarchy uniqueName="[Measures].[__XL_Count tbl_inventory]" caption="__XL_Count tbl_inventory" measure="1" displayFolder="" measureGroup="tbl_inventory" count="0" hidden="1"/>
    <cacheHierarchy uniqueName="[Measures].[__No measures defined]" caption="__No measures defined" measure="1" displayFolder="" count="0" hidden="1"/>
    <cacheHierarchy uniqueName="[Measures].[Sum of AccuracyPct]" caption="Sum of AccuracyPct" measure="1" displayFolder="" measureGroup="tbl_kpi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AccuracyPct]" caption="Average of AccuracyPct" measure="1" displayFolder="" measureGroup="tbl_kpi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HighRiskFlag]" caption="Count of HighRiskFlag" measure="1" displayFolder="" measureGroup="tbl_kpi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ProductID]" caption="Sum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Count of ProductID]" caption="Count of ProductID" measure="1" displayFolder="" measureGroup="tbl_product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ProductID 2]" caption="Sum of ProductID 2" measure="1" displayFolder="" measureGroup="tbl_kp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Count of ProductID 2]" caption="Count of ProductID 2" measure="1" displayFolder="" measureGroup="tbl_kpi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ProductID 3]" caption="Sum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ProductID 3]" caption="Count of ProductID 3" measure="1" displayFolder="" measureGroup="tbl_inventory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5">
    <dimension measure="1" name="Measures" uniqueName="[Measures]" caption="Measures"/>
    <dimension name="tbl_inventory" uniqueName="[tbl_inventory]" caption="tbl_inventory"/>
    <dimension name="tbl_kpi" uniqueName="[tbl_kpi]" caption="tbl_kpi"/>
    <dimension name="tbl_location" uniqueName="[tbl_location]" caption="tbl_location"/>
    <dimension name="tbl_product" uniqueName="[tbl_product]" caption="tbl_product"/>
  </dimensions>
  <measureGroups count="4">
    <measureGroup name="tbl_inventory" caption="tbl_inventory"/>
    <measureGroup name="tbl_kpi" caption="tbl_kpi"/>
    <measureGroup name="tbl_location" caption="tbl_location"/>
    <measureGroup name="tbl_product" caption="tbl_product"/>
  </measureGroups>
  <maps count="4">
    <map measureGroup="0" dimension="1"/>
    <map measureGroup="1" dimension="2"/>
    <map measureGroup="2" dimension="3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69">
  <r>
    <n v="1"/>
    <n v="1"/>
    <n v="408"/>
    <n v="420"/>
    <n v="408"/>
    <n v="12"/>
    <n v="0.97058823529411764"/>
    <s v="Y"/>
  </r>
  <r>
    <n v="1"/>
    <n v="6"/>
    <n v="324"/>
    <n v="315"/>
    <n v="324"/>
    <n v="-9"/>
    <n v="0.97222222222222221"/>
    <s v="Y"/>
  </r>
  <r>
    <n v="1"/>
    <n v="50"/>
    <n v="353"/>
    <n v="353"/>
    <n v="353"/>
    <n v="0"/>
    <n v="1"/>
    <s v="N"/>
  </r>
  <r>
    <n v="2"/>
    <n v="1"/>
    <n v="427"/>
    <n v="428"/>
    <n v="427"/>
    <n v="1"/>
    <n v="0.99765807962529274"/>
    <s v="N"/>
  </r>
  <r>
    <n v="2"/>
    <n v="6"/>
    <n v="318"/>
    <n v="316"/>
    <n v="318"/>
    <n v="-2"/>
    <n v="0.99371069182389937"/>
    <s v="N"/>
  </r>
  <r>
    <n v="2"/>
    <n v="50"/>
    <n v="364"/>
    <n v="354"/>
    <n v="364"/>
    <n v="-10"/>
    <n v="0.97252747252747251"/>
    <s v="Y"/>
  </r>
  <r>
    <n v="3"/>
    <n v="1"/>
    <n v="585"/>
    <n v="586"/>
    <n v="585"/>
    <n v="1"/>
    <n v="0.9982905982905983"/>
    <s v="N"/>
  </r>
  <r>
    <n v="3"/>
    <n v="6"/>
    <n v="443"/>
    <n v="431"/>
    <n v="443"/>
    <n v="-12"/>
    <n v="0.97291196388261847"/>
    <s v="Y"/>
  </r>
  <r>
    <n v="3"/>
    <n v="50"/>
    <n v="324"/>
    <n v="333"/>
    <n v="324"/>
    <n v="9"/>
    <n v="0.97222222222222221"/>
    <s v="Y"/>
  </r>
  <r>
    <n v="4"/>
    <n v="1"/>
    <n v="512"/>
    <n v="497"/>
    <n v="512"/>
    <n v="-15"/>
    <n v="0.970703125"/>
    <s v="Y"/>
  </r>
  <r>
    <n v="4"/>
    <n v="6"/>
    <n v="422"/>
    <n v="429"/>
    <n v="422"/>
    <n v="7"/>
    <n v="0.98341232227488151"/>
    <s v="N"/>
  </r>
  <r>
    <n v="4"/>
    <n v="50"/>
    <n v="388"/>
    <n v="378"/>
    <n v="388"/>
    <n v="-10"/>
    <n v="0.97422680412371132"/>
    <s v="Y"/>
  </r>
  <r>
    <n v="316"/>
    <n v="5"/>
    <n v="532"/>
    <n v="527"/>
    <n v="532"/>
    <n v="-5"/>
    <n v="0.99060150375939848"/>
    <s v="N"/>
  </r>
  <r>
    <n v="316"/>
    <n v="10"/>
    <n v="388"/>
    <n v="395"/>
    <n v="388"/>
    <n v="7"/>
    <n v="0.98195876288659789"/>
    <s v="N"/>
  </r>
  <r>
    <n v="316"/>
    <n v="50"/>
    <n v="441"/>
    <n v="447"/>
    <n v="441"/>
    <n v="6"/>
    <n v="0.98639455782312924"/>
    <s v="N"/>
  </r>
  <r>
    <n v="317"/>
    <n v="1"/>
    <n v="283"/>
    <n v="286"/>
    <n v="283"/>
    <n v="3"/>
    <n v="0.98939929328621912"/>
    <s v="N"/>
  </r>
  <r>
    <n v="317"/>
    <n v="5"/>
    <n v="158"/>
    <n v="162"/>
    <n v="158"/>
    <n v="4"/>
    <n v="0.97468354430379744"/>
    <s v="Y"/>
  </r>
  <r>
    <n v="317"/>
    <n v="50"/>
    <n v="152"/>
    <n v="155"/>
    <n v="152"/>
    <n v="3"/>
    <n v="0.98026315789473684"/>
    <s v="N"/>
  </r>
  <r>
    <n v="318"/>
    <n v="1"/>
    <n v="136"/>
    <n v="139"/>
    <n v="136"/>
    <n v="3"/>
    <n v="0.9779411764705882"/>
    <s v="Y"/>
  </r>
  <r>
    <n v="318"/>
    <n v="5"/>
    <n v="171"/>
    <n v="172"/>
    <n v="171"/>
    <n v="1"/>
    <n v="0.99415204678362579"/>
    <s v="N"/>
  </r>
  <r>
    <n v="318"/>
    <n v="50"/>
    <n v="132"/>
    <n v="131"/>
    <n v="132"/>
    <n v="-1"/>
    <n v="0.99242424242424243"/>
    <s v="N"/>
  </r>
  <r>
    <n v="319"/>
    <n v="1"/>
    <n v="308"/>
    <n v="309"/>
    <n v="308"/>
    <n v="1"/>
    <n v="0.99675324675324672"/>
    <s v="N"/>
  </r>
  <r>
    <n v="319"/>
    <n v="5"/>
    <n v="184"/>
    <n v="188"/>
    <n v="184"/>
    <n v="4"/>
    <n v="0.97826086956521741"/>
    <s v="Y"/>
  </r>
  <r>
    <n v="319"/>
    <n v="50"/>
    <n v="305"/>
    <n v="300"/>
    <n v="305"/>
    <n v="-5"/>
    <n v="0.98360655737704916"/>
    <s v="N"/>
  </r>
  <r>
    <n v="320"/>
    <n v="1"/>
    <n v="481"/>
    <n v="481"/>
    <n v="481"/>
    <n v="0"/>
    <n v="1"/>
    <s v="N"/>
  </r>
  <r>
    <n v="320"/>
    <n v="5"/>
    <n v="372"/>
    <n v="362"/>
    <n v="372"/>
    <n v="-10"/>
    <n v="0.9731182795698925"/>
    <s v="Y"/>
  </r>
  <r>
    <n v="320"/>
    <n v="50"/>
    <n v="283"/>
    <n v="285"/>
    <n v="283"/>
    <n v="2"/>
    <n v="0.99293286219081267"/>
    <s v="N"/>
  </r>
  <r>
    <n v="321"/>
    <n v="1"/>
    <n v="569"/>
    <n v="554"/>
    <n v="569"/>
    <n v="-15"/>
    <n v="0.97363796133567659"/>
    <s v="Y"/>
  </r>
  <r>
    <n v="321"/>
    <n v="5"/>
    <n v="540"/>
    <n v="538"/>
    <n v="540"/>
    <n v="-2"/>
    <n v="0.99629629629629635"/>
    <s v="N"/>
  </r>
  <r>
    <n v="321"/>
    <n v="50"/>
    <n v="641"/>
    <n v="624"/>
    <n v="641"/>
    <n v="-17"/>
    <n v="0.97347893915756634"/>
    <s v="Y"/>
  </r>
  <r>
    <n v="322"/>
    <n v="1"/>
    <n v="622"/>
    <n v="615"/>
    <n v="622"/>
    <n v="-7"/>
    <n v="0.9887459807073955"/>
    <s v="N"/>
  </r>
  <r>
    <n v="322"/>
    <n v="5"/>
    <n v="587"/>
    <n v="598"/>
    <n v="587"/>
    <n v="11"/>
    <n v="0.98126064735945484"/>
    <s v="N"/>
  </r>
  <r>
    <n v="322"/>
    <n v="50"/>
    <n v="475"/>
    <n v="476"/>
    <n v="475"/>
    <n v="1"/>
    <n v="0.99789473684210528"/>
    <s v="N"/>
  </r>
  <r>
    <n v="323"/>
    <n v="1"/>
    <n v="603"/>
    <n v="596"/>
    <n v="603"/>
    <n v="-7"/>
    <n v="0.988391376451078"/>
    <s v="N"/>
  </r>
  <r>
    <n v="323"/>
    <n v="5"/>
    <n v="568"/>
    <n v="568"/>
    <n v="568"/>
    <n v="0"/>
    <n v="1"/>
    <s v="N"/>
  </r>
  <r>
    <n v="323"/>
    <n v="50"/>
    <n v="513"/>
    <n v="520"/>
    <n v="513"/>
    <n v="7"/>
    <n v="0.9863547758284601"/>
    <s v="N"/>
  </r>
  <r>
    <n v="324"/>
    <n v="1"/>
    <n v="585"/>
    <n v="585"/>
    <n v="585"/>
    <n v="0"/>
    <n v="1"/>
    <s v="N"/>
  </r>
  <r>
    <n v="324"/>
    <n v="5"/>
    <n v="568"/>
    <n v="583"/>
    <n v="568"/>
    <n v="15"/>
    <n v="0.97359154929577463"/>
    <s v="Y"/>
  </r>
  <r>
    <n v="324"/>
    <n v="50"/>
    <n v="476"/>
    <n v="469"/>
    <n v="476"/>
    <n v="-7"/>
    <n v="0.98529411764705888"/>
    <s v="N"/>
  </r>
  <r>
    <n v="325"/>
    <n v="1"/>
    <n v="569"/>
    <n v="554"/>
    <n v="569"/>
    <n v="-15"/>
    <n v="0.97363796133567659"/>
    <s v="Y"/>
  </r>
  <r>
    <n v="325"/>
    <n v="6"/>
    <n v="540"/>
    <n v="554"/>
    <n v="540"/>
    <n v="14"/>
    <n v="0.97407407407407409"/>
    <s v="Y"/>
  </r>
  <r>
    <n v="325"/>
    <n v="60"/>
    <n v="641"/>
    <n v="626"/>
    <n v="641"/>
    <n v="-15"/>
    <n v="0.97659906396255847"/>
    <s v="Y"/>
  </r>
  <r>
    <n v="326"/>
    <n v="1"/>
    <n v="622"/>
    <n v="629"/>
    <n v="622"/>
    <n v="7"/>
    <n v="0.9887459807073955"/>
    <s v="N"/>
  </r>
  <r>
    <n v="326"/>
    <n v="6"/>
    <n v="587"/>
    <n v="600"/>
    <n v="587"/>
    <n v="13"/>
    <n v="0.97785349233390118"/>
    <s v="Y"/>
  </r>
  <r>
    <n v="326"/>
    <n v="60"/>
    <n v="475"/>
    <n v="463"/>
    <n v="475"/>
    <n v="-12"/>
    <n v="0.97473684210526312"/>
    <s v="Y"/>
  </r>
  <r>
    <n v="327"/>
    <n v="5"/>
    <n v="408"/>
    <n v="408"/>
    <n v="408"/>
    <n v="0"/>
    <n v="1"/>
    <s v="N"/>
  </r>
  <r>
    <n v="327"/>
    <n v="10"/>
    <n v="443"/>
    <n v="449"/>
    <n v="443"/>
    <n v="6"/>
    <n v="0.98645598194130923"/>
    <s v="N"/>
  </r>
  <r>
    <n v="327"/>
    <n v="50"/>
    <n v="513"/>
    <n v="515"/>
    <n v="513"/>
    <n v="2"/>
    <n v="0.99610136452241715"/>
    <s v="N"/>
  </r>
  <r>
    <n v="328"/>
    <n v="5"/>
    <n v="568"/>
    <n v="576"/>
    <n v="568"/>
    <n v="8"/>
    <n v="0.9859154929577465"/>
    <s v="N"/>
  </r>
  <r>
    <n v="328"/>
    <n v="10"/>
    <n v="585"/>
    <n v="575"/>
    <n v="585"/>
    <n v="-10"/>
    <n v="0.98290598290598286"/>
    <s v="N"/>
  </r>
  <r>
    <n v="328"/>
    <n v="50"/>
    <n v="476"/>
    <n v="467"/>
    <n v="476"/>
    <n v="-9"/>
    <n v="0.98109243697478987"/>
    <s v="N"/>
  </r>
  <r>
    <n v="329"/>
    <n v="5"/>
    <n v="558"/>
    <n v="566"/>
    <n v="558"/>
    <n v="8"/>
    <n v="0.98566308243727596"/>
    <s v="N"/>
  </r>
  <r>
    <n v="329"/>
    <n v="10"/>
    <n v="576"/>
    <n v="593"/>
    <n v="576"/>
    <n v="17"/>
    <n v="0.97048611111111116"/>
    <s v="Y"/>
  </r>
  <r>
    <n v="329"/>
    <n v="50"/>
    <n v="467"/>
    <n v="467"/>
    <n v="467"/>
    <n v="0"/>
    <n v="1"/>
    <s v="N"/>
  </r>
  <r>
    <n v="330"/>
    <n v="5"/>
    <n v="548"/>
    <n v="553"/>
    <n v="548"/>
    <n v="5"/>
    <n v="0.99087591240875916"/>
    <s v="N"/>
  </r>
  <r>
    <n v="330"/>
    <n v="10"/>
    <n v="566"/>
    <n v="558"/>
    <n v="566"/>
    <n v="-8"/>
    <n v="0.98586572438162545"/>
    <s v="N"/>
  </r>
  <r>
    <n v="330"/>
    <n v="50"/>
    <n v="457"/>
    <n v="468"/>
    <n v="457"/>
    <n v="11"/>
    <n v="0.97592997811816196"/>
    <s v="Y"/>
  </r>
  <r>
    <n v="331"/>
    <n v="5"/>
    <n v="574"/>
    <n v="565"/>
    <n v="574"/>
    <n v="-9"/>
    <n v="0.98432055749128922"/>
    <s v="N"/>
  </r>
  <r>
    <n v="331"/>
    <n v="10"/>
    <n v="441"/>
    <n v="447"/>
    <n v="441"/>
    <n v="6"/>
    <n v="0.98639455782312924"/>
    <s v="N"/>
  </r>
  <r>
    <n v="331"/>
    <n v="50"/>
    <n v="390"/>
    <n v="384"/>
    <n v="390"/>
    <n v="-6"/>
    <n v="0.98461538461538467"/>
    <s v="N"/>
  </r>
  <r>
    <n v="332"/>
    <n v="5"/>
    <n v="344"/>
    <n v="334"/>
    <n v="344"/>
    <n v="-10"/>
    <n v="0.97093023255813948"/>
    <s v="Y"/>
  </r>
  <r>
    <n v="332"/>
    <n v="10"/>
    <n v="233"/>
    <n v="234"/>
    <n v="233"/>
    <n v="1"/>
    <n v="0.99570815450643779"/>
    <s v="N"/>
  </r>
  <r>
    <n v="332"/>
    <n v="50"/>
    <n v="267"/>
    <n v="273"/>
    <n v="267"/>
    <n v="6"/>
    <n v="0.97752808988764039"/>
    <s v="Y"/>
  </r>
  <r>
    <n v="341"/>
    <n v="1"/>
    <n v="372"/>
    <n v="362"/>
    <n v="372"/>
    <n v="-10"/>
    <n v="0.9731182795698925"/>
    <s v="Y"/>
  </r>
  <r>
    <n v="341"/>
    <n v="50"/>
    <n v="392"/>
    <n v="384"/>
    <n v="392"/>
    <n v="-8"/>
    <n v="0.97959183673469385"/>
    <s v="Y"/>
  </r>
  <r>
    <n v="341"/>
    <n v="60"/>
    <n v="339"/>
    <n v="344"/>
    <n v="339"/>
    <n v="5"/>
    <n v="0.98525073746312686"/>
    <s v="N"/>
  </r>
  <r>
    <n v="342"/>
    <n v="1"/>
    <n v="369"/>
    <n v="376"/>
    <n v="369"/>
    <n v="7"/>
    <n v="0.98102981029810299"/>
    <s v="N"/>
  </r>
  <r>
    <n v="342"/>
    <n v="50"/>
    <n v="388"/>
    <n v="386"/>
    <n v="388"/>
    <n v="-2"/>
    <n v="0.99484536082474229"/>
    <s v="N"/>
  </r>
  <r>
    <n v="342"/>
    <n v="60"/>
    <n v="336"/>
    <n v="331"/>
    <n v="336"/>
    <n v="-5"/>
    <n v="0.98511904761904767"/>
    <s v="N"/>
  </r>
  <r>
    <n v="343"/>
    <n v="1"/>
    <n v="568"/>
    <n v="578"/>
    <n v="568"/>
    <n v="10"/>
    <n v="0.98239436619718312"/>
    <s v="N"/>
  </r>
  <r>
    <n v="343"/>
    <n v="50"/>
    <n v="606"/>
    <n v="621"/>
    <n v="606"/>
    <n v="15"/>
    <n v="0.97524752475247523"/>
    <s v="Y"/>
  </r>
  <r>
    <n v="343"/>
    <n v="60"/>
    <n v="499"/>
    <n v="494"/>
    <n v="499"/>
    <n v="-5"/>
    <n v="0.98997995991983967"/>
    <s v="N"/>
  </r>
  <r>
    <n v="344"/>
    <n v="1"/>
    <n v="358"/>
    <n v="353"/>
    <n v="358"/>
    <n v="-5"/>
    <n v="0.98603351955307261"/>
    <s v="N"/>
  </r>
  <r>
    <n v="344"/>
    <n v="50"/>
    <n v="332"/>
    <n v="326"/>
    <n v="332"/>
    <n v="-6"/>
    <n v="0.98192771084337349"/>
    <s v="N"/>
  </r>
  <r>
    <n v="344"/>
    <n v="60"/>
    <n v="382"/>
    <n v="376"/>
    <n v="382"/>
    <n v="-6"/>
    <n v="0.98429319371727753"/>
    <s v="N"/>
  </r>
  <r>
    <n v="345"/>
    <n v="1"/>
    <n v="321"/>
    <n v="315"/>
    <n v="321"/>
    <n v="-6"/>
    <n v="0.98130841121495327"/>
    <s v="N"/>
  </r>
  <r>
    <n v="345"/>
    <n v="50"/>
    <n v="315"/>
    <n v="315"/>
    <n v="315"/>
    <n v="0"/>
    <n v="1"/>
    <s v="N"/>
  </r>
  <r>
    <n v="345"/>
    <n v="60"/>
    <n v="300"/>
    <n v="301"/>
    <n v="300"/>
    <n v="1"/>
    <n v="0.9966666666666667"/>
    <s v="N"/>
  </r>
  <r>
    <n v="346"/>
    <n v="1"/>
    <n v="585"/>
    <n v="595"/>
    <n v="585"/>
    <n v="10"/>
    <n v="0.98290598290598286"/>
    <s v="N"/>
  </r>
  <r>
    <n v="346"/>
    <n v="50"/>
    <n v="476"/>
    <n v="465"/>
    <n v="476"/>
    <n v="-11"/>
    <n v="0.97689075630252098"/>
    <s v="Y"/>
  </r>
  <r>
    <n v="346"/>
    <n v="60"/>
    <n v="641"/>
    <n v="656"/>
    <n v="641"/>
    <n v="15"/>
    <n v="0.97659906396255847"/>
    <s v="Y"/>
  </r>
  <r>
    <n v="347"/>
    <n v="1"/>
    <n v="318"/>
    <n v="315"/>
    <n v="318"/>
    <n v="-3"/>
    <n v="0.99056603773584906"/>
    <s v="N"/>
  </r>
  <r>
    <n v="347"/>
    <n v="50"/>
    <n v="246"/>
    <n v="244"/>
    <n v="246"/>
    <n v="-2"/>
    <n v="0.99186991869918695"/>
    <s v="N"/>
  </r>
  <r>
    <n v="347"/>
    <n v="60"/>
    <n v="332"/>
    <n v="336"/>
    <n v="332"/>
    <n v="4"/>
    <n v="0.98795180722891562"/>
    <s v="N"/>
  </r>
  <r>
    <n v="348"/>
    <n v="1"/>
    <n v="323"/>
    <n v="315"/>
    <n v="323"/>
    <n v="-8"/>
    <n v="0.97523219814241491"/>
    <s v="Y"/>
  </r>
  <r>
    <n v="348"/>
    <n v="50"/>
    <n v="251"/>
    <n v="255"/>
    <n v="251"/>
    <n v="4"/>
    <n v="0.98406374501992033"/>
    <s v="N"/>
  </r>
  <r>
    <n v="348"/>
    <n v="60"/>
    <n v="337"/>
    <n v="336"/>
    <n v="337"/>
    <n v="-1"/>
    <n v="0.9970326409495549"/>
    <s v="N"/>
  </r>
  <r>
    <n v="349"/>
    <n v="1"/>
    <n v="328"/>
    <n v="338"/>
    <n v="328"/>
    <n v="10"/>
    <n v="0.96951219512195119"/>
    <s v="Y"/>
  </r>
  <r>
    <n v="349"/>
    <n v="50"/>
    <n v="256"/>
    <n v="255"/>
    <n v="256"/>
    <n v="-1"/>
    <n v="0.99609375"/>
    <s v="N"/>
  </r>
  <r>
    <n v="349"/>
    <n v="60"/>
    <n v="342"/>
    <n v="332"/>
    <n v="342"/>
    <n v="-10"/>
    <n v="0.97076023391812871"/>
    <s v="Y"/>
  </r>
  <r>
    <n v="350"/>
    <n v="5"/>
    <n v="622"/>
    <n v="617"/>
    <n v="622"/>
    <n v="-5"/>
    <n v="0.99196141479099675"/>
    <s v="N"/>
  </r>
  <r>
    <n v="350"/>
    <n v="10"/>
    <n v="406"/>
    <n v="417"/>
    <n v="406"/>
    <n v="11"/>
    <n v="0.97290640394088668"/>
    <s v="Y"/>
  </r>
  <r>
    <n v="350"/>
    <n v="50"/>
    <n v="313"/>
    <n v="321"/>
    <n v="313"/>
    <n v="8"/>
    <n v="0.9744408945686901"/>
    <s v="Y"/>
  </r>
  <r>
    <n v="351"/>
    <n v="5"/>
    <n v="179"/>
    <n v="175"/>
    <n v="179"/>
    <n v="-4"/>
    <n v="0.97765363128491622"/>
    <s v="Y"/>
  </r>
  <r>
    <n v="351"/>
    <n v="10"/>
    <n v="281"/>
    <n v="275"/>
    <n v="281"/>
    <n v="-6"/>
    <n v="0.97864768683274017"/>
    <s v="Y"/>
  </r>
  <r>
    <n v="351"/>
    <n v="50"/>
    <n v="145"/>
    <n v="145"/>
    <n v="145"/>
    <n v="0"/>
    <n v="1"/>
    <s v="N"/>
  </r>
  <r>
    <n v="352"/>
    <n v="5"/>
    <n v="300"/>
    <n v="292"/>
    <n v="300"/>
    <n v="-8"/>
    <n v="0.97333333333333338"/>
    <s v="Y"/>
  </r>
  <r>
    <n v="352"/>
    <n v="10"/>
    <n v="278"/>
    <n v="277"/>
    <n v="278"/>
    <n v="-1"/>
    <n v="0.99640287769784175"/>
    <s v="N"/>
  </r>
  <r>
    <n v="352"/>
    <n v="50"/>
    <n v="195"/>
    <n v="196"/>
    <n v="195"/>
    <n v="1"/>
    <n v="0.99487179487179489"/>
    <s v="N"/>
  </r>
  <r>
    <n v="355"/>
    <n v="1"/>
    <n v="276"/>
    <n v="282"/>
    <n v="276"/>
    <n v="6"/>
    <n v="0.97826086956521741"/>
    <s v="Y"/>
  </r>
  <r>
    <n v="355"/>
    <n v="6"/>
    <n v="257"/>
    <n v="253"/>
    <n v="257"/>
    <n v="-4"/>
    <n v="0.98443579766536971"/>
    <s v="N"/>
  </r>
  <r>
    <n v="355"/>
    <n v="50"/>
    <n v="289"/>
    <n v="293"/>
    <n v="289"/>
    <n v="4"/>
    <n v="0.98615916955017302"/>
    <s v="N"/>
  </r>
  <r>
    <n v="356"/>
    <n v="1"/>
    <n v="262"/>
    <n v="262"/>
    <n v="262"/>
    <n v="0"/>
    <n v="1"/>
    <s v="N"/>
  </r>
  <r>
    <n v="356"/>
    <n v="6"/>
    <n v="243"/>
    <n v="238"/>
    <n v="243"/>
    <n v="-5"/>
    <n v="0.97942386831275718"/>
    <s v="Y"/>
  </r>
  <r>
    <n v="356"/>
    <n v="50"/>
    <n v="275"/>
    <n v="283"/>
    <n v="275"/>
    <n v="8"/>
    <n v="0.97090909090909094"/>
    <s v="Y"/>
  </r>
  <r>
    <n v="357"/>
    <n v="1"/>
    <n v="248"/>
    <n v="253"/>
    <n v="248"/>
    <n v="5"/>
    <n v="0.97983870967741937"/>
    <s v="Y"/>
  </r>
  <r>
    <n v="357"/>
    <n v="6"/>
    <n v="228"/>
    <n v="231"/>
    <n v="228"/>
    <n v="3"/>
    <n v="0.98684210526315785"/>
    <s v="N"/>
  </r>
  <r>
    <n v="357"/>
    <n v="50"/>
    <n v="260"/>
    <n v="264"/>
    <n v="260"/>
    <n v="4"/>
    <n v="0.98461538461538467"/>
    <s v="N"/>
  </r>
  <r>
    <n v="358"/>
    <n v="1"/>
    <n v="233"/>
    <n v="227"/>
    <n v="233"/>
    <n v="-6"/>
    <n v="0.97424892703862664"/>
    <s v="Y"/>
  </r>
  <r>
    <n v="358"/>
    <n v="6"/>
    <n v="214"/>
    <n v="215"/>
    <n v="214"/>
    <n v="1"/>
    <n v="0.99532710280373837"/>
    <s v="N"/>
  </r>
  <r>
    <n v="358"/>
    <n v="50"/>
    <n v="246"/>
    <n v="242"/>
    <n v="246"/>
    <n v="-4"/>
    <n v="0.98373983739837401"/>
    <s v="N"/>
  </r>
  <r>
    <n v="359"/>
    <n v="1"/>
    <n v="369"/>
    <n v="372"/>
    <n v="369"/>
    <n v="3"/>
    <n v="0.99186991869918695"/>
    <s v="N"/>
  </r>
  <r>
    <n v="359"/>
    <n v="6"/>
    <n v="360"/>
    <n v="350"/>
    <n v="360"/>
    <n v="-10"/>
    <n v="0.97222222222222221"/>
    <s v="Y"/>
  </r>
  <r>
    <n v="359"/>
    <n v="50"/>
    <n v="374"/>
    <n v="378"/>
    <n v="374"/>
    <n v="4"/>
    <n v="0.98930481283422456"/>
    <s v="N"/>
  </r>
  <r>
    <n v="360"/>
    <n v="1"/>
    <n v="363"/>
    <n v="356"/>
    <n v="363"/>
    <n v="-7"/>
    <n v="0.9807162534435262"/>
    <s v="N"/>
  </r>
  <r>
    <n v="360"/>
    <n v="6"/>
    <n v="353"/>
    <n v="350"/>
    <n v="353"/>
    <n v="-3"/>
    <n v="0.99150141643059486"/>
    <s v="N"/>
  </r>
  <r>
    <n v="360"/>
    <n v="50"/>
    <n v="368"/>
    <n v="362"/>
    <n v="368"/>
    <n v="-6"/>
    <n v="0.98369565217391308"/>
    <s v="N"/>
  </r>
  <r>
    <n v="361"/>
    <n v="1"/>
    <n v="499"/>
    <n v="511"/>
    <n v="499"/>
    <n v="12"/>
    <n v="0.97595190380761521"/>
    <s v="Y"/>
  </r>
  <r>
    <n v="361"/>
    <n v="6"/>
    <n v="601"/>
    <n v="614"/>
    <n v="601"/>
    <n v="13"/>
    <n v="0.97836938435940102"/>
    <s v="Y"/>
  </r>
  <r>
    <n v="361"/>
    <n v="50"/>
    <n v="531"/>
    <n v="542"/>
    <n v="531"/>
    <n v="11"/>
    <n v="0.9792843691148776"/>
    <s v="Y"/>
  </r>
  <r>
    <n v="362"/>
    <n v="1"/>
    <n v="377"/>
    <n v="380"/>
    <n v="377"/>
    <n v="3"/>
    <n v="0.99204244031830235"/>
    <s v="N"/>
  </r>
  <r>
    <n v="362"/>
    <n v="6"/>
    <n v="315"/>
    <n v="321"/>
    <n v="315"/>
    <n v="6"/>
    <n v="0.98095238095238091"/>
    <s v="N"/>
  </r>
  <r>
    <n v="362"/>
    <n v="50"/>
    <n v="334"/>
    <n v="338"/>
    <n v="334"/>
    <n v="4"/>
    <n v="0.9880239520958084"/>
    <s v="N"/>
  </r>
  <r>
    <n v="363"/>
    <n v="1"/>
    <n v="499"/>
    <n v="511"/>
    <n v="499"/>
    <n v="12"/>
    <n v="0.97595190380761521"/>
    <s v="Y"/>
  </r>
  <r>
    <n v="363"/>
    <n v="6"/>
    <n v="643"/>
    <n v="626"/>
    <n v="643"/>
    <n v="-17"/>
    <n v="0.97356143079315705"/>
    <s v="Y"/>
  </r>
  <r>
    <n v="363"/>
    <n v="50"/>
    <n v="619"/>
    <n v="636"/>
    <n v="619"/>
    <n v="17"/>
    <n v="0.97253634894991925"/>
    <s v="Y"/>
  </r>
  <r>
    <n v="364"/>
    <n v="1"/>
    <n v="368"/>
    <n v="377"/>
    <n v="368"/>
    <n v="9"/>
    <n v="0.97554347826086951"/>
    <s v="Y"/>
  </r>
  <r>
    <n v="364"/>
    <n v="6"/>
    <n v="358"/>
    <n v="363"/>
    <n v="358"/>
    <n v="5"/>
    <n v="0.98603351955307261"/>
    <s v="N"/>
  </r>
  <r>
    <n v="364"/>
    <n v="50"/>
    <n v="326"/>
    <n v="329"/>
    <n v="326"/>
    <n v="3"/>
    <n v="0.99079754601226999"/>
    <s v="N"/>
  </r>
  <r>
    <n v="365"/>
    <n v="1"/>
    <n v="411"/>
    <n v="406"/>
    <n v="411"/>
    <n v="-5"/>
    <n v="0.98783454987834551"/>
    <s v="N"/>
  </r>
  <r>
    <n v="365"/>
    <n v="6"/>
    <n v="691"/>
    <n v="686"/>
    <n v="691"/>
    <n v="-5"/>
    <n v="0.99276410998552822"/>
    <s v="N"/>
  </r>
  <r>
    <n v="365"/>
    <n v="50"/>
    <n v="619"/>
    <n v="629"/>
    <n v="619"/>
    <n v="10"/>
    <n v="0.98384491114701134"/>
    <s v="N"/>
  </r>
  <r>
    <n v="366"/>
    <n v="1"/>
    <n v="318"/>
    <n v="320"/>
    <n v="318"/>
    <n v="2"/>
    <n v="0.99371069182389937"/>
    <s v="N"/>
  </r>
  <r>
    <n v="366"/>
    <n v="6"/>
    <n v="299"/>
    <n v="304"/>
    <n v="299"/>
    <n v="5"/>
    <n v="0.98327759197324416"/>
    <s v="N"/>
  </r>
  <r>
    <n v="366"/>
    <n v="50"/>
    <n v="412"/>
    <n v="419"/>
    <n v="412"/>
    <n v="7"/>
    <n v="0.98300970873786409"/>
    <s v="N"/>
  </r>
  <r>
    <n v="367"/>
    <n v="1"/>
    <n v="643"/>
    <n v="624"/>
    <n v="643"/>
    <n v="-19"/>
    <n v="0.97045101088646968"/>
    <s v="Y"/>
  </r>
  <r>
    <n v="367"/>
    <n v="6"/>
    <n v="689"/>
    <n v="695"/>
    <n v="689"/>
    <n v="6"/>
    <n v="0.99129172714078373"/>
    <s v="N"/>
  </r>
  <r>
    <n v="367"/>
    <n v="50"/>
    <n v="569"/>
    <n v="563"/>
    <n v="569"/>
    <n v="-6"/>
    <n v="0.98945518453427062"/>
    <s v="N"/>
  </r>
  <r>
    <n v="368"/>
    <n v="1"/>
    <n v="369"/>
    <n v="366"/>
    <n v="369"/>
    <n v="-3"/>
    <n v="0.99186991869918695"/>
    <s v="N"/>
  </r>
  <r>
    <n v="368"/>
    <n v="6"/>
    <n v="360"/>
    <n v="367"/>
    <n v="360"/>
    <n v="7"/>
    <n v="0.98055555555555551"/>
    <s v="N"/>
  </r>
  <r>
    <n v="368"/>
    <n v="50"/>
    <n v="374"/>
    <n v="373"/>
    <n v="374"/>
    <n v="-1"/>
    <n v="0.99732620320855614"/>
    <s v="N"/>
  </r>
  <r>
    <n v="369"/>
    <n v="1"/>
    <n v="363"/>
    <n v="373"/>
    <n v="363"/>
    <n v="10"/>
    <n v="0.97245179063360876"/>
    <s v="Y"/>
  </r>
  <r>
    <n v="369"/>
    <n v="6"/>
    <n v="353"/>
    <n v="357"/>
    <n v="353"/>
    <n v="4"/>
    <n v="0.98866855524079322"/>
    <s v="N"/>
  </r>
  <r>
    <n v="369"/>
    <n v="50"/>
    <n v="368"/>
    <n v="374"/>
    <n v="368"/>
    <n v="6"/>
    <n v="0.98369565217391308"/>
    <s v="N"/>
  </r>
  <r>
    <n v="370"/>
    <n v="1"/>
    <n v="252"/>
    <n v="258"/>
    <n v="252"/>
    <n v="6"/>
    <n v="0.97619047619047616"/>
    <s v="Y"/>
  </r>
  <r>
    <n v="370"/>
    <n v="6"/>
    <n v="155"/>
    <n v="151"/>
    <n v="155"/>
    <n v="-4"/>
    <n v="0.97419354838709682"/>
    <s v="Y"/>
  </r>
  <r>
    <n v="370"/>
    <n v="50"/>
    <n v="476"/>
    <n v="464"/>
    <n v="476"/>
    <n v="-12"/>
    <n v="0.97478991596638653"/>
    <s v="Y"/>
  </r>
  <r>
    <n v="371"/>
    <n v="1"/>
    <n v="585"/>
    <n v="589"/>
    <n v="585"/>
    <n v="4"/>
    <n v="0.99316239316239319"/>
    <s v="N"/>
  </r>
  <r>
    <n v="371"/>
    <n v="6"/>
    <n v="649"/>
    <n v="650"/>
    <n v="649"/>
    <n v="1"/>
    <n v="0.99845916795069334"/>
    <s v="N"/>
  </r>
  <r>
    <n v="371"/>
    <n v="50"/>
    <n v="547"/>
    <n v="535"/>
    <n v="547"/>
    <n v="-12"/>
    <n v="0.9780621572212066"/>
    <s v="Y"/>
  </r>
  <r>
    <n v="372"/>
    <n v="1"/>
    <n v="281"/>
    <n v="277"/>
    <n v="281"/>
    <n v="-4"/>
    <n v="0.98576512455516019"/>
    <s v="N"/>
  </r>
  <r>
    <n v="372"/>
    <n v="6"/>
    <n v="344"/>
    <n v="348"/>
    <n v="344"/>
    <n v="4"/>
    <n v="0.98837209302325579"/>
    <s v="N"/>
  </r>
  <r>
    <n v="372"/>
    <n v="50"/>
    <n v="272"/>
    <n v="269"/>
    <n v="272"/>
    <n v="-3"/>
    <n v="0.98897058823529416"/>
    <s v="N"/>
  </r>
  <r>
    <n v="373"/>
    <n v="1"/>
    <n v="284"/>
    <n v="287"/>
    <n v="284"/>
    <n v="3"/>
    <n v="0.98943661971830987"/>
    <s v="N"/>
  </r>
  <r>
    <n v="373"/>
    <n v="6"/>
    <n v="347"/>
    <n v="339"/>
    <n v="347"/>
    <n v="-8"/>
    <n v="0.97694524495677237"/>
    <s v="Y"/>
  </r>
  <r>
    <n v="373"/>
    <n v="50"/>
    <n v="275"/>
    <n v="273"/>
    <n v="275"/>
    <n v="-2"/>
    <n v="0.99272727272727268"/>
    <s v="N"/>
  </r>
  <r>
    <n v="374"/>
    <n v="1"/>
    <n v="288"/>
    <n v="286"/>
    <n v="288"/>
    <n v="-2"/>
    <n v="0.99305555555555558"/>
    <s v="N"/>
  </r>
  <r>
    <n v="374"/>
    <n v="6"/>
    <n v="350"/>
    <n v="344"/>
    <n v="350"/>
    <n v="-6"/>
    <n v="0.98285714285714287"/>
    <s v="N"/>
  </r>
  <r>
    <n v="374"/>
    <n v="50"/>
    <n v="278"/>
    <n v="280"/>
    <n v="278"/>
    <n v="2"/>
    <n v="0.9928057553956835"/>
    <s v="N"/>
  </r>
  <r>
    <n v="375"/>
    <n v="1"/>
    <n v="291"/>
    <n v="284"/>
    <n v="291"/>
    <n v="-7"/>
    <n v="0.97594501718213056"/>
    <s v="Y"/>
  </r>
  <r>
    <n v="375"/>
    <n v="6"/>
    <n v="353"/>
    <n v="354"/>
    <n v="353"/>
    <n v="1"/>
    <n v="0.99716713881019825"/>
    <s v="N"/>
  </r>
  <r>
    <n v="375"/>
    <n v="50"/>
    <n v="281"/>
    <n v="280"/>
    <n v="281"/>
    <n v="-1"/>
    <n v="0.99644128113879005"/>
    <s v="N"/>
  </r>
  <r>
    <n v="376"/>
    <n v="1"/>
    <n v="585"/>
    <n v="601"/>
    <n v="585"/>
    <n v="16"/>
    <n v="0.97264957264957264"/>
    <s v="Y"/>
  </r>
  <r>
    <n v="376"/>
    <n v="6"/>
    <n v="649"/>
    <n v="638"/>
    <n v="649"/>
    <n v="-11"/>
    <n v="0.98305084745762716"/>
    <s v="N"/>
  </r>
  <r>
    <n v="376"/>
    <n v="50"/>
    <n v="547"/>
    <n v="541"/>
    <n v="547"/>
    <n v="-6"/>
    <n v="0.98903107861060324"/>
    <s v="N"/>
  </r>
  <r>
    <n v="377"/>
    <n v="1"/>
    <n v="249"/>
    <n v="247"/>
    <n v="249"/>
    <n v="-2"/>
    <n v="0.99196787148594379"/>
    <s v="N"/>
  </r>
  <r>
    <n v="377"/>
    <n v="6"/>
    <n v="299"/>
    <n v="306"/>
    <n v="299"/>
    <n v="7"/>
    <n v="0.97658862876254182"/>
    <s v="Y"/>
  </r>
  <r>
    <n v="377"/>
    <n v="50"/>
    <n v="393"/>
    <n v="389"/>
    <n v="393"/>
    <n v="-4"/>
    <n v="0.98982188295165396"/>
    <s v="N"/>
  </r>
  <r>
    <n v="378"/>
    <n v="1"/>
    <n v="244"/>
    <n v="247"/>
    <n v="244"/>
    <n v="3"/>
    <n v="0.98770491803278693"/>
    <s v="N"/>
  </r>
  <r>
    <n v="378"/>
    <n v="6"/>
    <n v="294"/>
    <n v="293"/>
    <n v="294"/>
    <n v="-1"/>
    <n v="0.99659863945578231"/>
    <s v="N"/>
  </r>
  <r>
    <n v="378"/>
    <n v="50"/>
    <n v="388"/>
    <n v="396"/>
    <n v="388"/>
    <n v="8"/>
    <n v="0.97938144329896903"/>
    <s v="Y"/>
  </r>
  <r>
    <n v="379"/>
    <n v="1"/>
    <n v="323"/>
    <n v="315"/>
    <n v="323"/>
    <n v="-8"/>
    <n v="0.97523219814241491"/>
    <s v="Y"/>
  </r>
  <r>
    <n v="379"/>
    <n v="6"/>
    <n v="897"/>
    <n v="897"/>
    <n v="897"/>
    <n v="0"/>
    <n v="1"/>
    <s v="N"/>
  </r>
  <r>
    <n v="379"/>
    <n v="50"/>
    <n v="691"/>
    <n v="681"/>
    <n v="691"/>
    <n v="-10"/>
    <n v="0.98552821997105644"/>
    <s v="N"/>
  </r>
  <r>
    <n v="380"/>
    <n v="1"/>
    <n v="156"/>
    <n v="155"/>
    <n v="156"/>
    <n v="-1"/>
    <n v="0.99358974358974361"/>
    <s v="N"/>
  </r>
  <r>
    <n v="380"/>
    <n v="6"/>
    <n v="264"/>
    <n v="267"/>
    <n v="264"/>
    <n v="3"/>
    <n v="0.98863636363636365"/>
    <s v="N"/>
  </r>
  <r>
    <n v="380"/>
    <n v="50"/>
    <n v="350"/>
    <n v="346"/>
    <n v="350"/>
    <n v="-4"/>
    <n v="0.98857142857142855"/>
    <s v="N"/>
  </r>
  <r>
    <n v="381"/>
    <n v="1"/>
    <n v="163"/>
    <n v="161"/>
    <n v="163"/>
    <n v="-2"/>
    <n v="0.98773006134969321"/>
    <s v="N"/>
  </r>
  <r>
    <n v="381"/>
    <n v="6"/>
    <n v="270"/>
    <n v="277"/>
    <n v="270"/>
    <n v="7"/>
    <n v="0.97407407407407409"/>
    <s v="Y"/>
  </r>
  <r>
    <n v="381"/>
    <n v="50"/>
    <n v="356"/>
    <n v="365"/>
    <n v="356"/>
    <n v="9"/>
    <n v="0.9747191011235955"/>
    <s v="Y"/>
  </r>
  <r>
    <n v="382"/>
    <n v="1"/>
    <n v="169"/>
    <n v="173"/>
    <n v="169"/>
    <n v="4"/>
    <n v="0.97633136094674555"/>
    <s v="Y"/>
  </r>
  <r>
    <n v="382"/>
    <n v="6"/>
    <n v="276"/>
    <n v="281"/>
    <n v="276"/>
    <n v="5"/>
    <n v="0.98188405797101452"/>
    <s v="N"/>
  </r>
  <r>
    <n v="382"/>
    <n v="50"/>
    <n v="363"/>
    <n v="354"/>
    <n v="363"/>
    <n v="-9"/>
    <n v="0.97520661157024791"/>
    <s v="Y"/>
  </r>
  <r>
    <n v="383"/>
    <n v="1"/>
    <n v="587"/>
    <n v="596"/>
    <n v="587"/>
    <n v="9"/>
    <n v="0.98466780238500851"/>
    <s v="N"/>
  </r>
  <r>
    <n v="383"/>
    <n v="6"/>
    <n v="676"/>
    <n v="672"/>
    <n v="676"/>
    <n v="-4"/>
    <n v="0.99408284023668636"/>
    <s v="N"/>
  </r>
  <r>
    <n v="383"/>
    <n v="50"/>
    <n v="638"/>
    <n v="627"/>
    <n v="638"/>
    <n v="-11"/>
    <n v="0.98275862068965514"/>
    <s v="N"/>
  </r>
  <r>
    <n v="384"/>
    <n v="1"/>
    <n v="299"/>
    <n v="303"/>
    <n v="299"/>
    <n v="4"/>
    <n v="0.98662207357859533"/>
    <s v="N"/>
  </r>
  <r>
    <n v="384"/>
    <n v="6"/>
    <n v="217"/>
    <n v="218"/>
    <n v="217"/>
    <n v="1"/>
    <n v="0.99539170506912444"/>
    <s v="N"/>
  </r>
  <r>
    <n v="384"/>
    <n v="50"/>
    <n v="304"/>
    <n v="307"/>
    <n v="304"/>
    <n v="3"/>
    <n v="0.99013157894736847"/>
    <s v="N"/>
  </r>
  <r>
    <n v="385"/>
    <n v="1"/>
    <n v="619"/>
    <n v="612"/>
    <n v="619"/>
    <n v="-7"/>
    <n v="0.98869143780290791"/>
    <s v="N"/>
  </r>
  <r>
    <n v="385"/>
    <n v="6"/>
    <n v="526"/>
    <n v="515"/>
    <n v="526"/>
    <n v="-11"/>
    <n v="0.97908745247148288"/>
    <s v="Y"/>
  </r>
  <r>
    <n v="385"/>
    <n v="50"/>
    <n v="633"/>
    <n v="642"/>
    <n v="633"/>
    <n v="9"/>
    <n v="0.98578199052132698"/>
    <s v="N"/>
  </r>
  <r>
    <n v="386"/>
    <n v="1"/>
    <n v="148"/>
    <n v="147"/>
    <n v="148"/>
    <n v="-1"/>
    <n v="0.9932432432432432"/>
    <s v="N"/>
  </r>
  <r>
    <n v="386"/>
    <n v="6"/>
    <n v="192"/>
    <n v="195"/>
    <n v="192"/>
    <n v="3"/>
    <n v="0.984375"/>
    <s v="N"/>
  </r>
  <r>
    <n v="386"/>
    <n v="50"/>
    <n v="385"/>
    <n v="395"/>
    <n v="385"/>
    <n v="10"/>
    <n v="0.97402597402597402"/>
    <s v="Y"/>
  </r>
  <r>
    <n v="387"/>
    <n v="1"/>
    <n v="524"/>
    <n v="521"/>
    <n v="524"/>
    <n v="-3"/>
    <n v="0.99427480916030531"/>
    <s v="N"/>
  </r>
  <r>
    <n v="387"/>
    <n v="6"/>
    <n v="710"/>
    <n v="708"/>
    <n v="710"/>
    <n v="-2"/>
    <n v="0.9971830985915493"/>
    <s v="N"/>
  </r>
  <r>
    <n v="387"/>
    <n v="50"/>
    <n v="654"/>
    <n v="652"/>
    <n v="654"/>
    <n v="-2"/>
    <n v="0.99694189602446481"/>
    <s v="N"/>
  </r>
  <r>
    <n v="388"/>
    <n v="1"/>
    <n v="292"/>
    <n v="284"/>
    <n v="292"/>
    <n v="-8"/>
    <n v="0.9726027397260274"/>
    <s v="Y"/>
  </r>
  <r>
    <n v="388"/>
    <n v="6"/>
    <n v="140"/>
    <n v="139"/>
    <n v="140"/>
    <n v="-1"/>
    <n v="0.99285714285714288"/>
    <s v="N"/>
  </r>
  <r>
    <n v="388"/>
    <n v="50"/>
    <n v="366"/>
    <n v="374"/>
    <n v="366"/>
    <n v="8"/>
    <n v="0.97814207650273222"/>
    <s v="Y"/>
  </r>
  <r>
    <n v="389"/>
    <n v="1"/>
    <n v="657"/>
    <n v="643"/>
    <n v="657"/>
    <n v="-14"/>
    <n v="0.9786910197869102"/>
    <s v="Y"/>
  </r>
  <r>
    <n v="389"/>
    <n v="6"/>
    <n v="691"/>
    <n v="685"/>
    <n v="691"/>
    <n v="-6"/>
    <n v="0.99131693198263382"/>
    <s v="N"/>
  </r>
  <r>
    <n v="389"/>
    <n v="50"/>
    <n v="460"/>
    <n v="469"/>
    <n v="460"/>
    <n v="9"/>
    <n v="0.98043478260869565"/>
    <s v="N"/>
  </r>
  <r>
    <n v="390"/>
    <n v="1"/>
    <n v="292"/>
    <n v="292"/>
    <n v="292"/>
    <n v="0"/>
    <n v="1"/>
    <s v="N"/>
  </r>
  <r>
    <n v="390"/>
    <n v="6"/>
    <n v="140"/>
    <n v="139"/>
    <n v="140"/>
    <n v="-1"/>
    <n v="0.99285714285714288"/>
    <s v="N"/>
  </r>
  <r>
    <n v="390"/>
    <n v="50"/>
    <n v="366"/>
    <n v="374"/>
    <n v="366"/>
    <n v="8"/>
    <n v="0.97814207650273222"/>
    <s v="Y"/>
  </r>
  <r>
    <n v="391"/>
    <n v="1"/>
    <n v="296"/>
    <n v="287"/>
    <n v="296"/>
    <n v="-9"/>
    <n v="0.96959459459459463"/>
    <s v="Y"/>
  </r>
  <r>
    <n v="391"/>
    <n v="6"/>
    <n v="144"/>
    <n v="143"/>
    <n v="144"/>
    <n v="-1"/>
    <n v="0.99305555555555558"/>
    <s v="N"/>
  </r>
  <r>
    <n v="391"/>
    <n v="50"/>
    <n v="369"/>
    <n v="373"/>
    <n v="369"/>
    <n v="4"/>
    <n v="0.98915989159891604"/>
    <s v="N"/>
  </r>
  <r>
    <n v="392"/>
    <n v="1"/>
    <n v="299"/>
    <n v="304"/>
    <n v="299"/>
    <n v="5"/>
    <n v="0.98327759197324416"/>
    <s v="N"/>
  </r>
  <r>
    <n v="392"/>
    <n v="6"/>
    <n v="147"/>
    <n v="149"/>
    <n v="147"/>
    <n v="2"/>
    <n v="0.98639455782312924"/>
    <s v="N"/>
  </r>
  <r>
    <n v="392"/>
    <n v="50"/>
    <n v="372"/>
    <n v="366"/>
    <n v="372"/>
    <n v="-6"/>
    <n v="0.9838709677419355"/>
    <s v="N"/>
  </r>
  <r>
    <n v="393"/>
    <n v="1"/>
    <n v="603"/>
    <n v="610"/>
    <n v="603"/>
    <n v="7"/>
    <n v="0.988391376451078"/>
    <s v="N"/>
  </r>
  <r>
    <n v="393"/>
    <n v="6"/>
    <n v="780"/>
    <n v="772"/>
    <n v="780"/>
    <n v="-8"/>
    <n v="0.98974358974358978"/>
    <s v="N"/>
  </r>
  <r>
    <n v="393"/>
    <n v="50"/>
    <n v="497"/>
    <n v="485"/>
    <n v="497"/>
    <n v="-12"/>
    <n v="0.9758551307847082"/>
    <s v="Y"/>
  </r>
  <r>
    <n v="394"/>
    <n v="1"/>
    <n v="302"/>
    <n v="304"/>
    <n v="302"/>
    <n v="2"/>
    <n v="0.99337748344370858"/>
    <s v="N"/>
  </r>
  <r>
    <n v="394"/>
    <n v="6"/>
    <n v="150"/>
    <n v="148"/>
    <n v="150"/>
    <n v="-2"/>
    <n v="0.98666666666666669"/>
    <s v="N"/>
  </r>
  <r>
    <n v="394"/>
    <n v="50"/>
    <n v="459"/>
    <n v="468"/>
    <n v="459"/>
    <n v="9"/>
    <n v="0.98039215686274506"/>
    <s v="N"/>
  </r>
  <r>
    <n v="395"/>
    <n v="1"/>
    <n v="281"/>
    <n v="273"/>
    <n v="281"/>
    <n v="-8"/>
    <n v="0.97153024911032027"/>
    <s v="Y"/>
  </r>
  <r>
    <n v="395"/>
    <n v="6"/>
    <n v="355"/>
    <n v="365"/>
    <n v="355"/>
    <n v="10"/>
    <n v="0.971830985915493"/>
    <s v="Y"/>
  </r>
  <r>
    <n v="395"/>
    <n v="50"/>
    <n v="148"/>
    <n v="150"/>
    <n v="148"/>
    <n v="2"/>
    <n v="0.98648648648648651"/>
    <s v="N"/>
  </r>
  <r>
    <n v="396"/>
    <n v="1"/>
    <n v="636"/>
    <n v="654"/>
    <n v="636"/>
    <n v="18"/>
    <n v="0.97169811320754718"/>
    <s v="Y"/>
  </r>
  <r>
    <n v="396"/>
    <n v="6"/>
    <n v="585"/>
    <n v="600"/>
    <n v="585"/>
    <n v="15"/>
    <n v="0.97435897435897434"/>
    <s v="Y"/>
  </r>
  <r>
    <n v="396"/>
    <n v="50"/>
    <n v="603"/>
    <n v="605"/>
    <n v="603"/>
    <n v="2"/>
    <n v="0.99668325041459371"/>
    <s v="N"/>
  </r>
  <r>
    <n v="397"/>
    <n v="1"/>
    <n v="339"/>
    <n v="335"/>
    <n v="339"/>
    <n v="-4"/>
    <n v="0.98820058997050153"/>
    <s v="N"/>
  </r>
  <r>
    <n v="397"/>
    <n v="6"/>
    <n v="550"/>
    <n v="539"/>
    <n v="550"/>
    <n v="-11"/>
    <n v="0.98"/>
    <s v="N"/>
  </r>
  <r>
    <n v="397"/>
    <n v="50"/>
    <n v="763"/>
    <n v="754"/>
    <n v="763"/>
    <n v="-9"/>
    <n v="0.98820445609436436"/>
    <s v="N"/>
  </r>
  <r>
    <n v="398"/>
    <n v="5"/>
    <n v="372"/>
    <n v="380"/>
    <n v="372"/>
    <n v="8"/>
    <n v="0.978494623655914"/>
    <s v="Y"/>
  </r>
  <r>
    <n v="398"/>
    <n v="10"/>
    <n v="404"/>
    <n v="402"/>
    <n v="404"/>
    <n v="-2"/>
    <n v="0.99504950495049505"/>
    <s v="N"/>
  </r>
  <r>
    <n v="398"/>
    <n v="20"/>
    <n v="550"/>
    <n v="565"/>
    <n v="550"/>
    <n v="15"/>
    <n v="0.97272727272727277"/>
    <s v="Y"/>
  </r>
  <r>
    <n v="399"/>
    <n v="5"/>
    <n v="366"/>
    <n v="357"/>
    <n v="366"/>
    <n v="-9"/>
    <n v="0.97540983606557374"/>
    <s v="Y"/>
  </r>
  <r>
    <n v="399"/>
    <n v="10"/>
    <n v="398"/>
    <n v="408"/>
    <n v="398"/>
    <n v="10"/>
    <n v="0.97487437185929648"/>
    <s v="Y"/>
  </r>
  <r>
    <n v="399"/>
    <n v="20"/>
    <n v="544"/>
    <n v="557"/>
    <n v="544"/>
    <n v="13"/>
    <n v="0.97610294117647056"/>
    <s v="Y"/>
  </r>
  <r>
    <n v="400"/>
    <n v="5"/>
    <n v="260"/>
    <n v="255"/>
    <n v="260"/>
    <n v="-5"/>
    <n v="0.98076923076923073"/>
    <s v="N"/>
  </r>
  <r>
    <n v="400"/>
    <n v="10"/>
    <n v="246"/>
    <n v="249"/>
    <n v="246"/>
    <n v="3"/>
    <n v="0.98780487804878048"/>
    <s v="N"/>
  </r>
  <r>
    <n v="400"/>
    <n v="20"/>
    <n v="284"/>
    <n v="280"/>
    <n v="284"/>
    <n v="-4"/>
    <n v="0.9859154929577465"/>
    <s v="N"/>
  </r>
  <r>
    <n v="401"/>
    <n v="5"/>
    <n v="283"/>
    <n v="283"/>
    <n v="283"/>
    <n v="0"/>
    <n v="1"/>
    <s v="N"/>
  </r>
  <r>
    <n v="401"/>
    <n v="10"/>
    <n v="212"/>
    <n v="217"/>
    <n v="212"/>
    <n v="5"/>
    <n v="0.97641509433962259"/>
    <s v="Y"/>
  </r>
  <r>
    <n v="401"/>
    <n v="20"/>
    <n v="302"/>
    <n v="309"/>
    <n v="302"/>
    <n v="7"/>
    <n v="0.97682119205298013"/>
    <s v="Y"/>
  </r>
  <r>
    <n v="402"/>
    <n v="1"/>
    <n v="316"/>
    <n v="321"/>
    <n v="316"/>
    <n v="5"/>
    <n v="0.98417721518987344"/>
    <s v="N"/>
  </r>
  <r>
    <n v="402"/>
    <n v="6"/>
    <n v="353"/>
    <n v="347"/>
    <n v="353"/>
    <n v="-6"/>
    <n v="0.98300283286118983"/>
    <s v="N"/>
  </r>
  <r>
    <n v="402"/>
    <n v="50"/>
    <n v="321"/>
    <n v="320"/>
    <n v="321"/>
    <n v="-1"/>
    <n v="0.99688473520249221"/>
    <s v="N"/>
  </r>
  <r>
    <n v="403"/>
    <n v="1"/>
    <n v="313"/>
    <n v="311"/>
    <n v="313"/>
    <n v="-2"/>
    <n v="0.99361022364217255"/>
    <s v="N"/>
  </r>
  <r>
    <n v="403"/>
    <n v="6"/>
    <n v="350"/>
    <n v="360"/>
    <n v="350"/>
    <n v="10"/>
    <n v="0.97142857142857142"/>
    <s v="Y"/>
  </r>
  <r>
    <n v="403"/>
    <n v="50"/>
    <n v="318"/>
    <n v="314"/>
    <n v="318"/>
    <n v="-4"/>
    <n v="0.98742138364779874"/>
    <s v="N"/>
  </r>
  <r>
    <n v="404"/>
    <n v="1"/>
    <n v="310"/>
    <n v="304"/>
    <n v="310"/>
    <n v="-6"/>
    <n v="0.98064516129032253"/>
    <s v="N"/>
  </r>
  <r>
    <n v="404"/>
    <n v="6"/>
    <n v="347"/>
    <n v="340"/>
    <n v="347"/>
    <n v="-7"/>
    <n v="0.97982708933717577"/>
    <s v="Y"/>
  </r>
  <r>
    <n v="404"/>
    <n v="50"/>
    <n v="315"/>
    <n v="306"/>
    <n v="315"/>
    <n v="-9"/>
    <n v="0.97142857142857142"/>
    <s v="Y"/>
  </r>
  <r>
    <n v="405"/>
    <n v="1"/>
    <n v="307"/>
    <n v="310"/>
    <n v="307"/>
    <n v="3"/>
    <n v="0.99022801302931596"/>
    <s v="N"/>
  </r>
  <r>
    <n v="405"/>
    <n v="6"/>
    <n v="344"/>
    <n v="342"/>
    <n v="344"/>
    <n v="-2"/>
    <n v="0.9941860465116279"/>
    <s v="N"/>
  </r>
  <r>
    <n v="405"/>
    <n v="50"/>
    <n v="312"/>
    <n v="321"/>
    <n v="312"/>
    <n v="9"/>
    <n v="0.97115384615384615"/>
    <s v="Y"/>
  </r>
  <r>
    <n v="406"/>
    <n v="1"/>
    <n v="304"/>
    <n v="306"/>
    <n v="304"/>
    <n v="2"/>
    <n v="0.99342105263157898"/>
    <s v="N"/>
  </r>
  <r>
    <n v="406"/>
    <n v="6"/>
    <n v="340"/>
    <n v="341"/>
    <n v="340"/>
    <n v="1"/>
    <n v="0.99705882352941178"/>
    <s v="N"/>
  </r>
  <r>
    <n v="406"/>
    <n v="50"/>
    <n v="308"/>
    <n v="312"/>
    <n v="308"/>
    <n v="4"/>
    <n v="0.98701298701298701"/>
    <s v="N"/>
  </r>
  <r>
    <n v="407"/>
    <n v="1"/>
    <n v="460"/>
    <n v="458"/>
    <n v="460"/>
    <n v="-2"/>
    <n v="0.9956521739130435"/>
    <s v="N"/>
  </r>
  <r>
    <n v="407"/>
    <n v="6"/>
    <n v="587"/>
    <n v="588"/>
    <n v="587"/>
    <n v="1"/>
    <n v="0.99829642248722317"/>
    <s v="N"/>
  </r>
  <r>
    <n v="407"/>
    <n v="50"/>
    <n v="625"/>
    <n v="627"/>
    <n v="625"/>
    <n v="2"/>
    <n v="0.99680000000000002"/>
    <s v="N"/>
  </r>
  <r>
    <n v="408"/>
    <n v="1"/>
    <n v="417"/>
    <n v="426"/>
    <n v="417"/>
    <n v="9"/>
    <n v="0.97841726618705038"/>
    <s v="Y"/>
  </r>
  <r>
    <n v="408"/>
    <n v="6"/>
    <n v="344"/>
    <n v="342"/>
    <n v="344"/>
    <n v="-2"/>
    <n v="0.9941860465116279"/>
    <s v="N"/>
  </r>
  <r>
    <n v="408"/>
    <n v="50"/>
    <n v="296"/>
    <n v="294"/>
    <n v="296"/>
    <n v="-2"/>
    <n v="0.9932432432432432"/>
    <s v="N"/>
  </r>
  <r>
    <n v="409"/>
    <n v="1"/>
    <n v="414"/>
    <n v="416"/>
    <n v="414"/>
    <n v="2"/>
    <n v="0.99516908212560384"/>
    <s v="N"/>
  </r>
  <r>
    <n v="409"/>
    <n v="6"/>
    <n v="340"/>
    <n v="342"/>
    <n v="340"/>
    <n v="2"/>
    <n v="0.99411764705882355"/>
    <s v="N"/>
  </r>
  <r>
    <n v="409"/>
    <n v="50"/>
    <n v="292"/>
    <n v="291"/>
    <n v="292"/>
    <n v="-1"/>
    <n v="0.99657534246575341"/>
    <s v="N"/>
  </r>
  <r>
    <n v="410"/>
    <n v="1"/>
    <n v="411"/>
    <n v="418"/>
    <n v="411"/>
    <n v="7"/>
    <n v="0.98296836982968372"/>
    <s v="N"/>
  </r>
  <r>
    <n v="410"/>
    <n v="6"/>
    <n v="337"/>
    <n v="343"/>
    <n v="337"/>
    <n v="6"/>
    <n v="0.98219584569732943"/>
    <s v="N"/>
  </r>
  <r>
    <n v="410"/>
    <n v="50"/>
    <n v="289"/>
    <n v="295"/>
    <n v="289"/>
    <n v="6"/>
    <n v="0.97923875432525953"/>
    <s v="Y"/>
  </r>
  <r>
    <n v="411"/>
    <n v="1"/>
    <n v="603"/>
    <n v="616"/>
    <n v="603"/>
    <n v="13"/>
    <n v="0.97844112769485903"/>
    <s v="Y"/>
  </r>
  <r>
    <n v="411"/>
    <n v="6"/>
    <n v="552"/>
    <n v="545"/>
    <n v="552"/>
    <n v="-7"/>
    <n v="0.9873188405797102"/>
    <s v="N"/>
  </r>
  <r>
    <n v="411"/>
    <n v="50"/>
    <n v="459"/>
    <n v="460"/>
    <n v="459"/>
    <n v="1"/>
    <n v="0.9978213507625272"/>
    <s v="N"/>
  </r>
  <r>
    <n v="412"/>
    <n v="1"/>
    <n v="299"/>
    <n v="307"/>
    <n v="299"/>
    <n v="8"/>
    <n v="0.97324414715719065"/>
    <s v="Y"/>
  </r>
  <r>
    <n v="412"/>
    <n v="6"/>
    <n v="321"/>
    <n v="331"/>
    <n v="321"/>
    <n v="10"/>
    <n v="0.96884735202492211"/>
    <s v="Y"/>
  </r>
  <r>
    <n v="412"/>
    <n v="50"/>
    <n v="156"/>
    <n v="153"/>
    <n v="156"/>
    <n v="-3"/>
    <n v="0.98076923076923073"/>
    <s v="N"/>
  </r>
  <r>
    <n v="413"/>
    <n v="1"/>
    <n v="641"/>
    <n v="636"/>
    <n v="641"/>
    <n v="-5"/>
    <n v="0.99219968798751945"/>
    <s v="N"/>
  </r>
  <r>
    <n v="413"/>
    <n v="6"/>
    <n v="603"/>
    <n v="600"/>
    <n v="603"/>
    <n v="-3"/>
    <n v="0.99502487562189057"/>
    <s v="N"/>
  </r>
  <r>
    <n v="413"/>
    <n v="50"/>
    <n v="459"/>
    <n v="467"/>
    <n v="459"/>
    <n v="8"/>
    <n v="0.98257080610021785"/>
    <s v="N"/>
  </r>
  <r>
    <n v="414"/>
    <n v="1"/>
    <n v="427"/>
    <n v="428"/>
    <n v="427"/>
    <n v="1"/>
    <n v="0.99765807962529274"/>
    <s v="N"/>
  </r>
  <r>
    <n v="414"/>
    <n v="6"/>
    <n v="321"/>
    <n v="313"/>
    <n v="321"/>
    <n v="-8"/>
    <n v="0.97507788161993769"/>
    <s v="Y"/>
  </r>
  <r>
    <n v="414"/>
    <n v="50"/>
    <n v="371"/>
    <n v="379"/>
    <n v="371"/>
    <n v="8"/>
    <n v="0.97843665768194066"/>
    <s v="Y"/>
  </r>
  <r>
    <n v="415"/>
    <n v="1"/>
    <n v="422"/>
    <n v="411"/>
    <n v="422"/>
    <n v="-11"/>
    <n v="0.97393364928909953"/>
    <s v="Y"/>
  </r>
  <r>
    <n v="415"/>
    <n v="6"/>
    <n v="316"/>
    <n v="321"/>
    <n v="316"/>
    <n v="5"/>
    <n v="0.98417721518987344"/>
    <s v="N"/>
  </r>
  <r>
    <n v="415"/>
    <n v="50"/>
    <n v="366"/>
    <n v="367"/>
    <n v="366"/>
    <n v="1"/>
    <n v="0.99726775956284153"/>
    <s v="N"/>
  </r>
  <r>
    <n v="416"/>
    <n v="1"/>
    <n v="417"/>
    <n v="406"/>
    <n v="417"/>
    <n v="-11"/>
    <n v="0.97362110311750605"/>
    <s v="Y"/>
  </r>
  <r>
    <n v="416"/>
    <n v="6"/>
    <n v="312"/>
    <n v="319"/>
    <n v="312"/>
    <n v="7"/>
    <n v="0.97756410256410253"/>
    <s v="Y"/>
  </r>
  <r>
    <n v="416"/>
    <n v="50"/>
    <n v="361"/>
    <n v="367"/>
    <n v="361"/>
    <n v="6"/>
    <n v="0.9833795013850416"/>
    <s v="N"/>
  </r>
  <r>
    <n v="417"/>
    <n v="1"/>
    <n v="572"/>
    <n v="555"/>
    <n v="572"/>
    <n v="-17"/>
    <n v="0.97027972027972031"/>
    <s v="Y"/>
  </r>
  <r>
    <n v="417"/>
    <n v="6"/>
    <n v="627"/>
    <n v="630"/>
    <n v="627"/>
    <n v="3"/>
    <n v="0.99521531100478466"/>
    <s v="N"/>
  </r>
  <r>
    <n v="417"/>
    <n v="50"/>
    <n v="516"/>
    <n v="508"/>
    <n v="516"/>
    <n v="-8"/>
    <n v="0.98449612403100772"/>
    <s v="N"/>
  </r>
  <r>
    <n v="418"/>
    <n v="1"/>
    <n v="248"/>
    <n v="252"/>
    <n v="248"/>
    <n v="4"/>
    <n v="0.9838709677419355"/>
    <s v="N"/>
  </r>
  <r>
    <n v="418"/>
    <n v="6"/>
    <n v="283"/>
    <n v="288"/>
    <n v="283"/>
    <n v="5"/>
    <n v="0.98233215547703179"/>
    <s v="N"/>
  </r>
  <r>
    <n v="418"/>
    <n v="50"/>
    <n v="388"/>
    <n v="378"/>
    <n v="388"/>
    <n v="-10"/>
    <n v="0.97422680412371132"/>
    <s v="Y"/>
  </r>
  <r>
    <n v="419"/>
    <n v="1"/>
    <n v="246"/>
    <n v="246"/>
    <n v="246"/>
    <n v="0"/>
    <n v="1"/>
    <s v="N"/>
  </r>
  <r>
    <n v="419"/>
    <n v="6"/>
    <n v="281"/>
    <n v="279"/>
    <n v="281"/>
    <n v="-2"/>
    <n v="0.99288256227758009"/>
    <s v="N"/>
  </r>
  <r>
    <n v="419"/>
    <n v="50"/>
    <n v="387"/>
    <n v="377"/>
    <n v="387"/>
    <n v="-10"/>
    <n v="0.97416020671834624"/>
    <s v="Y"/>
  </r>
  <r>
    <n v="420"/>
    <n v="1"/>
    <n v="244"/>
    <n v="249"/>
    <n v="244"/>
    <n v="5"/>
    <n v="0.97950819672131151"/>
    <s v="Y"/>
  </r>
  <r>
    <n v="420"/>
    <n v="6"/>
    <n v="280"/>
    <n v="280"/>
    <n v="280"/>
    <n v="0"/>
    <n v="1"/>
    <s v="N"/>
  </r>
  <r>
    <n v="420"/>
    <n v="50"/>
    <n v="385"/>
    <n v="377"/>
    <n v="385"/>
    <n v="-8"/>
    <n v="0.97922077922077921"/>
    <s v="Y"/>
  </r>
  <r>
    <n v="421"/>
    <n v="1"/>
    <n v="243"/>
    <n v="248"/>
    <n v="243"/>
    <n v="5"/>
    <n v="0.97942386831275718"/>
    <s v="Y"/>
  </r>
  <r>
    <n v="421"/>
    <n v="6"/>
    <n v="278"/>
    <n v="277"/>
    <n v="278"/>
    <n v="-1"/>
    <n v="0.99640287769784175"/>
    <s v="N"/>
  </r>
  <r>
    <n v="421"/>
    <n v="50"/>
    <n v="384"/>
    <n v="373"/>
    <n v="384"/>
    <n v="-11"/>
    <n v="0.97135416666666663"/>
    <s v="Y"/>
  </r>
  <r>
    <n v="422"/>
    <n v="1"/>
    <n v="620"/>
    <n v="613"/>
    <n v="620"/>
    <n v="-7"/>
    <n v="0.98870967741935489"/>
    <s v="N"/>
  </r>
  <r>
    <n v="422"/>
    <n v="6"/>
    <n v="515"/>
    <n v="525"/>
    <n v="515"/>
    <n v="10"/>
    <n v="0.98058252427184467"/>
    <s v="N"/>
  </r>
  <r>
    <n v="422"/>
    <n v="50"/>
    <n v="497"/>
    <n v="490"/>
    <n v="497"/>
    <n v="-7"/>
    <n v="0.9859154929577465"/>
    <s v="N"/>
  </r>
  <r>
    <n v="423"/>
    <n v="1"/>
    <n v="619"/>
    <n v="602"/>
    <n v="619"/>
    <n v="-17"/>
    <n v="0.97253634894991925"/>
    <s v="Y"/>
  </r>
  <r>
    <n v="423"/>
    <n v="6"/>
    <n v="513"/>
    <n v="515"/>
    <n v="513"/>
    <n v="2"/>
    <n v="0.99610136452241715"/>
    <s v="N"/>
  </r>
  <r>
    <n v="423"/>
    <n v="50"/>
    <n v="496"/>
    <n v="502"/>
    <n v="496"/>
    <n v="6"/>
    <n v="0.98790322580645162"/>
    <s v="N"/>
  </r>
  <r>
    <n v="424"/>
    <n v="1"/>
    <n v="617"/>
    <n v="614"/>
    <n v="617"/>
    <n v="-3"/>
    <n v="0.99513776337115067"/>
    <s v="N"/>
  </r>
  <r>
    <n v="424"/>
    <n v="6"/>
    <n v="512"/>
    <n v="507"/>
    <n v="512"/>
    <n v="-5"/>
    <n v="0.990234375"/>
    <s v="N"/>
  </r>
  <r>
    <n v="424"/>
    <n v="50"/>
    <n v="494"/>
    <n v="502"/>
    <n v="494"/>
    <n v="8"/>
    <n v="0.98380566801619429"/>
    <s v="N"/>
  </r>
  <r>
    <n v="425"/>
    <n v="1"/>
    <n v="616"/>
    <n v="630"/>
    <n v="616"/>
    <n v="14"/>
    <n v="0.97727272727272729"/>
    <s v="Y"/>
  </r>
  <r>
    <n v="425"/>
    <n v="6"/>
    <n v="510"/>
    <n v="522"/>
    <n v="510"/>
    <n v="12"/>
    <n v="0.97647058823529409"/>
    <s v="Y"/>
  </r>
  <r>
    <n v="425"/>
    <n v="50"/>
    <n v="492"/>
    <n v="479"/>
    <n v="492"/>
    <n v="-13"/>
    <n v="0.97357723577235777"/>
    <s v="Y"/>
  </r>
  <r>
    <n v="426"/>
    <n v="1"/>
    <n v="614"/>
    <n v="626"/>
    <n v="614"/>
    <n v="12"/>
    <n v="0.98045602605863191"/>
    <s v="N"/>
  </r>
  <r>
    <n v="426"/>
    <n v="6"/>
    <n v="508"/>
    <n v="502"/>
    <n v="508"/>
    <n v="-6"/>
    <n v="0.98818897637795278"/>
    <s v="N"/>
  </r>
  <r>
    <n v="426"/>
    <n v="50"/>
    <n v="491"/>
    <n v="490"/>
    <n v="491"/>
    <n v="-1"/>
    <n v="0.99796334012219956"/>
    <s v="N"/>
  </r>
  <r>
    <n v="427"/>
    <n v="1"/>
    <n v="612"/>
    <n v="615"/>
    <n v="612"/>
    <n v="3"/>
    <n v="0.99509803921568629"/>
    <s v="N"/>
  </r>
  <r>
    <n v="427"/>
    <n v="6"/>
    <n v="507"/>
    <n v="500"/>
    <n v="507"/>
    <n v="-7"/>
    <n v="0.98619329388560162"/>
    <s v="N"/>
  </r>
  <r>
    <n v="427"/>
    <n v="50"/>
    <n v="489"/>
    <n v="477"/>
    <n v="489"/>
    <n v="-12"/>
    <n v="0.97546012269938653"/>
    <s v="Y"/>
  </r>
  <r>
    <n v="428"/>
    <n v="1"/>
    <n v="611"/>
    <n v="613"/>
    <n v="611"/>
    <n v="2"/>
    <n v="0.99672667757774136"/>
    <s v="N"/>
  </r>
  <r>
    <n v="428"/>
    <n v="6"/>
    <n v="505"/>
    <n v="510"/>
    <n v="505"/>
    <n v="5"/>
    <n v="0.99009900990099009"/>
    <s v="N"/>
  </r>
  <r>
    <n v="428"/>
    <n v="50"/>
    <n v="488"/>
    <n v="502"/>
    <n v="488"/>
    <n v="14"/>
    <n v="0.97131147540983609"/>
    <s v="Y"/>
  </r>
  <r>
    <n v="429"/>
    <n v="1"/>
    <n v="609"/>
    <n v="608"/>
    <n v="609"/>
    <n v="-1"/>
    <n v="0.99835796387520526"/>
    <s v="N"/>
  </r>
  <r>
    <n v="429"/>
    <n v="6"/>
    <n v="504"/>
    <n v="495"/>
    <n v="504"/>
    <n v="-9"/>
    <n v="0.9821428571428571"/>
    <s v="N"/>
  </r>
  <r>
    <n v="429"/>
    <n v="50"/>
    <n v="486"/>
    <n v="485"/>
    <n v="486"/>
    <n v="-1"/>
    <n v="0.99794238683127567"/>
    <s v="N"/>
  </r>
  <r>
    <n v="430"/>
    <n v="1"/>
    <n v="608"/>
    <n v="610"/>
    <n v="608"/>
    <n v="2"/>
    <n v="0.99671052631578949"/>
    <s v="N"/>
  </r>
  <r>
    <n v="430"/>
    <n v="6"/>
    <n v="502"/>
    <n v="515"/>
    <n v="502"/>
    <n v="13"/>
    <n v="0.97410358565737054"/>
    <s v="Y"/>
  </r>
  <r>
    <n v="430"/>
    <n v="50"/>
    <n v="484"/>
    <n v="481"/>
    <n v="484"/>
    <n v="-3"/>
    <n v="0.99380165289256195"/>
    <s v="N"/>
  </r>
  <r>
    <n v="431"/>
    <n v="1"/>
    <n v="611"/>
    <n v="624"/>
    <n v="611"/>
    <n v="13"/>
    <n v="0.97872340425531912"/>
    <s v="Y"/>
  </r>
  <r>
    <n v="431"/>
    <n v="6"/>
    <n v="505"/>
    <n v="492"/>
    <n v="505"/>
    <n v="-13"/>
    <n v="0.97425742574257423"/>
    <s v="Y"/>
  </r>
  <r>
    <n v="431"/>
    <n v="50"/>
    <n v="488"/>
    <n v="486"/>
    <n v="488"/>
    <n v="-2"/>
    <n v="0.99590163934426235"/>
    <s v="N"/>
  </r>
  <r>
    <n v="432"/>
    <n v="1"/>
    <n v="614"/>
    <n v="621"/>
    <n v="614"/>
    <n v="7"/>
    <n v="0.98859934853420195"/>
    <s v="N"/>
  </r>
  <r>
    <n v="432"/>
    <n v="6"/>
    <n v="508"/>
    <n v="521"/>
    <n v="508"/>
    <n v="13"/>
    <n v="0.97440944881889768"/>
    <s v="Y"/>
  </r>
  <r>
    <n v="432"/>
    <n v="50"/>
    <n v="491"/>
    <n v="486"/>
    <n v="491"/>
    <n v="-5"/>
    <n v="0.98981670061099791"/>
    <s v="N"/>
  </r>
  <r>
    <n v="433"/>
    <n v="1"/>
    <n v="617"/>
    <n v="606"/>
    <n v="617"/>
    <n v="-11"/>
    <n v="0.98217179902755269"/>
    <s v="N"/>
  </r>
  <r>
    <n v="433"/>
    <n v="6"/>
    <n v="512"/>
    <n v="497"/>
    <n v="512"/>
    <n v="-15"/>
    <n v="0.970703125"/>
    <s v="Y"/>
  </r>
  <r>
    <n v="433"/>
    <n v="50"/>
    <n v="494"/>
    <n v="480"/>
    <n v="494"/>
    <n v="-14"/>
    <n v="0.97165991902834004"/>
    <s v="Y"/>
  </r>
  <r>
    <n v="434"/>
    <n v="1"/>
    <n v="620"/>
    <n v="633"/>
    <n v="620"/>
    <n v="13"/>
    <n v="0.9790322580645161"/>
    <s v="Y"/>
  </r>
  <r>
    <n v="434"/>
    <n v="6"/>
    <n v="515"/>
    <n v="501"/>
    <n v="515"/>
    <n v="-14"/>
    <n v="0.97281553398058251"/>
    <s v="Y"/>
  </r>
  <r>
    <n v="434"/>
    <n v="50"/>
    <n v="497"/>
    <n v="484"/>
    <n v="497"/>
    <n v="-13"/>
    <n v="0.97384305835010065"/>
    <s v="Y"/>
  </r>
  <r>
    <n v="435"/>
    <n v="1"/>
    <n v="624"/>
    <n v="627"/>
    <n v="624"/>
    <n v="3"/>
    <n v="0.99519230769230771"/>
    <s v="N"/>
  </r>
  <r>
    <n v="435"/>
    <n v="6"/>
    <n v="518"/>
    <n v="529"/>
    <n v="518"/>
    <n v="11"/>
    <n v="0.97876447876447881"/>
    <s v="Y"/>
  </r>
  <r>
    <n v="435"/>
    <n v="50"/>
    <n v="500"/>
    <n v="512"/>
    <n v="500"/>
    <n v="12"/>
    <n v="0.97599999999999998"/>
    <s v="Y"/>
  </r>
  <r>
    <n v="436"/>
    <n v="1"/>
    <n v="627"/>
    <n v="630"/>
    <n v="627"/>
    <n v="3"/>
    <n v="0.99521531100478466"/>
    <s v="N"/>
  </r>
  <r>
    <n v="436"/>
    <n v="6"/>
    <n v="521"/>
    <n v="524"/>
    <n v="521"/>
    <n v="3"/>
    <n v="0.99424184261036463"/>
    <s v="N"/>
  </r>
  <r>
    <n v="436"/>
    <n v="50"/>
    <n v="504"/>
    <n v="493"/>
    <n v="504"/>
    <n v="-11"/>
    <n v="0.97817460317460314"/>
    <s v="Y"/>
  </r>
  <r>
    <n v="437"/>
    <n v="1"/>
    <n v="630"/>
    <n v="618"/>
    <n v="630"/>
    <n v="-12"/>
    <n v="0.98095238095238091"/>
    <s v="N"/>
  </r>
  <r>
    <n v="437"/>
    <n v="6"/>
    <n v="524"/>
    <n v="530"/>
    <n v="524"/>
    <n v="6"/>
    <n v="0.98854961832061072"/>
    <s v="N"/>
  </r>
  <r>
    <n v="437"/>
    <n v="50"/>
    <n v="507"/>
    <n v="512"/>
    <n v="507"/>
    <n v="5"/>
    <n v="0.99013806706114393"/>
    <s v="N"/>
  </r>
  <r>
    <n v="438"/>
    <n v="1"/>
    <n v="633"/>
    <n v="621"/>
    <n v="633"/>
    <n v="-12"/>
    <n v="0.98104265402843605"/>
    <s v="N"/>
  </r>
  <r>
    <n v="438"/>
    <n v="6"/>
    <n v="528"/>
    <n v="519"/>
    <n v="528"/>
    <n v="-9"/>
    <n v="0.98295454545454541"/>
    <s v="N"/>
  </r>
  <r>
    <n v="438"/>
    <n v="50"/>
    <n v="510"/>
    <n v="500"/>
    <n v="510"/>
    <n v="-10"/>
    <n v="0.98039215686274506"/>
    <s v="N"/>
  </r>
  <r>
    <n v="439"/>
    <n v="1"/>
    <n v="636"/>
    <n v="638"/>
    <n v="636"/>
    <n v="2"/>
    <n v="0.99685534591194969"/>
    <s v="N"/>
  </r>
  <r>
    <n v="439"/>
    <n v="6"/>
    <n v="531"/>
    <n v="535"/>
    <n v="531"/>
    <n v="4"/>
    <n v="0.99246704331450097"/>
    <s v="N"/>
  </r>
  <r>
    <n v="439"/>
    <n v="50"/>
    <n v="513"/>
    <n v="510"/>
    <n v="513"/>
    <n v="-3"/>
    <n v="0.99415204678362579"/>
    <s v="N"/>
  </r>
  <r>
    <n v="440"/>
    <n v="1"/>
    <n v="640"/>
    <n v="623"/>
    <n v="640"/>
    <n v="-17"/>
    <n v="0.97343749999999996"/>
    <s v="Y"/>
  </r>
  <r>
    <n v="440"/>
    <n v="6"/>
    <n v="534"/>
    <n v="518"/>
    <n v="534"/>
    <n v="-16"/>
    <n v="0.97003745318352064"/>
    <s v="Y"/>
  </r>
  <r>
    <n v="440"/>
    <n v="50"/>
    <n v="516"/>
    <n v="521"/>
    <n v="516"/>
    <n v="5"/>
    <n v="0.99031007751937983"/>
    <s v="N"/>
  </r>
  <r>
    <n v="441"/>
    <n v="1"/>
    <n v="635"/>
    <n v="635"/>
    <n v="635"/>
    <n v="0"/>
    <n v="1"/>
    <s v="N"/>
  </r>
  <r>
    <n v="441"/>
    <n v="6"/>
    <n v="529"/>
    <n v="515"/>
    <n v="529"/>
    <n v="-14"/>
    <n v="0.97353497164461245"/>
    <s v="Y"/>
  </r>
  <r>
    <n v="441"/>
    <n v="50"/>
    <n v="512"/>
    <n v="509"/>
    <n v="512"/>
    <n v="-3"/>
    <n v="0.994140625"/>
    <s v="N"/>
  </r>
  <r>
    <n v="442"/>
    <n v="1"/>
    <n v="630"/>
    <n v="643"/>
    <n v="630"/>
    <n v="13"/>
    <n v="0.97936507936507933"/>
    <s v="Y"/>
  </r>
  <r>
    <n v="442"/>
    <n v="6"/>
    <n v="524"/>
    <n v="522"/>
    <n v="524"/>
    <n v="-2"/>
    <n v="0.99618320610687028"/>
    <s v="N"/>
  </r>
  <r>
    <n v="442"/>
    <n v="50"/>
    <n v="507"/>
    <n v="519"/>
    <n v="507"/>
    <n v="12"/>
    <n v="0.97633136094674555"/>
    <s v="Y"/>
  </r>
  <r>
    <n v="443"/>
    <n v="1"/>
    <n v="625"/>
    <n v="622"/>
    <n v="625"/>
    <n v="-3"/>
    <n v="0.99519999999999997"/>
    <s v="N"/>
  </r>
  <r>
    <n v="443"/>
    <n v="6"/>
    <n v="520"/>
    <n v="505"/>
    <n v="520"/>
    <n v="-15"/>
    <n v="0.97115384615384615"/>
    <s v="Y"/>
  </r>
  <r>
    <n v="443"/>
    <n v="50"/>
    <n v="502"/>
    <n v="515"/>
    <n v="502"/>
    <n v="13"/>
    <n v="0.97410358565737054"/>
    <s v="Y"/>
  </r>
  <r>
    <n v="444"/>
    <n v="1"/>
    <n v="620"/>
    <n v="623"/>
    <n v="620"/>
    <n v="3"/>
    <n v="0.99516129032258061"/>
    <s v="N"/>
  </r>
  <r>
    <n v="444"/>
    <n v="6"/>
    <n v="515"/>
    <n v="504"/>
    <n v="515"/>
    <n v="-11"/>
    <n v="0.97864077669902916"/>
    <s v="Y"/>
  </r>
  <r>
    <n v="444"/>
    <n v="50"/>
    <n v="497"/>
    <n v="490"/>
    <n v="497"/>
    <n v="-7"/>
    <n v="0.9859154929577465"/>
    <s v="N"/>
  </r>
  <r>
    <n v="445"/>
    <n v="1"/>
    <n v="616"/>
    <n v="631"/>
    <n v="616"/>
    <n v="15"/>
    <n v="0.97564935064935066"/>
    <s v="Y"/>
  </r>
  <r>
    <n v="445"/>
    <n v="6"/>
    <n v="510"/>
    <n v="505"/>
    <n v="510"/>
    <n v="-5"/>
    <n v="0.99019607843137258"/>
    <s v="N"/>
  </r>
  <r>
    <n v="445"/>
    <n v="50"/>
    <n v="492"/>
    <n v="500"/>
    <n v="492"/>
    <n v="8"/>
    <n v="0.98373983739837401"/>
    <s v="N"/>
  </r>
  <r>
    <n v="446"/>
    <n v="1"/>
    <n v="611"/>
    <n v="606"/>
    <n v="611"/>
    <n v="-5"/>
    <n v="0.99181669394435357"/>
    <s v="N"/>
  </r>
  <r>
    <n v="446"/>
    <n v="6"/>
    <n v="505"/>
    <n v="503"/>
    <n v="505"/>
    <n v="-2"/>
    <n v="0.99603960396039604"/>
    <s v="N"/>
  </r>
  <r>
    <n v="446"/>
    <n v="50"/>
    <n v="488"/>
    <n v="478"/>
    <n v="488"/>
    <n v="-10"/>
    <n v="0.97950819672131151"/>
    <s v="Y"/>
  </r>
  <r>
    <n v="447"/>
    <n v="1"/>
    <n v="606"/>
    <n v="594"/>
    <n v="606"/>
    <n v="-12"/>
    <n v="0.98019801980198018"/>
    <s v="N"/>
  </r>
  <r>
    <n v="447"/>
    <n v="6"/>
    <n v="500"/>
    <n v="508"/>
    <n v="500"/>
    <n v="8"/>
    <n v="0.98399999999999999"/>
    <s v="N"/>
  </r>
  <r>
    <n v="447"/>
    <n v="50"/>
    <n v="483"/>
    <n v="487"/>
    <n v="483"/>
    <n v="4"/>
    <n v="0.99171842650103514"/>
    <s v="N"/>
  </r>
  <r>
    <n v="448"/>
    <n v="1"/>
    <n v="601"/>
    <n v="614"/>
    <n v="601"/>
    <n v="13"/>
    <n v="0.97836938435940102"/>
    <s v="Y"/>
  </r>
  <r>
    <n v="448"/>
    <n v="6"/>
    <n v="496"/>
    <n v="490"/>
    <n v="496"/>
    <n v="-6"/>
    <n v="0.98790322580645162"/>
    <s v="N"/>
  </r>
  <r>
    <n v="448"/>
    <n v="50"/>
    <n v="478"/>
    <n v="470"/>
    <n v="478"/>
    <n v="-8"/>
    <n v="0.98326359832635979"/>
    <s v="N"/>
  </r>
  <r>
    <n v="449"/>
    <n v="1"/>
    <n v="596"/>
    <n v="607"/>
    <n v="596"/>
    <n v="11"/>
    <n v="0.98154362416107377"/>
    <s v="N"/>
  </r>
  <r>
    <n v="449"/>
    <n v="6"/>
    <n v="491"/>
    <n v="486"/>
    <n v="491"/>
    <n v="-5"/>
    <n v="0.98981670061099791"/>
    <s v="N"/>
  </r>
  <r>
    <n v="449"/>
    <n v="50"/>
    <n v="473"/>
    <n v="460"/>
    <n v="473"/>
    <n v="-13"/>
    <n v="0.97251585623678649"/>
    <s v="Y"/>
  </r>
  <r>
    <n v="450"/>
    <n v="1"/>
    <n v="592"/>
    <n v="608"/>
    <n v="592"/>
    <n v="16"/>
    <n v="0.97297297297297303"/>
    <s v="Y"/>
  </r>
  <r>
    <n v="450"/>
    <n v="6"/>
    <n v="486"/>
    <n v="486"/>
    <n v="486"/>
    <n v="0"/>
    <n v="1"/>
    <s v="N"/>
  </r>
  <r>
    <n v="450"/>
    <n v="50"/>
    <n v="468"/>
    <n v="459"/>
    <n v="468"/>
    <n v="-9"/>
    <n v="0.98076923076923073"/>
    <s v="N"/>
  </r>
  <r>
    <n v="451"/>
    <n v="1"/>
    <n v="595"/>
    <n v="587"/>
    <n v="595"/>
    <n v="-8"/>
    <n v="0.98655462184873954"/>
    <s v="N"/>
  </r>
  <r>
    <n v="451"/>
    <n v="6"/>
    <n v="489"/>
    <n v="484"/>
    <n v="489"/>
    <n v="-5"/>
    <n v="0.9897750511247444"/>
    <s v="N"/>
  </r>
  <r>
    <n v="451"/>
    <n v="50"/>
    <n v="472"/>
    <n v="461"/>
    <n v="472"/>
    <n v="-11"/>
    <n v="0.97669491525423724"/>
    <s v="Y"/>
  </r>
  <r>
    <n v="452"/>
    <n v="1"/>
    <n v="598"/>
    <n v="613"/>
    <n v="598"/>
    <n v="15"/>
    <n v="0.97491638795986624"/>
    <s v="Y"/>
  </r>
  <r>
    <n v="452"/>
    <n v="6"/>
    <n v="492"/>
    <n v="478"/>
    <n v="492"/>
    <n v="-14"/>
    <n v="0.97154471544715448"/>
    <s v="Y"/>
  </r>
  <r>
    <n v="452"/>
    <n v="50"/>
    <n v="475"/>
    <n v="487"/>
    <n v="475"/>
    <n v="12"/>
    <n v="0.97473684210526312"/>
    <s v="Y"/>
  </r>
  <r>
    <n v="453"/>
    <n v="1"/>
    <n v="601"/>
    <n v="607"/>
    <n v="601"/>
    <n v="6"/>
    <n v="0.99001663893510816"/>
    <s v="N"/>
  </r>
  <r>
    <n v="453"/>
    <n v="6"/>
    <n v="496"/>
    <n v="491"/>
    <n v="496"/>
    <n v="-5"/>
    <n v="0.98991935483870963"/>
    <s v="N"/>
  </r>
  <r>
    <n v="453"/>
    <n v="50"/>
    <n v="478"/>
    <n v="472"/>
    <n v="478"/>
    <n v="-6"/>
    <n v="0.9874476987447699"/>
    <s v="N"/>
  </r>
  <r>
    <n v="454"/>
    <n v="1"/>
    <n v="604"/>
    <n v="603"/>
    <n v="604"/>
    <n v="-1"/>
    <n v="0.9983443708609272"/>
    <s v="N"/>
  </r>
  <r>
    <n v="454"/>
    <n v="6"/>
    <n v="499"/>
    <n v="502"/>
    <n v="499"/>
    <n v="3"/>
    <n v="0.9939879759519038"/>
    <s v="N"/>
  </r>
  <r>
    <n v="454"/>
    <n v="50"/>
    <n v="481"/>
    <n v="495"/>
    <n v="481"/>
    <n v="14"/>
    <n v="0.97089397089397089"/>
    <s v="Y"/>
  </r>
  <r>
    <n v="455"/>
    <n v="1"/>
    <n v="608"/>
    <n v="604"/>
    <n v="608"/>
    <n v="-4"/>
    <n v="0.99342105263157898"/>
    <s v="N"/>
  </r>
  <r>
    <n v="455"/>
    <n v="6"/>
    <n v="502"/>
    <n v="505"/>
    <n v="502"/>
    <n v="3"/>
    <n v="0.99402390438247012"/>
    <s v="N"/>
  </r>
  <r>
    <n v="455"/>
    <n v="50"/>
    <n v="484"/>
    <n v="480"/>
    <n v="484"/>
    <n v="-4"/>
    <n v="0.99173553719008267"/>
    <s v="N"/>
  </r>
  <r>
    <n v="456"/>
    <n v="1"/>
    <n v="611"/>
    <n v="612"/>
    <n v="611"/>
    <n v="1"/>
    <n v="0.99836333878887074"/>
    <s v="N"/>
  </r>
  <r>
    <n v="456"/>
    <n v="6"/>
    <n v="505"/>
    <n v="516"/>
    <n v="505"/>
    <n v="11"/>
    <n v="0.9782178217821782"/>
    <s v="Y"/>
  </r>
  <r>
    <n v="456"/>
    <n v="50"/>
    <n v="488"/>
    <n v="478"/>
    <n v="488"/>
    <n v="-10"/>
    <n v="0.97950819672131151"/>
    <s v="Y"/>
  </r>
  <r>
    <n v="457"/>
    <n v="1"/>
    <n v="614"/>
    <n v="618"/>
    <n v="614"/>
    <n v="4"/>
    <n v="0.99348534201954397"/>
    <s v="N"/>
  </r>
  <r>
    <n v="457"/>
    <n v="6"/>
    <n v="508"/>
    <n v="513"/>
    <n v="508"/>
    <n v="5"/>
    <n v="0.99015748031496065"/>
    <s v="N"/>
  </r>
  <r>
    <n v="457"/>
    <n v="50"/>
    <n v="491"/>
    <n v="501"/>
    <n v="491"/>
    <n v="10"/>
    <n v="0.97963340122199594"/>
    <s v="Y"/>
  </r>
  <r>
    <n v="458"/>
    <n v="1"/>
    <n v="617"/>
    <n v="622"/>
    <n v="617"/>
    <n v="5"/>
    <n v="0.99189627228525123"/>
    <s v="N"/>
  </r>
  <r>
    <n v="458"/>
    <n v="6"/>
    <n v="512"/>
    <n v="519"/>
    <n v="512"/>
    <n v="7"/>
    <n v="0.986328125"/>
    <s v="N"/>
  </r>
  <r>
    <n v="458"/>
    <n v="50"/>
    <n v="494"/>
    <n v="489"/>
    <n v="494"/>
    <n v="-5"/>
    <n v="0.98987854251012142"/>
    <s v="N"/>
  </r>
  <r>
    <n v="459"/>
    <n v="1"/>
    <n v="620"/>
    <n v="625"/>
    <n v="620"/>
    <n v="5"/>
    <n v="0.99193548387096775"/>
    <s v="N"/>
  </r>
  <r>
    <n v="459"/>
    <n v="6"/>
    <n v="515"/>
    <n v="523"/>
    <n v="515"/>
    <n v="8"/>
    <n v="0.98446601941747569"/>
    <s v="N"/>
  </r>
  <r>
    <n v="459"/>
    <n v="50"/>
    <n v="497"/>
    <n v="484"/>
    <n v="497"/>
    <n v="-13"/>
    <n v="0.97384305835010065"/>
    <s v="Y"/>
  </r>
  <r>
    <n v="460"/>
    <n v="1"/>
    <n v="624"/>
    <n v="641"/>
    <n v="624"/>
    <n v="17"/>
    <n v="0.97275641025641024"/>
    <s v="Y"/>
  </r>
  <r>
    <n v="460"/>
    <n v="6"/>
    <n v="518"/>
    <n v="511"/>
    <n v="518"/>
    <n v="-7"/>
    <n v="0.98648648648648651"/>
    <s v="N"/>
  </r>
  <r>
    <n v="460"/>
    <n v="50"/>
    <n v="500"/>
    <n v="487"/>
    <n v="500"/>
    <n v="-13"/>
    <n v="0.97399999999999998"/>
    <s v="Y"/>
  </r>
  <r>
    <n v="461"/>
    <n v="1"/>
    <n v="627"/>
    <n v="633"/>
    <n v="627"/>
    <n v="6"/>
    <n v="0.99043062200956933"/>
    <s v="N"/>
  </r>
  <r>
    <n v="461"/>
    <n v="6"/>
    <n v="521"/>
    <n v="536"/>
    <n v="521"/>
    <n v="15"/>
    <n v="0.97120921305182339"/>
    <s v="Y"/>
  </r>
  <r>
    <n v="461"/>
    <n v="50"/>
    <n v="504"/>
    <n v="495"/>
    <n v="504"/>
    <n v="-9"/>
    <n v="0.9821428571428571"/>
    <s v="N"/>
  </r>
  <r>
    <n v="462"/>
    <n v="1"/>
    <n v="310"/>
    <n v="311"/>
    <n v="310"/>
    <n v="1"/>
    <n v="0.99677419354838714"/>
    <s v="N"/>
  </r>
  <r>
    <n v="462"/>
    <n v="6"/>
    <n v="204"/>
    <n v="201"/>
    <n v="204"/>
    <n v="-3"/>
    <n v="0.98529411764705888"/>
    <s v="N"/>
  </r>
  <r>
    <n v="462"/>
    <n v="50"/>
    <n v="187"/>
    <n v="186"/>
    <n v="187"/>
    <n v="-1"/>
    <n v="0.99465240641711228"/>
    <s v="N"/>
  </r>
  <r>
    <n v="463"/>
    <n v="1"/>
    <n v="499"/>
    <n v="486"/>
    <n v="499"/>
    <n v="-13"/>
    <n v="0.97394789579158314"/>
    <s v="Y"/>
  </r>
  <r>
    <n v="463"/>
    <n v="6"/>
    <n v="566"/>
    <n v="560"/>
    <n v="566"/>
    <n v="-6"/>
    <n v="0.98939929328621912"/>
    <s v="N"/>
  </r>
  <r>
    <n v="463"/>
    <n v="50"/>
    <n v="620"/>
    <n v="615"/>
    <n v="620"/>
    <n v="-5"/>
    <n v="0.99193548387096775"/>
    <s v="N"/>
  </r>
  <r>
    <n v="464"/>
    <n v="1"/>
    <n v="500"/>
    <n v="514"/>
    <n v="500"/>
    <n v="14"/>
    <n v="0.97199999999999998"/>
    <s v="Y"/>
  </r>
  <r>
    <n v="464"/>
    <n v="6"/>
    <n v="568"/>
    <n v="582"/>
    <n v="568"/>
    <n v="14"/>
    <n v="0.97535211267605637"/>
    <s v="Y"/>
  </r>
  <r>
    <n v="464"/>
    <n v="50"/>
    <n v="622"/>
    <n v="633"/>
    <n v="622"/>
    <n v="11"/>
    <n v="0.98231511254019288"/>
    <s v="N"/>
  </r>
  <r>
    <n v="465"/>
    <n v="1"/>
    <n v="502"/>
    <n v="506"/>
    <n v="502"/>
    <n v="4"/>
    <n v="0.99203187250996017"/>
    <s v="N"/>
  </r>
  <r>
    <n v="465"/>
    <n v="6"/>
    <n v="569"/>
    <n v="580"/>
    <n v="569"/>
    <n v="11"/>
    <n v="0.98066783831282955"/>
    <s v="N"/>
  </r>
  <r>
    <n v="465"/>
    <n v="50"/>
    <n v="624"/>
    <n v="615"/>
    <n v="624"/>
    <n v="-9"/>
    <n v="0.98557692307692313"/>
    <s v="N"/>
  </r>
  <r>
    <n v="466"/>
    <n v="1"/>
    <n v="504"/>
    <n v="517"/>
    <n v="504"/>
    <n v="13"/>
    <n v="0.97420634920634919"/>
    <s v="Y"/>
  </r>
  <r>
    <n v="466"/>
    <n v="6"/>
    <n v="571"/>
    <n v="573"/>
    <n v="571"/>
    <n v="2"/>
    <n v="0.99649737302977237"/>
    <s v="N"/>
  </r>
  <r>
    <n v="466"/>
    <n v="50"/>
    <n v="625"/>
    <n v="632"/>
    <n v="625"/>
    <n v="7"/>
    <n v="0.98880000000000001"/>
    <s v="N"/>
  </r>
  <r>
    <n v="467"/>
    <n v="1"/>
    <n v="505"/>
    <n v="505"/>
    <n v="505"/>
    <n v="0"/>
    <n v="1"/>
    <s v="N"/>
  </r>
  <r>
    <n v="467"/>
    <n v="6"/>
    <n v="572"/>
    <n v="560"/>
    <n v="572"/>
    <n v="-12"/>
    <n v="0.97902097902097907"/>
    <s v="Y"/>
  </r>
  <r>
    <n v="467"/>
    <n v="50"/>
    <n v="627"/>
    <n v="619"/>
    <n v="627"/>
    <n v="-8"/>
    <n v="0.98724082934609247"/>
    <s v="N"/>
  </r>
  <r>
    <n v="468"/>
    <n v="1"/>
    <n v="507"/>
    <n v="512"/>
    <n v="507"/>
    <n v="5"/>
    <n v="0.99013806706114393"/>
    <s v="N"/>
  </r>
  <r>
    <n v="468"/>
    <n v="6"/>
    <n v="574"/>
    <n v="588"/>
    <n v="574"/>
    <n v="14"/>
    <n v="0.97560975609756095"/>
    <s v="Y"/>
  </r>
  <r>
    <n v="468"/>
    <n v="50"/>
    <n v="628"/>
    <n v="618"/>
    <n v="628"/>
    <n v="-10"/>
    <n v="0.98407643312101911"/>
    <s v="N"/>
  </r>
  <r>
    <n v="469"/>
    <n v="1"/>
    <n v="508"/>
    <n v="515"/>
    <n v="508"/>
    <n v="7"/>
    <n v="0.98622047244094491"/>
    <s v="N"/>
  </r>
  <r>
    <n v="469"/>
    <n v="6"/>
    <n v="576"/>
    <n v="587"/>
    <n v="576"/>
    <n v="11"/>
    <n v="0.98090277777777779"/>
    <s v="N"/>
  </r>
  <r>
    <n v="469"/>
    <n v="50"/>
    <n v="630"/>
    <n v="635"/>
    <n v="630"/>
    <n v="5"/>
    <n v="0.99206349206349209"/>
    <s v="N"/>
  </r>
  <r>
    <n v="470"/>
    <n v="1"/>
    <n v="510"/>
    <n v="520"/>
    <n v="510"/>
    <n v="10"/>
    <n v="0.98039215686274506"/>
    <s v="N"/>
  </r>
  <r>
    <n v="470"/>
    <n v="6"/>
    <n v="577"/>
    <n v="573"/>
    <n v="577"/>
    <n v="-4"/>
    <n v="0.99306759098786823"/>
    <s v="N"/>
  </r>
  <r>
    <n v="470"/>
    <n v="50"/>
    <n v="632"/>
    <n v="617"/>
    <n v="632"/>
    <n v="-15"/>
    <n v="0.97626582278481011"/>
    <s v="Y"/>
  </r>
  <r>
    <n v="471"/>
    <n v="1"/>
    <n v="512"/>
    <n v="514"/>
    <n v="512"/>
    <n v="2"/>
    <n v="0.99609375"/>
    <s v="N"/>
  </r>
  <r>
    <n v="471"/>
    <n v="6"/>
    <n v="579"/>
    <n v="590"/>
    <n v="579"/>
    <n v="11"/>
    <n v="0.98100172711571676"/>
    <s v="N"/>
  </r>
  <r>
    <n v="471"/>
    <n v="50"/>
    <n v="633"/>
    <n v="625"/>
    <n v="633"/>
    <n v="-8"/>
    <n v="0.9873617693522907"/>
    <s v="N"/>
  </r>
  <r>
    <n v="472"/>
    <n v="1"/>
    <n v="513"/>
    <n v="500"/>
    <n v="513"/>
    <n v="-13"/>
    <n v="0.97465886939571145"/>
    <s v="Y"/>
  </r>
  <r>
    <n v="472"/>
    <n v="6"/>
    <n v="580"/>
    <n v="566"/>
    <n v="580"/>
    <n v="-14"/>
    <n v="0.97586206896551719"/>
    <s v="Y"/>
  </r>
  <r>
    <n v="472"/>
    <n v="50"/>
    <n v="635"/>
    <n v="625"/>
    <n v="635"/>
    <n v="-10"/>
    <n v="0.98425196850393704"/>
    <s v="N"/>
  </r>
  <r>
    <n v="473"/>
    <n v="1"/>
    <n v="515"/>
    <n v="518"/>
    <n v="515"/>
    <n v="3"/>
    <n v="0.99417475728155336"/>
    <s v="N"/>
  </r>
  <r>
    <n v="473"/>
    <n v="6"/>
    <n v="582"/>
    <n v="599"/>
    <n v="582"/>
    <n v="17"/>
    <n v="0.97079037800687284"/>
    <s v="Y"/>
  </r>
  <r>
    <n v="473"/>
    <n v="50"/>
    <n v="636"/>
    <n v="654"/>
    <n v="636"/>
    <n v="18"/>
    <n v="0.97169811320754718"/>
    <s v="Y"/>
  </r>
  <r>
    <n v="474"/>
    <n v="1"/>
    <n v="516"/>
    <n v="515"/>
    <n v="516"/>
    <n v="-1"/>
    <n v="0.99806201550387597"/>
    <s v="N"/>
  </r>
  <r>
    <n v="474"/>
    <n v="6"/>
    <n v="584"/>
    <n v="583"/>
    <n v="584"/>
    <n v="-1"/>
    <n v="0.99828767123287676"/>
    <s v="N"/>
  </r>
  <r>
    <n v="474"/>
    <n v="50"/>
    <n v="638"/>
    <n v="636"/>
    <n v="638"/>
    <n v="-2"/>
    <n v="0.99686520376175547"/>
    <s v="N"/>
  </r>
  <r>
    <n v="475"/>
    <n v="1"/>
    <n v="518"/>
    <n v="524"/>
    <n v="518"/>
    <n v="6"/>
    <n v="0.98841698841698844"/>
    <s v="N"/>
  </r>
  <r>
    <n v="475"/>
    <n v="6"/>
    <n v="585"/>
    <n v="576"/>
    <n v="585"/>
    <n v="-9"/>
    <n v="0.98461538461538467"/>
    <s v="N"/>
  </r>
  <r>
    <n v="475"/>
    <n v="50"/>
    <n v="640"/>
    <n v="632"/>
    <n v="640"/>
    <n v="-8"/>
    <n v="0.98750000000000004"/>
    <s v="N"/>
  </r>
  <r>
    <n v="476"/>
    <n v="5"/>
    <n v="324"/>
    <n v="315"/>
    <n v="324"/>
    <n v="-9"/>
    <n v="0.97222222222222221"/>
    <s v="Y"/>
  </r>
  <r>
    <n v="476"/>
    <n v="10"/>
    <n v="404"/>
    <n v="410"/>
    <n v="404"/>
    <n v="6"/>
    <n v="0.98514851485148514"/>
    <s v="N"/>
  </r>
  <r>
    <n v="476"/>
    <n v="20"/>
    <n v="355"/>
    <n v="358"/>
    <n v="355"/>
    <n v="3"/>
    <n v="0.9915492957746479"/>
    <s v="N"/>
  </r>
  <r>
    <n v="477"/>
    <n v="2"/>
    <n v="403"/>
    <n v="394"/>
    <n v="403"/>
    <n v="-9"/>
    <n v="0.97766749379652607"/>
    <s v="Y"/>
  </r>
  <r>
    <n v="477"/>
    <n v="5"/>
    <n v="323"/>
    <n v="327"/>
    <n v="323"/>
    <n v="4"/>
    <n v="0.9876160990712074"/>
    <s v="N"/>
  </r>
  <r>
    <n v="477"/>
    <n v="10"/>
    <n v="353"/>
    <n v="348"/>
    <n v="353"/>
    <n v="-5"/>
    <n v="0.98583569405099147"/>
    <s v="N"/>
  </r>
  <r>
    <n v="478"/>
    <n v="2"/>
    <n v="497"/>
    <n v="509"/>
    <n v="497"/>
    <n v="12"/>
    <n v="0.9758551307847082"/>
    <s v="Y"/>
  </r>
  <r>
    <n v="478"/>
    <n v="5"/>
    <n v="568"/>
    <n v="552"/>
    <n v="568"/>
    <n v="-16"/>
    <n v="0.971830985915493"/>
    <s v="Y"/>
  </r>
  <r>
    <n v="478"/>
    <n v="10"/>
    <n v="622"/>
    <n v="614"/>
    <n v="622"/>
    <n v="-8"/>
    <n v="0.98713826366559487"/>
    <s v="N"/>
  </r>
  <r>
    <n v="479"/>
    <n v="2"/>
    <n v="441"/>
    <n v="448"/>
    <n v="441"/>
    <n v="7"/>
    <n v="0.98412698412698418"/>
    <s v="N"/>
  </r>
  <r>
    <n v="479"/>
    <n v="5"/>
    <n v="390"/>
    <n v="380"/>
    <n v="390"/>
    <n v="-10"/>
    <n v="0.97435897435897434"/>
    <s v="Y"/>
  </r>
  <r>
    <n v="479"/>
    <n v="10"/>
    <n v="198"/>
    <n v="200"/>
    <n v="198"/>
    <n v="2"/>
    <n v="0.98989898989898994"/>
    <s v="N"/>
  </r>
  <r>
    <n v="480"/>
    <n v="2"/>
    <n v="689"/>
    <n v="689"/>
    <n v="689"/>
    <n v="0"/>
    <n v="1"/>
    <s v="N"/>
  </r>
  <r>
    <n v="480"/>
    <n v="5"/>
    <n v="515"/>
    <n v="508"/>
    <n v="515"/>
    <n v="-7"/>
    <n v="0.98640776699029131"/>
    <s v="N"/>
  </r>
  <r>
    <n v="480"/>
    <n v="10"/>
    <n v="457"/>
    <n v="463"/>
    <n v="457"/>
    <n v="6"/>
    <n v="0.98687089715536103"/>
    <s v="N"/>
  </r>
  <r>
    <n v="481"/>
    <n v="2"/>
    <n v="427"/>
    <n v="421"/>
    <n v="427"/>
    <n v="-6"/>
    <n v="0.98594847775175642"/>
    <s v="N"/>
  </r>
  <r>
    <n v="481"/>
    <n v="5"/>
    <n v="374"/>
    <n v="381"/>
    <n v="374"/>
    <n v="7"/>
    <n v="0.98128342245989308"/>
    <s v="N"/>
  </r>
  <r>
    <n v="481"/>
    <n v="10"/>
    <n v="196"/>
    <n v="192"/>
    <n v="196"/>
    <n v="-4"/>
    <n v="0.97959183673469385"/>
    <s v="Y"/>
  </r>
  <r>
    <n v="482"/>
    <n v="2"/>
    <n v="321"/>
    <n v="329"/>
    <n v="321"/>
    <n v="8"/>
    <n v="0.97507788161993769"/>
    <s v="Y"/>
  </r>
  <r>
    <n v="482"/>
    <n v="5"/>
    <n v="427"/>
    <n v="424"/>
    <n v="427"/>
    <n v="-3"/>
    <n v="0.99297423887587821"/>
    <s v="N"/>
  </r>
  <r>
    <n v="482"/>
    <n v="10"/>
    <n v="176"/>
    <n v="174"/>
    <n v="176"/>
    <n v="-2"/>
    <n v="0.98863636363636365"/>
    <s v="N"/>
  </r>
  <r>
    <n v="483"/>
    <n v="2"/>
    <n v="691"/>
    <n v="690"/>
    <n v="691"/>
    <n v="-1"/>
    <n v="0.9985528219971056"/>
    <s v="N"/>
  </r>
  <r>
    <n v="483"/>
    <n v="5"/>
    <n v="531"/>
    <n v="532"/>
    <n v="531"/>
    <n v="1"/>
    <n v="0.99811676082862522"/>
    <s v="N"/>
  </r>
  <r>
    <n v="483"/>
    <n v="10"/>
    <n v="459"/>
    <n v="461"/>
    <n v="459"/>
    <n v="2"/>
    <n v="0.99564270152505452"/>
    <s v="N"/>
  </r>
  <r>
    <n v="484"/>
    <n v="2"/>
    <n v="427"/>
    <n v="439"/>
    <n v="427"/>
    <n v="12"/>
    <n v="0.97189695550351285"/>
    <s v="Y"/>
  </r>
  <r>
    <n v="484"/>
    <n v="5"/>
    <n v="374"/>
    <n v="366"/>
    <n v="374"/>
    <n v="-8"/>
    <n v="0.97860962566844922"/>
    <s v="Y"/>
  </r>
  <r>
    <n v="484"/>
    <n v="10"/>
    <n v="196"/>
    <n v="196"/>
    <n v="196"/>
    <n v="0"/>
    <n v="1"/>
    <s v="N"/>
  </r>
  <r>
    <n v="485"/>
    <n v="2"/>
    <n v="321"/>
    <n v="316"/>
    <n v="321"/>
    <n v="-5"/>
    <n v="0.98442367601246106"/>
    <s v="N"/>
  </r>
  <r>
    <n v="485"/>
    <n v="5"/>
    <n v="427"/>
    <n v="419"/>
    <n v="427"/>
    <n v="-8"/>
    <n v="0.9812646370023419"/>
    <s v="N"/>
  </r>
  <r>
    <n v="485"/>
    <n v="10"/>
    <n v="176"/>
    <n v="172"/>
    <n v="176"/>
    <n v="-4"/>
    <n v="0.97727272727272729"/>
    <s v="Y"/>
  </r>
  <r>
    <n v="486"/>
    <n v="2"/>
    <n v="689"/>
    <n v="693"/>
    <n v="689"/>
    <n v="4"/>
    <n v="0.99419448476052252"/>
    <s v="N"/>
  </r>
  <r>
    <n v="486"/>
    <n v="5"/>
    <n v="515"/>
    <n v="516"/>
    <n v="515"/>
    <n v="1"/>
    <n v="0.99805825242718449"/>
    <s v="N"/>
  </r>
  <r>
    <n v="486"/>
    <n v="10"/>
    <n v="457"/>
    <n v="457"/>
    <n v="457"/>
    <n v="0"/>
    <n v="1"/>
    <s v="N"/>
  </r>
  <r>
    <n v="487"/>
    <n v="2"/>
    <n v="331"/>
    <n v="334"/>
    <n v="331"/>
    <n v="3"/>
    <n v="0.99093655589123864"/>
    <s v="N"/>
  </r>
  <r>
    <n v="487"/>
    <n v="5"/>
    <n v="337"/>
    <n v="346"/>
    <n v="337"/>
    <n v="9"/>
    <n v="0.97329376854599403"/>
    <s v="Y"/>
  </r>
  <r>
    <n v="487"/>
    <n v="10"/>
    <n v="324"/>
    <n v="319"/>
    <n v="324"/>
    <n v="-5"/>
    <n v="0.98456790123456794"/>
    <s v="N"/>
  </r>
  <r>
    <n v="488"/>
    <n v="2"/>
    <n v="312"/>
    <n v="303"/>
    <n v="312"/>
    <n v="-9"/>
    <n v="0.97115384615384615"/>
    <s v="Y"/>
  </r>
  <r>
    <n v="488"/>
    <n v="5"/>
    <n v="318"/>
    <n v="321"/>
    <n v="318"/>
    <n v="3"/>
    <n v="0.99056603773584906"/>
    <s v="N"/>
  </r>
  <r>
    <n v="488"/>
    <n v="10"/>
    <n v="305"/>
    <n v="312"/>
    <n v="305"/>
    <n v="7"/>
    <n v="0.9770491803278688"/>
    <s v="Y"/>
  </r>
  <r>
    <n v="489"/>
    <n v="1"/>
    <n v="612"/>
    <n v="625"/>
    <n v="612"/>
    <n v="13"/>
    <n v="0.97875816993464049"/>
    <s v="Y"/>
  </r>
  <r>
    <n v="489"/>
    <n v="6"/>
    <n v="619"/>
    <n v="609"/>
    <n v="619"/>
    <n v="-10"/>
    <n v="0.98384491114701134"/>
    <s v="N"/>
  </r>
  <r>
    <n v="489"/>
    <n v="50"/>
    <n v="606"/>
    <n v="621"/>
    <n v="606"/>
    <n v="15"/>
    <n v="0.97524752475247523"/>
    <s v="Y"/>
  </r>
  <r>
    <n v="490"/>
    <n v="1"/>
    <n v="593"/>
    <n v="578"/>
    <n v="593"/>
    <n v="-15"/>
    <n v="0.97470489038785835"/>
    <s v="Y"/>
  </r>
  <r>
    <n v="490"/>
    <n v="6"/>
    <n v="600"/>
    <n v="601"/>
    <n v="600"/>
    <n v="1"/>
    <n v="0.99833333333333329"/>
    <s v="N"/>
  </r>
  <r>
    <n v="490"/>
    <n v="50"/>
    <n v="587"/>
    <n v="586"/>
    <n v="587"/>
    <n v="-1"/>
    <n v="0.99829642248722317"/>
    <s v="N"/>
  </r>
  <r>
    <n v="491"/>
    <n v="1"/>
    <n v="254"/>
    <n v="256"/>
    <n v="254"/>
    <n v="2"/>
    <n v="0.99212598425196852"/>
    <s v="N"/>
  </r>
  <r>
    <n v="491"/>
    <n v="6"/>
    <n v="420"/>
    <n v="431"/>
    <n v="420"/>
    <n v="11"/>
    <n v="0.97380952380952379"/>
    <s v="Y"/>
  </r>
  <r>
    <n v="491"/>
    <n v="50"/>
    <n v="248"/>
    <n v="243"/>
    <n v="248"/>
    <n v="-5"/>
    <n v="0.97983870967741937"/>
    <s v="Y"/>
  </r>
  <r>
    <n v="492"/>
    <n v="3"/>
    <n v="17"/>
    <n v="17"/>
    <n v="17"/>
    <n v="0"/>
    <n v="1"/>
    <s v="N"/>
  </r>
  <r>
    <n v="492"/>
    <n v="4"/>
    <n v="14"/>
    <n v="14"/>
    <n v="14"/>
    <n v="0"/>
    <n v="1"/>
    <s v="N"/>
  </r>
  <r>
    <n v="492"/>
    <n v="40"/>
    <n v="16"/>
    <n v="16"/>
    <n v="16"/>
    <n v="0"/>
    <n v="1"/>
    <s v="N"/>
  </r>
  <r>
    <n v="493"/>
    <n v="3"/>
    <n v="41"/>
    <n v="41"/>
    <n v="41"/>
    <n v="0"/>
    <n v="1"/>
    <s v="N"/>
  </r>
  <r>
    <n v="493"/>
    <n v="4"/>
    <n v="24"/>
    <n v="24"/>
    <n v="24"/>
    <n v="0"/>
    <n v="1"/>
    <s v="N"/>
  </r>
  <r>
    <n v="493"/>
    <n v="40"/>
    <n v="28"/>
    <n v="28"/>
    <n v="28"/>
    <n v="0"/>
    <n v="1"/>
    <s v="N"/>
  </r>
  <r>
    <n v="494"/>
    <n v="3"/>
    <n v="49"/>
    <n v="48"/>
    <n v="49"/>
    <n v="-1"/>
    <n v="0.97959183673469385"/>
    <s v="Y"/>
  </r>
  <r>
    <n v="494"/>
    <n v="4"/>
    <n v="12"/>
    <n v="12"/>
    <n v="12"/>
    <n v="0"/>
    <n v="1"/>
    <s v="N"/>
  </r>
  <r>
    <n v="494"/>
    <n v="40"/>
    <n v="4"/>
    <n v="4"/>
    <n v="4"/>
    <n v="0"/>
    <n v="1"/>
    <s v="N"/>
  </r>
  <r>
    <n v="495"/>
    <n v="3"/>
    <n v="49"/>
    <n v="49"/>
    <n v="49"/>
    <n v="0"/>
    <n v="1"/>
    <s v="N"/>
  </r>
  <r>
    <n v="495"/>
    <n v="4"/>
    <n v="35"/>
    <n v="35"/>
    <n v="35"/>
    <n v="0"/>
    <n v="1"/>
    <s v="N"/>
  </r>
  <r>
    <n v="495"/>
    <n v="40"/>
    <n v="25"/>
    <n v="25"/>
    <n v="25"/>
    <n v="0"/>
    <n v="1"/>
    <s v="N"/>
  </r>
  <r>
    <n v="496"/>
    <n v="3"/>
    <n v="30"/>
    <n v="30"/>
    <n v="30"/>
    <n v="0"/>
    <n v="1"/>
    <s v="N"/>
  </r>
  <r>
    <n v="496"/>
    <n v="4"/>
    <n v="25"/>
    <n v="24"/>
    <n v="25"/>
    <n v="-1"/>
    <n v="0.96"/>
    <s v="Y"/>
  </r>
  <r>
    <n v="496"/>
    <n v="40"/>
    <n v="44"/>
    <n v="45"/>
    <n v="44"/>
    <n v="1"/>
    <n v="0.97727272727272729"/>
    <s v="Y"/>
  </r>
  <r>
    <n v="497"/>
    <n v="1"/>
    <n v="336"/>
    <n v="344"/>
    <n v="336"/>
    <n v="8"/>
    <n v="0.97619047619047616"/>
    <s v="Y"/>
  </r>
  <r>
    <n v="497"/>
    <n v="6"/>
    <n v="364"/>
    <n v="360"/>
    <n v="364"/>
    <n v="-4"/>
    <n v="0.98901098901098905"/>
    <s v="N"/>
  </r>
  <r>
    <n v="497"/>
    <n v="50"/>
    <n v="273"/>
    <n v="272"/>
    <n v="273"/>
    <n v="-1"/>
    <n v="0.99633699633699635"/>
    <s v="N"/>
  </r>
  <r>
    <n v="504"/>
    <n v="1"/>
    <n v="392"/>
    <n v="397"/>
    <n v="392"/>
    <n v="5"/>
    <n v="0.98724489795918369"/>
    <s v="N"/>
  </r>
  <r>
    <n v="504"/>
    <n v="6"/>
    <n v="372"/>
    <n v="380"/>
    <n v="372"/>
    <n v="8"/>
    <n v="0.978494623655914"/>
    <s v="Y"/>
  </r>
  <r>
    <n v="504"/>
    <n v="50"/>
    <n v="320"/>
    <n v="322"/>
    <n v="320"/>
    <n v="2"/>
    <n v="0.99375000000000002"/>
    <s v="N"/>
  </r>
  <r>
    <n v="505"/>
    <n v="1"/>
    <n v="388"/>
    <n v="398"/>
    <n v="388"/>
    <n v="10"/>
    <n v="0.97422680412371132"/>
    <s v="Y"/>
  </r>
  <r>
    <n v="505"/>
    <n v="6"/>
    <n v="299"/>
    <n v="307"/>
    <n v="299"/>
    <n v="8"/>
    <n v="0.97324414715719065"/>
    <s v="Y"/>
  </r>
  <r>
    <n v="505"/>
    <n v="50"/>
    <n v="283"/>
    <n v="276"/>
    <n v="283"/>
    <n v="-7"/>
    <n v="0.97526501766784457"/>
    <s v="Y"/>
  </r>
  <r>
    <n v="506"/>
    <n v="1"/>
    <n v="316"/>
    <n v="318"/>
    <n v="316"/>
    <n v="2"/>
    <n v="0.99367088607594933"/>
    <s v="N"/>
  </r>
  <r>
    <n v="506"/>
    <n v="6"/>
    <n v="390"/>
    <n v="395"/>
    <n v="390"/>
    <n v="5"/>
    <n v="0.98717948717948723"/>
    <s v="N"/>
  </r>
  <r>
    <n v="506"/>
    <n v="50"/>
    <n v="121"/>
    <n v="122"/>
    <n v="121"/>
    <n v="1"/>
    <n v="0.99173553719008267"/>
    <s v="N"/>
  </r>
  <r>
    <n v="507"/>
    <n v="6"/>
    <n v="673"/>
    <n v="659"/>
    <n v="673"/>
    <n v="-14"/>
    <n v="0.9791976225854383"/>
    <s v="Y"/>
  </r>
  <r>
    <n v="507"/>
    <n v="50"/>
    <n v="542"/>
    <n v="548"/>
    <n v="542"/>
    <n v="6"/>
    <n v="0.98892988929889303"/>
    <s v="N"/>
  </r>
  <r>
    <n v="508"/>
    <n v="6"/>
    <n v="681"/>
    <n v="671"/>
    <n v="681"/>
    <n v="-10"/>
    <n v="0.98531571218795888"/>
    <s v="N"/>
  </r>
  <r>
    <n v="508"/>
    <n v="50"/>
    <n v="550"/>
    <n v="553"/>
    <n v="550"/>
    <n v="3"/>
    <n v="0.99454545454545451"/>
    <s v="N"/>
  </r>
  <r>
    <n v="509"/>
    <n v="6"/>
    <n v="689"/>
    <n v="702"/>
    <n v="689"/>
    <n v="13"/>
    <n v="0.98113207547169812"/>
    <s v="N"/>
  </r>
  <r>
    <n v="509"/>
    <n v="50"/>
    <n v="558"/>
    <n v="545"/>
    <n v="558"/>
    <n v="-13"/>
    <n v="0.97670250896057342"/>
    <s v="Y"/>
  </r>
  <r>
    <n v="510"/>
    <n v="6"/>
    <n v="406"/>
    <n v="394"/>
    <n v="406"/>
    <n v="-12"/>
    <n v="0.97044334975369462"/>
    <s v="Y"/>
  </r>
  <r>
    <n v="510"/>
    <n v="50"/>
    <n v="316"/>
    <n v="318"/>
    <n v="316"/>
    <n v="2"/>
    <n v="0.99367088607594933"/>
    <s v="N"/>
  </r>
  <r>
    <n v="511"/>
    <n v="6"/>
    <n v="390"/>
    <n v="392"/>
    <n v="390"/>
    <n v="2"/>
    <n v="0.99487179487179489"/>
    <s v="N"/>
  </r>
  <r>
    <n v="511"/>
    <n v="50"/>
    <n v="350"/>
    <n v="357"/>
    <n v="350"/>
    <n v="7"/>
    <n v="0.98"/>
    <s v="N"/>
  </r>
  <r>
    <n v="512"/>
    <n v="6"/>
    <n v="334"/>
    <n v="327"/>
    <n v="334"/>
    <n v="-7"/>
    <n v="0.97904191616766467"/>
    <s v="Y"/>
  </r>
  <r>
    <n v="512"/>
    <n v="50"/>
    <n v="281"/>
    <n v="285"/>
    <n v="281"/>
    <n v="4"/>
    <n v="0.98576512455516019"/>
    <s v="N"/>
  </r>
  <r>
    <n v="513"/>
    <n v="6"/>
    <n v="640"/>
    <n v="621"/>
    <n v="640"/>
    <n v="-19"/>
    <n v="0.97031250000000002"/>
    <s v="Y"/>
  </r>
  <r>
    <n v="513"/>
    <n v="50"/>
    <n v="724"/>
    <n v="727"/>
    <n v="724"/>
    <n v="3"/>
    <n v="0.9958563535911602"/>
    <s v="N"/>
  </r>
  <r>
    <n v="514"/>
    <n v="6"/>
    <n v="267"/>
    <n v="267"/>
    <n v="267"/>
    <n v="0"/>
    <n v="1"/>
    <s v="N"/>
  </r>
  <r>
    <n v="514"/>
    <n v="50"/>
    <n v="318"/>
    <n v="311"/>
    <n v="318"/>
    <n v="-7"/>
    <n v="0.9779874213836478"/>
    <s v="Y"/>
  </r>
  <r>
    <n v="514"/>
    <n v="60"/>
    <n v="212"/>
    <n v="207"/>
    <n v="212"/>
    <n v="-5"/>
    <n v="0.97641509433962259"/>
    <s v="Y"/>
  </r>
  <r>
    <n v="515"/>
    <n v="6"/>
    <n v="268"/>
    <n v="269"/>
    <n v="268"/>
    <n v="1"/>
    <n v="0.99626865671641796"/>
    <s v="N"/>
  </r>
  <r>
    <n v="515"/>
    <n v="50"/>
    <n v="320"/>
    <n v="320"/>
    <n v="320"/>
    <n v="0"/>
    <n v="1"/>
    <s v="N"/>
  </r>
  <r>
    <n v="515"/>
    <n v="60"/>
    <n v="214"/>
    <n v="209"/>
    <n v="214"/>
    <n v="-5"/>
    <n v="0.97663551401869164"/>
    <s v="Y"/>
  </r>
  <r>
    <n v="516"/>
    <n v="6"/>
    <n v="270"/>
    <n v="263"/>
    <n v="270"/>
    <n v="-7"/>
    <n v="0.97407407407407409"/>
    <s v="Y"/>
  </r>
  <r>
    <n v="516"/>
    <n v="50"/>
    <n v="321"/>
    <n v="327"/>
    <n v="321"/>
    <n v="6"/>
    <n v="0.98130841121495327"/>
    <s v="N"/>
  </r>
  <r>
    <n v="516"/>
    <n v="60"/>
    <n v="216"/>
    <n v="213"/>
    <n v="216"/>
    <n v="-3"/>
    <n v="0.98611111111111116"/>
    <s v="N"/>
  </r>
  <r>
    <n v="517"/>
    <n v="6"/>
    <n v="272"/>
    <n v="267"/>
    <n v="272"/>
    <n v="-5"/>
    <n v="0.98161764705882348"/>
    <s v="N"/>
  </r>
  <r>
    <n v="517"/>
    <n v="50"/>
    <n v="323"/>
    <n v="327"/>
    <n v="323"/>
    <n v="4"/>
    <n v="0.9876160990712074"/>
    <s v="N"/>
  </r>
  <r>
    <n v="517"/>
    <n v="60"/>
    <n v="217"/>
    <n v="220"/>
    <n v="217"/>
    <n v="3"/>
    <n v="0.98617511520737322"/>
    <s v="N"/>
  </r>
  <r>
    <n v="518"/>
    <n v="6"/>
    <n v="273"/>
    <n v="273"/>
    <n v="273"/>
    <n v="0"/>
    <n v="1"/>
    <s v="N"/>
  </r>
  <r>
    <n v="518"/>
    <n v="50"/>
    <n v="324"/>
    <n v="328"/>
    <n v="324"/>
    <n v="4"/>
    <n v="0.98765432098765427"/>
    <s v="N"/>
  </r>
  <r>
    <n v="518"/>
    <n v="60"/>
    <n v="219"/>
    <n v="213"/>
    <n v="219"/>
    <n v="-6"/>
    <n v="0.9726027397260274"/>
    <s v="Y"/>
  </r>
  <r>
    <n v="519"/>
    <n v="6"/>
    <n v="275"/>
    <n v="283"/>
    <n v="275"/>
    <n v="8"/>
    <n v="0.97090909090909094"/>
    <s v="Y"/>
  </r>
  <r>
    <n v="519"/>
    <n v="50"/>
    <n v="326"/>
    <n v="325"/>
    <n v="326"/>
    <n v="-1"/>
    <n v="0.99693251533742333"/>
    <s v="N"/>
  </r>
  <r>
    <n v="519"/>
    <n v="60"/>
    <n v="220"/>
    <n v="222"/>
    <n v="220"/>
    <n v="2"/>
    <n v="0.99090909090909096"/>
    <s v="N"/>
  </r>
  <r>
    <n v="520"/>
    <n v="6"/>
    <n v="276"/>
    <n v="271"/>
    <n v="276"/>
    <n v="-5"/>
    <n v="0.98188405797101452"/>
    <s v="N"/>
  </r>
  <r>
    <n v="520"/>
    <n v="50"/>
    <n v="328"/>
    <n v="322"/>
    <n v="328"/>
    <n v="-6"/>
    <n v="0.98170731707317072"/>
    <s v="N"/>
  </r>
  <r>
    <n v="520"/>
    <n v="60"/>
    <n v="222"/>
    <n v="224"/>
    <n v="222"/>
    <n v="2"/>
    <n v="0.99099099099099097"/>
    <s v="N"/>
  </r>
  <r>
    <n v="521"/>
    <n v="6"/>
    <n v="278"/>
    <n v="284"/>
    <n v="278"/>
    <n v="6"/>
    <n v="0.97841726618705038"/>
    <s v="Y"/>
  </r>
  <r>
    <n v="521"/>
    <n v="50"/>
    <n v="329"/>
    <n v="336"/>
    <n v="329"/>
    <n v="7"/>
    <n v="0.97872340425531912"/>
    <s v="Y"/>
  </r>
  <r>
    <n v="521"/>
    <n v="60"/>
    <n v="224"/>
    <n v="228"/>
    <n v="224"/>
    <n v="4"/>
    <n v="0.9821428571428571"/>
    <s v="N"/>
  </r>
  <r>
    <n v="522"/>
    <n v="6"/>
    <n v="280"/>
    <n v="274"/>
    <n v="280"/>
    <n v="-6"/>
    <n v="0.97857142857142854"/>
    <s v="Y"/>
  </r>
  <r>
    <n v="522"/>
    <n v="50"/>
    <n v="331"/>
    <n v="321"/>
    <n v="331"/>
    <n v="-10"/>
    <n v="0.96978851963746227"/>
    <s v="Y"/>
  </r>
  <r>
    <n v="522"/>
    <n v="60"/>
    <n v="225"/>
    <n v="222"/>
    <n v="225"/>
    <n v="-3"/>
    <n v="0.98666666666666669"/>
    <s v="N"/>
  </r>
  <r>
    <n v="523"/>
    <n v="6"/>
    <n v="164"/>
    <n v="162"/>
    <n v="164"/>
    <n v="-2"/>
    <n v="0.98780487804878048"/>
    <s v="N"/>
  </r>
  <r>
    <n v="523"/>
    <n v="50"/>
    <n v="209"/>
    <n v="212"/>
    <n v="209"/>
    <n v="3"/>
    <n v="0.9856459330143541"/>
    <s v="N"/>
  </r>
  <r>
    <n v="523"/>
    <n v="60"/>
    <n v="139"/>
    <n v="141"/>
    <n v="139"/>
    <n v="2"/>
    <n v="0.98561151079136688"/>
    <s v="N"/>
  </r>
  <r>
    <n v="524"/>
    <n v="6"/>
    <n v="124"/>
    <n v="125"/>
    <n v="124"/>
    <n v="1"/>
    <n v="0.99193548387096775"/>
    <s v="N"/>
  </r>
  <r>
    <n v="524"/>
    <n v="50"/>
    <n v="228"/>
    <n v="235"/>
    <n v="228"/>
    <n v="7"/>
    <n v="0.9692982456140351"/>
    <s v="Y"/>
  </r>
  <r>
    <n v="524"/>
    <n v="60"/>
    <n v="107"/>
    <n v="105"/>
    <n v="107"/>
    <n v="-2"/>
    <n v="0.98130841121495327"/>
    <s v="N"/>
  </r>
  <r>
    <n v="525"/>
    <n v="6"/>
    <n v="644"/>
    <n v="632"/>
    <n v="644"/>
    <n v="-12"/>
    <n v="0.98136645962732916"/>
    <s v="N"/>
  </r>
  <r>
    <n v="525"/>
    <n v="50"/>
    <n v="619"/>
    <n v="610"/>
    <n v="619"/>
    <n v="-9"/>
    <n v="0.98546042003231016"/>
    <s v="N"/>
  </r>
  <r>
    <n v="526"/>
    <n v="6"/>
    <n v="587"/>
    <n v="587"/>
    <n v="587"/>
    <n v="0"/>
    <n v="1"/>
    <s v="N"/>
  </r>
  <r>
    <n v="526"/>
    <n v="50"/>
    <n v="624"/>
    <n v="627"/>
    <n v="624"/>
    <n v="3"/>
    <n v="0.99519230769230771"/>
    <s v="N"/>
  </r>
  <r>
    <n v="527"/>
    <n v="6"/>
    <n v="888"/>
    <n v="871"/>
    <n v="888"/>
    <n v="-17"/>
    <n v="0.98085585585585588"/>
    <s v="N"/>
  </r>
  <r>
    <n v="527"/>
    <n v="50"/>
    <n v="702"/>
    <n v="706"/>
    <n v="702"/>
    <n v="4"/>
    <n v="0.99430199430199429"/>
    <s v="N"/>
  </r>
  <r>
    <n v="528"/>
    <n v="6"/>
    <n v="924"/>
    <n v="918"/>
    <n v="924"/>
    <n v="-6"/>
    <n v="0.99350649350649356"/>
    <s v="N"/>
  </r>
  <r>
    <n v="528"/>
    <n v="60"/>
    <n v="729"/>
    <n v="712"/>
    <n v="729"/>
    <n v="-17"/>
    <n v="0.97668038408779145"/>
    <s v="Y"/>
  </r>
  <r>
    <n v="529"/>
    <n v="6"/>
    <n v="425"/>
    <n v="418"/>
    <n v="425"/>
    <n v="-7"/>
    <n v="0.98352941176470587"/>
    <s v="N"/>
  </r>
  <r>
    <n v="529"/>
    <n v="60"/>
    <n v="371"/>
    <n v="366"/>
    <n v="371"/>
    <n v="-5"/>
    <n v="0.98652291105121293"/>
    <s v="N"/>
  </r>
  <r>
    <n v="530"/>
    <n v="6"/>
    <n v="336"/>
    <n v="326"/>
    <n v="336"/>
    <n v="-10"/>
    <n v="0.97023809523809523"/>
    <s v="Y"/>
  </r>
  <r>
    <n v="530"/>
    <n v="60"/>
    <n v="444"/>
    <n v="433"/>
    <n v="444"/>
    <n v="-11"/>
    <n v="0.97522522522522526"/>
    <s v="Y"/>
  </r>
  <r>
    <n v="531"/>
    <n v="6"/>
    <n v="427"/>
    <n v="437"/>
    <n v="427"/>
    <n v="10"/>
    <n v="0.97658079625292737"/>
    <s v="Y"/>
  </r>
  <r>
    <n v="531"/>
    <n v="60"/>
    <n v="374"/>
    <n v="375"/>
    <n v="374"/>
    <n v="1"/>
    <n v="0.99732620320855614"/>
    <s v="N"/>
  </r>
  <r>
    <n v="532"/>
    <n v="6"/>
    <n v="715"/>
    <n v="715"/>
    <n v="715"/>
    <n v="0"/>
    <n v="1"/>
    <s v="N"/>
  </r>
  <r>
    <n v="532"/>
    <n v="60"/>
    <n v="542"/>
    <n v="534"/>
    <n v="542"/>
    <n v="-8"/>
    <n v="0.98523985239852396"/>
    <s v="N"/>
  </r>
  <r>
    <n v="533"/>
    <n v="6"/>
    <n v="443"/>
    <n v="444"/>
    <n v="443"/>
    <n v="1"/>
    <n v="0.99774266365688491"/>
    <s v="N"/>
  </r>
  <r>
    <n v="533"/>
    <n v="60"/>
    <n v="388"/>
    <n v="390"/>
    <n v="388"/>
    <n v="2"/>
    <n v="0.99484536082474229"/>
    <s v="N"/>
  </r>
  <r>
    <n v="534"/>
    <n v="6"/>
    <n v="379"/>
    <n v="380"/>
    <n v="379"/>
    <n v="1"/>
    <n v="0.99736147757255933"/>
    <s v="N"/>
  </r>
  <r>
    <n v="534"/>
    <n v="50"/>
    <n v="278"/>
    <n v="276"/>
    <n v="278"/>
    <n v="-2"/>
    <n v="0.9928057553956835"/>
    <s v="N"/>
  </r>
  <r>
    <n v="535"/>
    <n v="6"/>
    <n v="427"/>
    <n v="424"/>
    <n v="427"/>
    <n v="-3"/>
    <n v="0.99297423887587821"/>
    <s v="N"/>
  </r>
  <r>
    <n v="535"/>
    <n v="50"/>
    <n v="409"/>
    <n v="419"/>
    <n v="409"/>
    <n v="10"/>
    <n v="0.97555012224938875"/>
    <s v="Y"/>
  </r>
  <r>
    <n v="679"/>
    <n v="1"/>
    <n v="164"/>
    <n v="166"/>
    <n v="164"/>
    <n v="2"/>
    <n v="0.98780487804878048"/>
    <s v="N"/>
  </r>
  <r>
    <n v="679"/>
    <n v="6"/>
    <n v="136"/>
    <n v="136"/>
    <n v="136"/>
    <n v="0"/>
    <n v="1"/>
    <s v="N"/>
  </r>
  <r>
    <n v="679"/>
    <n v="50"/>
    <n v="121"/>
    <n v="122"/>
    <n v="121"/>
    <n v="1"/>
    <n v="0.99173553719008267"/>
    <s v="N"/>
  </r>
  <r>
    <n v="707"/>
    <n v="7"/>
    <n v="288"/>
    <n v="286"/>
    <n v="288"/>
    <n v="-2"/>
    <n v="0.99305555555555558"/>
    <s v="N"/>
  </r>
  <r>
    <n v="708"/>
    <n v="7"/>
    <n v="324"/>
    <n v="320"/>
    <n v="324"/>
    <n v="-4"/>
    <n v="0.98765432098765427"/>
    <s v="N"/>
  </r>
  <r>
    <n v="709"/>
    <n v="7"/>
    <n v="180"/>
    <n v="185"/>
    <n v="180"/>
    <n v="5"/>
    <n v="0.97222222222222221"/>
    <s v="Y"/>
  </r>
  <r>
    <n v="710"/>
    <n v="7"/>
    <n v="216"/>
    <n v="221"/>
    <n v="216"/>
    <n v="5"/>
    <n v="0.97685185185185186"/>
    <s v="Y"/>
  </r>
  <r>
    <n v="711"/>
    <n v="7"/>
    <n v="216"/>
    <n v="222"/>
    <n v="216"/>
    <n v="6"/>
    <n v="0.97222222222222221"/>
    <s v="Y"/>
  </r>
  <r>
    <n v="712"/>
    <n v="7"/>
    <n v="288"/>
    <n v="285"/>
    <n v="288"/>
    <n v="-3"/>
    <n v="0.98958333333333337"/>
    <s v="N"/>
  </r>
  <r>
    <n v="713"/>
    <n v="7"/>
    <n v="144"/>
    <n v="143"/>
    <n v="144"/>
    <n v="-1"/>
    <n v="0.99305555555555558"/>
    <s v="N"/>
  </r>
  <r>
    <n v="714"/>
    <n v="7"/>
    <n v="180"/>
    <n v="182"/>
    <n v="180"/>
    <n v="2"/>
    <n v="0.98888888888888893"/>
    <s v="N"/>
  </r>
  <r>
    <n v="715"/>
    <n v="7"/>
    <n v="216"/>
    <n v="210"/>
    <n v="216"/>
    <n v="-6"/>
    <n v="0.97222222222222221"/>
    <s v="Y"/>
  </r>
  <r>
    <n v="716"/>
    <n v="7"/>
    <n v="252"/>
    <n v="246"/>
    <n v="252"/>
    <n v="-6"/>
    <n v="0.97619047619047616"/>
    <s v="Y"/>
  </r>
  <r>
    <n v="747"/>
    <n v="10"/>
    <n v="121"/>
    <n v="121"/>
    <n v="121"/>
    <n v="0"/>
    <n v="1"/>
    <s v="N"/>
  </r>
  <r>
    <n v="747"/>
    <n v="20"/>
    <n v="161"/>
    <n v="156"/>
    <n v="161"/>
    <n v="-5"/>
    <n v="0.96894409937888204"/>
    <s v="Y"/>
  </r>
  <r>
    <n v="747"/>
    <n v="30"/>
    <n v="148"/>
    <n v="152"/>
    <n v="148"/>
    <n v="4"/>
    <n v="0.97297297297297303"/>
    <s v="Y"/>
  </r>
  <r>
    <n v="747"/>
    <n v="40"/>
    <n v="107"/>
    <n v="105"/>
    <n v="107"/>
    <n v="-2"/>
    <n v="0.98130841121495327"/>
    <s v="N"/>
  </r>
  <r>
    <n v="747"/>
    <n v="50"/>
    <n v="160"/>
    <n v="156"/>
    <n v="160"/>
    <n v="-4"/>
    <n v="0.97499999999999998"/>
    <s v="Y"/>
  </r>
  <r>
    <n v="747"/>
    <n v="60"/>
    <n v="137"/>
    <n v="133"/>
    <n v="137"/>
    <n v="-4"/>
    <n v="0.97080291970802923"/>
    <s v="Y"/>
  </r>
  <r>
    <n v="748"/>
    <n v="10"/>
    <n v="105"/>
    <n v="107"/>
    <n v="105"/>
    <n v="2"/>
    <n v="0.98095238095238091"/>
    <s v="N"/>
  </r>
  <r>
    <n v="748"/>
    <n v="20"/>
    <n v="145"/>
    <n v="142"/>
    <n v="145"/>
    <n v="-3"/>
    <n v="0.97931034482758617"/>
    <s v="Y"/>
  </r>
  <r>
    <n v="748"/>
    <n v="30"/>
    <n v="132"/>
    <n v="129"/>
    <n v="132"/>
    <n v="-3"/>
    <n v="0.97727272727272729"/>
    <s v="Y"/>
  </r>
  <r>
    <n v="748"/>
    <n v="45"/>
    <n v="91"/>
    <n v="94"/>
    <n v="91"/>
    <n v="3"/>
    <n v="0.96703296703296704"/>
    <s v="Y"/>
  </r>
  <r>
    <n v="748"/>
    <n v="50"/>
    <n v="144"/>
    <n v="140"/>
    <n v="144"/>
    <n v="-4"/>
    <n v="0.97222222222222221"/>
    <s v="Y"/>
  </r>
  <r>
    <n v="748"/>
    <n v="60"/>
    <n v="121"/>
    <n v="122"/>
    <n v="121"/>
    <n v="1"/>
    <n v="0.99173553719008267"/>
    <s v="N"/>
  </r>
  <r>
    <n v="749"/>
    <n v="7"/>
    <n v="73"/>
    <n v="71"/>
    <n v="73"/>
    <n v="-2"/>
    <n v="0.9726027397260274"/>
    <s v="Y"/>
  </r>
  <r>
    <n v="749"/>
    <n v="60"/>
    <n v="60"/>
    <n v="58"/>
    <n v="60"/>
    <n v="-2"/>
    <n v="0.96666666666666667"/>
    <s v="Y"/>
  </r>
  <r>
    <n v="750"/>
    <n v="7"/>
    <n v="102"/>
    <n v="102"/>
    <n v="102"/>
    <n v="0"/>
    <n v="1"/>
    <s v="N"/>
  </r>
  <r>
    <n v="750"/>
    <n v="60"/>
    <n v="121"/>
    <n v="119"/>
    <n v="121"/>
    <n v="-2"/>
    <n v="0.98347107438016534"/>
    <s v="N"/>
  </r>
  <r>
    <n v="751"/>
    <n v="7"/>
    <n v="32"/>
    <n v="31"/>
    <n v="32"/>
    <n v="-1"/>
    <n v="0.96875"/>
    <s v="Y"/>
  </r>
  <r>
    <n v="751"/>
    <n v="60"/>
    <n v="108"/>
    <n v="108"/>
    <n v="108"/>
    <n v="0"/>
    <n v="1"/>
    <s v="N"/>
  </r>
  <r>
    <n v="752"/>
    <n v="7"/>
    <n v="52"/>
    <n v="53"/>
    <n v="52"/>
    <n v="1"/>
    <n v="0.98076923076923073"/>
    <s v="N"/>
  </r>
  <r>
    <n v="752"/>
    <n v="60"/>
    <n v="76"/>
    <n v="77"/>
    <n v="76"/>
    <n v="1"/>
    <n v="0.98684210526315785"/>
    <s v="N"/>
  </r>
  <r>
    <n v="753"/>
    <n v="7"/>
    <n v="112"/>
    <n v="112"/>
    <n v="112"/>
    <n v="0"/>
    <n v="1"/>
    <s v="N"/>
  </r>
  <r>
    <n v="753"/>
    <n v="60"/>
    <n v="51"/>
    <n v="52"/>
    <n v="51"/>
    <n v="1"/>
    <n v="0.98039215686274506"/>
    <s v="N"/>
  </r>
  <r>
    <n v="754"/>
    <n v="7"/>
    <n v="65"/>
    <n v="65"/>
    <n v="65"/>
    <n v="0"/>
    <n v="1"/>
    <s v="N"/>
  </r>
  <r>
    <n v="754"/>
    <n v="60"/>
    <n v="83"/>
    <n v="84"/>
    <n v="83"/>
    <n v="1"/>
    <n v="0.98795180722891562"/>
    <s v="N"/>
  </r>
  <r>
    <n v="755"/>
    <n v="7"/>
    <n v="75"/>
    <n v="74"/>
    <n v="75"/>
    <n v="-1"/>
    <n v="0.98666666666666669"/>
    <s v="N"/>
  </r>
  <r>
    <n v="755"/>
    <n v="60"/>
    <n v="62"/>
    <n v="61"/>
    <n v="62"/>
    <n v="-1"/>
    <n v="0.9838709677419355"/>
    <s v="N"/>
  </r>
  <r>
    <n v="756"/>
    <n v="7"/>
    <n v="30"/>
    <n v="31"/>
    <n v="30"/>
    <n v="1"/>
    <n v="0.96666666666666667"/>
    <s v="Y"/>
  </r>
  <r>
    <n v="756"/>
    <n v="60"/>
    <n v="99"/>
    <n v="98"/>
    <n v="99"/>
    <n v="-1"/>
    <n v="0.98989898989898994"/>
    <s v="N"/>
  </r>
  <r>
    <n v="757"/>
    <n v="7"/>
    <n v="56"/>
    <n v="55"/>
    <n v="56"/>
    <n v="-1"/>
    <n v="0.9821428571428571"/>
    <s v="N"/>
  </r>
  <r>
    <n v="757"/>
    <n v="60"/>
    <n v="78"/>
    <n v="76"/>
    <n v="78"/>
    <n v="-2"/>
    <n v="0.97435897435897434"/>
    <s v="Y"/>
  </r>
  <r>
    <n v="758"/>
    <n v="7"/>
    <n v="116"/>
    <n v="113"/>
    <n v="116"/>
    <n v="-3"/>
    <n v="0.97413793103448276"/>
    <s v="Y"/>
  </r>
  <r>
    <n v="758"/>
    <n v="60"/>
    <n v="49"/>
    <n v="49"/>
    <n v="49"/>
    <n v="0"/>
    <n v="1"/>
    <s v="N"/>
  </r>
  <r>
    <n v="759"/>
    <n v="7"/>
    <n v="112"/>
    <n v="111"/>
    <n v="112"/>
    <n v="-1"/>
    <n v="0.9910714285714286"/>
    <s v="N"/>
  </r>
  <r>
    <n v="759"/>
    <n v="60"/>
    <n v="51"/>
    <n v="51"/>
    <n v="51"/>
    <n v="0"/>
    <n v="1"/>
    <s v="N"/>
  </r>
  <r>
    <n v="760"/>
    <n v="7"/>
    <n v="99"/>
    <n v="101"/>
    <n v="99"/>
    <n v="2"/>
    <n v="0.97979797979797978"/>
    <s v="Y"/>
  </r>
  <r>
    <n v="760"/>
    <n v="60"/>
    <n v="86"/>
    <n v="88"/>
    <n v="86"/>
    <n v="2"/>
    <n v="0.97674418604651159"/>
    <s v="Y"/>
  </r>
  <r>
    <n v="761"/>
    <n v="7"/>
    <n v="67"/>
    <n v="68"/>
    <n v="67"/>
    <n v="1"/>
    <n v="0.9850746268656716"/>
    <s v="N"/>
  </r>
  <r>
    <n v="761"/>
    <n v="60"/>
    <n v="81"/>
    <n v="79"/>
    <n v="81"/>
    <n v="-2"/>
    <n v="0.97530864197530864"/>
    <s v="Y"/>
  </r>
  <r>
    <n v="762"/>
    <n v="7"/>
    <n v="75"/>
    <n v="75"/>
    <n v="75"/>
    <n v="0"/>
    <n v="1"/>
    <s v="N"/>
  </r>
  <r>
    <n v="762"/>
    <n v="60"/>
    <n v="62"/>
    <n v="63"/>
    <n v="62"/>
    <n v="1"/>
    <n v="0.9838709677419355"/>
    <s v="N"/>
  </r>
  <r>
    <n v="763"/>
    <n v="7"/>
    <n v="102"/>
    <n v="104"/>
    <n v="102"/>
    <n v="2"/>
    <n v="0.98039215686274506"/>
    <s v="N"/>
  </r>
  <r>
    <n v="763"/>
    <n v="60"/>
    <n v="121"/>
    <n v="121"/>
    <n v="121"/>
    <n v="0"/>
    <n v="1"/>
    <s v="N"/>
  </r>
  <r>
    <n v="764"/>
    <n v="7"/>
    <n v="32"/>
    <n v="32"/>
    <n v="32"/>
    <n v="0"/>
    <n v="1"/>
    <s v="N"/>
  </r>
  <r>
    <n v="764"/>
    <n v="60"/>
    <n v="108"/>
    <n v="108"/>
    <n v="108"/>
    <n v="0"/>
    <n v="1"/>
    <s v="N"/>
  </r>
  <r>
    <n v="765"/>
    <n v="7"/>
    <n v="56"/>
    <n v="56"/>
    <n v="56"/>
    <n v="0"/>
    <n v="1"/>
    <s v="N"/>
  </r>
  <r>
    <n v="765"/>
    <n v="60"/>
    <n v="78"/>
    <n v="78"/>
    <n v="78"/>
    <n v="0"/>
    <n v="1"/>
    <s v="N"/>
  </r>
  <r>
    <n v="766"/>
    <n v="7"/>
    <n v="116"/>
    <n v="113"/>
    <n v="116"/>
    <n v="-3"/>
    <n v="0.97413793103448276"/>
    <s v="Y"/>
  </r>
  <r>
    <n v="766"/>
    <n v="60"/>
    <n v="49"/>
    <n v="48"/>
    <n v="49"/>
    <n v="-1"/>
    <n v="0.97959183673469385"/>
    <s v="Y"/>
  </r>
  <r>
    <n v="767"/>
    <n v="7"/>
    <n v="100"/>
    <n v="100"/>
    <n v="100"/>
    <n v="0"/>
    <n v="1"/>
    <s v="N"/>
  </r>
  <r>
    <n v="767"/>
    <n v="60"/>
    <n v="88"/>
    <n v="91"/>
    <n v="88"/>
    <n v="3"/>
    <n v="0.96590909090909094"/>
    <s v="Y"/>
  </r>
  <r>
    <n v="768"/>
    <n v="7"/>
    <n v="67"/>
    <n v="69"/>
    <n v="67"/>
    <n v="2"/>
    <n v="0.97014925373134331"/>
    <s v="Y"/>
  </r>
  <r>
    <n v="768"/>
    <n v="60"/>
    <n v="81"/>
    <n v="83"/>
    <n v="81"/>
    <n v="2"/>
    <n v="0.97530864197530864"/>
    <s v="Y"/>
  </r>
  <r>
    <n v="769"/>
    <n v="7"/>
    <n v="73"/>
    <n v="75"/>
    <n v="73"/>
    <n v="2"/>
    <n v="0.9726027397260274"/>
    <s v="Y"/>
  </r>
  <r>
    <n v="769"/>
    <n v="60"/>
    <n v="60"/>
    <n v="62"/>
    <n v="60"/>
    <n v="2"/>
    <n v="0.96666666666666667"/>
    <s v="Y"/>
  </r>
  <r>
    <n v="770"/>
    <n v="7"/>
    <n v="104"/>
    <n v="102"/>
    <n v="104"/>
    <n v="-2"/>
    <n v="0.98076923076923073"/>
    <s v="N"/>
  </r>
  <r>
    <n v="770"/>
    <n v="60"/>
    <n v="123"/>
    <n v="123"/>
    <n v="123"/>
    <n v="0"/>
    <n v="1"/>
    <s v="N"/>
  </r>
  <r>
    <n v="771"/>
    <n v="7"/>
    <n v="49"/>
    <n v="49"/>
    <n v="49"/>
    <n v="0"/>
    <n v="1"/>
    <s v="N"/>
  </r>
  <r>
    <n v="771"/>
    <n v="60"/>
    <n v="100"/>
    <n v="101"/>
    <n v="100"/>
    <n v="1"/>
    <n v="0.99"/>
    <s v="N"/>
  </r>
  <r>
    <n v="772"/>
    <n v="7"/>
    <n v="88"/>
    <n v="86"/>
    <n v="88"/>
    <n v="-2"/>
    <n v="0.97727272727272729"/>
    <s v="Y"/>
  </r>
  <r>
    <n v="772"/>
    <n v="60"/>
    <n v="65"/>
    <n v="65"/>
    <n v="65"/>
    <n v="0"/>
    <n v="1"/>
    <s v="N"/>
  </r>
  <r>
    <n v="773"/>
    <n v="7"/>
    <n v="83"/>
    <n v="83"/>
    <n v="83"/>
    <n v="0"/>
    <n v="1"/>
    <s v="N"/>
  </r>
  <r>
    <n v="773"/>
    <n v="60"/>
    <n v="75"/>
    <n v="73"/>
    <n v="75"/>
    <n v="-2"/>
    <n v="0.97333333333333338"/>
    <s v="Y"/>
  </r>
  <r>
    <n v="774"/>
    <n v="7"/>
    <n v="62"/>
    <n v="61"/>
    <n v="62"/>
    <n v="-1"/>
    <n v="0.9838709677419355"/>
    <s v="N"/>
  </r>
  <r>
    <n v="774"/>
    <n v="60"/>
    <n v="102"/>
    <n v="104"/>
    <n v="102"/>
    <n v="2"/>
    <n v="0.98039215686274506"/>
    <s v="N"/>
  </r>
  <r>
    <n v="775"/>
    <n v="7"/>
    <n v="99"/>
    <n v="100"/>
    <n v="99"/>
    <n v="1"/>
    <n v="0.98989898989898994"/>
    <s v="N"/>
  </r>
  <r>
    <n v="775"/>
    <n v="60"/>
    <n v="56"/>
    <n v="58"/>
    <n v="56"/>
    <n v="2"/>
    <n v="0.9642857142857143"/>
    <s v="Y"/>
  </r>
  <r>
    <n v="776"/>
    <n v="7"/>
    <n v="78"/>
    <n v="77"/>
    <n v="78"/>
    <n v="-1"/>
    <n v="0.98717948717948723"/>
    <s v="N"/>
  </r>
  <r>
    <n v="776"/>
    <n v="60"/>
    <n v="116"/>
    <n v="119"/>
    <n v="116"/>
    <n v="3"/>
    <n v="0.97413793103448276"/>
    <s v="Y"/>
  </r>
  <r>
    <n v="777"/>
    <n v="7"/>
    <n v="49"/>
    <n v="50"/>
    <n v="49"/>
    <n v="1"/>
    <n v="0.97959183673469385"/>
    <s v="Y"/>
  </r>
  <r>
    <n v="777"/>
    <n v="60"/>
    <n v="100"/>
    <n v="102"/>
    <n v="100"/>
    <n v="2"/>
    <n v="0.98"/>
    <s v="N"/>
  </r>
  <r>
    <n v="778"/>
    <n v="7"/>
    <n v="88"/>
    <n v="87"/>
    <n v="88"/>
    <n v="-1"/>
    <n v="0.98863636363636365"/>
    <s v="N"/>
  </r>
  <r>
    <n v="778"/>
    <n v="60"/>
    <n v="65"/>
    <n v="64"/>
    <n v="65"/>
    <n v="-1"/>
    <n v="0.98461538461538467"/>
    <s v="N"/>
  </r>
  <r>
    <n v="779"/>
    <n v="7"/>
    <n v="75"/>
    <n v="73"/>
    <n v="75"/>
    <n v="-2"/>
    <n v="0.97333333333333338"/>
    <s v="Y"/>
  </r>
  <r>
    <n v="779"/>
    <n v="60"/>
    <n v="62"/>
    <n v="63"/>
    <n v="62"/>
    <n v="1"/>
    <n v="0.9838709677419355"/>
    <s v="N"/>
  </r>
  <r>
    <n v="780"/>
    <n v="7"/>
    <n v="102"/>
    <n v="103"/>
    <n v="102"/>
    <n v="1"/>
    <n v="0.99019607843137258"/>
    <s v="N"/>
  </r>
  <r>
    <n v="780"/>
    <n v="60"/>
    <n v="121"/>
    <n v="122"/>
    <n v="121"/>
    <n v="1"/>
    <n v="0.99173553719008267"/>
    <s v="N"/>
  </r>
  <r>
    <n v="781"/>
    <n v="7"/>
    <n v="32"/>
    <n v="32"/>
    <n v="32"/>
    <n v="0"/>
    <n v="1"/>
    <s v="N"/>
  </r>
  <r>
    <n v="781"/>
    <n v="60"/>
    <n v="108"/>
    <n v="108"/>
    <n v="108"/>
    <n v="0"/>
    <n v="1"/>
    <s v="N"/>
  </r>
  <r>
    <n v="782"/>
    <n v="7"/>
    <n v="100"/>
    <n v="98"/>
    <n v="100"/>
    <n v="-2"/>
    <n v="0.98"/>
    <s v="N"/>
  </r>
  <r>
    <n v="782"/>
    <n v="60"/>
    <n v="88"/>
    <n v="88"/>
    <n v="88"/>
    <n v="0"/>
    <n v="1"/>
    <s v="N"/>
  </r>
  <r>
    <n v="783"/>
    <n v="7"/>
    <n v="65"/>
    <n v="66"/>
    <n v="65"/>
    <n v="1"/>
    <n v="0.98461538461538467"/>
    <s v="N"/>
  </r>
  <r>
    <n v="783"/>
    <n v="60"/>
    <n v="83"/>
    <n v="82"/>
    <n v="83"/>
    <n v="-1"/>
    <n v="0.98795180722891562"/>
    <s v="N"/>
  </r>
  <r>
    <n v="784"/>
    <n v="7"/>
    <n v="75"/>
    <n v="74"/>
    <n v="75"/>
    <n v="-1"/>
    <n v="0.98666666666666669"/>
    <s v="N"/>
  </r>
  <r>
    <n v="784"/>
    <n v="60"/>
    <n v="62"/>
    <n v="60"/>
    <n v="62"/>
    <n v="-2"/>
    <n v="0.967741935483871"/>
    <s v="Y"/>
  </r>
  <r>
    <n v="785"/>
    <n v="7"/>
    <n v="75"/>
    <n v="74"/>
    <n v="75"/>
    <n v="-1"/>
    <n v="0.98666666666666669"/>
    <s v="N"/>
  </r>
  <r>
    <n v="785"/>
    <n v="60"/>
    <n v="62"/>
    <n v="63"/>
    <n v="62"/>
    <n v="1"/>
    <n v="0.9838709677419355"/>
    <s v="N"/>
  </r>
  <r>
    <n v="786"/>
    <n v="7"/>
    <n v="102"/>
    <n v="100"/>
    <n v="102"/>
    <n v="-2"/>
    <n v="0.98039215686274506"/>
    <s v="N"/>
  </r>
  <r>
    <n v="786"/>
    <n v="60"/>
    <n v="121"/>
    <n v="124"/>
    <n v="121"/>
    <n v="3"/>
    <n v="0.97520661157024791"/>
    <s v="Y"/>
  </r>
  <r>
    <n v="787"/>
    <n v="7"/>
    <n v="32"/>
    <n v="32"/>
    <n v="32"/>
    <n v="0"/>
    <n v="1"/>
    <s v="N"/>
  </r>
  <r>
    <n v="787"/>
    <n v="60"/>
    <n v="108"/>
    <n v="109"/>
    <n v="108"/>
    <n v="1"/>
    <n v="0.9907407407407407"/>
    <s v="N"/>
  </r>
  <r>
    <n v="788"/>
    <n v="7"/>
    <n v="52"/>
    <n v="53"/>
    <n v="52"/>
    <n v="1"/>
    <n v="0.98076923076923073"/>
    <s v="N"/>
  </r>
  <r>
    <n v="788"/>
    <n v="60"/>
    <n v="76"/>
    <n v="76"/>
    <n v="76"/>
    <n v="0"/>
    <n v="1"/>
    <s v="N"/>
  </r>
  <r>
    <n v="789"/>
    <n v="7"/>
    <n v="112"/>
    <n v="115"/>
    <n v="112"/>
    <n v="3"/>
    <n v="0.9732142857142857"/>
    <s v="Y"/>
  </r>
  <r>
    <n v="789"/>
    <n v="60"/>
    <n v="51"/>
    <n v="52"/>
    <n v="51"/>
    <n v="1"/>
    <n v="0.98039215686274506"/>
    <s v="N"/>
  </r>
  <r>
    <n v="790"/>
    <n v="7"/>
    <n v="99"/>
    <n v="97"/>
    <n v="99"/>
    <n v="-2"/>
    <n v="0.97979797979797978"/>
    <s v="Y"/>
  </r>
  <r>
    <n v="790"/>
    <n v="60"/>
    <n v="86"/>
    <n v="88"/>
    <n v="86"/>
    <n v="2"/>
    <n v="0.97674418604651159"/>
    <s v="Y"/>
  </r>
  <r>
    <n v="791"/>
    <n v="7"/>
    <n v="67"/>
    <n v="65"/>
    <n v="67"/>
    <n v="-2"/>
    <n v="0.97014925373134331"/>
    <s v="Y"/>
  </r>
  <r>
    <n v="791"/>
    <n v="60"/>
    <n v="81"/>
    <n v="83"/>
    <n v="81"/>
    <n v="2"/>
    <n v="0.97530864197530864"/>
    <s v="Y"/>
  </r>
  <r>
    <n v="792"/>
    <n v="7"/>
    <n v="104"/>
    <n v="103"/>
    <n v="104"/>
    <n v="-1"/>
    <n v="0.99038461538461542"/>
    <s v="N"/>
  </r>
  <r>
    <n v="792"/>
    <n v="60"/>
    <n v="123"/>
    <n v="124"/>
    <n v="123"/>
    <n v="1"/>
    <n v="0.99186991869918695"/>
    <s v="N"/>
  </r>
  <r>
    <n v="793"/>
    <n v="7"/>
    <n v="56"/>
    <n v="55"/>
    <n v="56"/>
    <n v="-1"/>
    <n v="0.9821428571428571"/>
    <s v="N"/>
  </r>
  <r>
    <n v="793"/>
    <n v="60"/>
    <n v="78"/>
    <n v="78"/>
    <n v="78"/>
    <n v="0"/>
    <n v="1"/>
    <s v="N"/>
  </r>
  <r>
    <n v="794"/>
    <n v="7"/>
    <n v="116"/>
    <n v="117"/>
    <n v="116"/>
    <n v="1"/>
    <n v="0.99137931034482762"/>
    <s v="N"/>
  </r>
  <r>
    <n v="794"/>
    <n v="60"/>
    <n v="49"/>
    <n v="50"/>
    <n v="49"/>
    <n v="1"/>
    <n v="0.97959183673469385"/>
    <s v="Y"/>
  </r>
  <r>
    <n v="795"/>
    <n v="7"/>
    <n v="100"/>
    <n v="97"/>
    <n v="100"/>
    <n v="-3"/>
    <n v="0.97"/>
    <s v="Y"/>
  </r>
  <r>
    <n v="795"/>
    <n v="60"/>
    <n v="88"/>
    <n v="90"/>
    <n v="88"/>
    <n v="2"/>
    <n v="0.97727272727272729"/>
    <s v="Y"/>
  </r>
  <r>
    <n v="796"/>
    <n v="7"/>
    <n v="65"/>
    <n v="67"/>
    <n v="65"/>
    <n v="2"/>
    <n v="0.96923076923076923"/>
    <s v="Y"/>
  </r>
  <r>
    <n v="796"/>
    <n v="60"/>
    <n v="83"/>
    <n v="85"/>
    <n v="83"/>
    <n v="2"/>
    <n v="0.97590361445783136"/>
    <s v="Y"/>
  </r>
  <r>
    <n v="797"/>
    <n v="7"/>
    <n v="67"/>
    <n v="68"/>
    <n v="67"/>
    <n v="1"/>
    <n v="0.9850746268656716"/>
    <s v="N"/>
  </r>
  <r>
    <n v="797"/>
    <n v="60"/>
    <n v="81"/>
    <n v="80"/>
    <n v="81"/>
    <n v="-1"/>
    <n v="0.98765432098765427"/>
    <s v="N"/>
  </r>
  <r>
    <n v="798"/>
    <n v="7"/>
    <n v="73"/>
    <n v="72"/>
    <n v="73"/>
    <n v="-1"/>
    <n v="0.98630136986301364"/>
    <s v="N"/>
  </r>
  <r>
    <n v="798"/>
    <n v="60"/>
    <n v="60"/>
    <n v="60"/>
    <n v="60"/>
    <n v="0"/>
    <n v="1"/>
    <s v="N"/>
  </r>
  <r>
    <n v="799"/>
    <n v="7"/>
    <n v="104"/>
    <n v="104"/>
    <n v="104"/>
    <n v="0"/>
    <n v="1"/>
    <s v="N"/>
  </r>
  <r>
    <n v="799"/>
    <n v="60"/>
    <n v="123"/>
    <n v="121"/>
    <n v="123"/>
    <n v="-2"/>
    <n v="0.98373983739837401"/>
    <s v="N"/>
  </r>
  <r>
    <n v="800"/>
    <n v="7"/>
    <n v="30"/>
    <n v="30"/>
    <n v="30"/>
    <n v="0"/>
    <n v="1"/>
    <s v="N"/>
  </r>
  <r>
    <n v="800"/>
    <n v="60"/>
    <n v="99"/>
    <n v="102"/>
    <n v="99"/>
    <n v="3"/>
    <n v="0.96969696969696972"/>
    <s v="Y"/>
  </r>
  <r>
    <n v="801"/>
    <n v="7"/>
    <n v="56"/>
    <n v="56"/>
    <n v="56"/>
    <n v="0"/>
    <n v="1"/>
    <s v="N"/>
  </r>
  <r>
    <n v="801"/>
    <n v="60"/>
    <n v="78"/>
    <n v="78"/>
    <n v="78"/>
    <n v="0"/>
    <n v="1"/>
    <s v="N"/>
  </r>
  <r>
    <n v="802"/>
    <n v="5"/>
    <n v="350"/>
    <n v="343"/>
    <n v="350"/>
    <n v="-7"/>
    <n v="0.98"/>
    <s v="N"/>
  </r>
  <r>
    <n v="802"/>
    <n v="10"/>
    <n v="240"/>
    <n v="237"/>
    <n v="240"/>
    <n v="-3"/>
    <n v="0.98750000000000004"/>
    <s v="N"/>
  </r>
  <r>
    <n v="802"/>
    <n v="50"/>
    <n v="273"/>
    <n v="271"/>
    <n v="273"/>
    <n v="-2"/>
    <n v="0.9926739926739927"/>
    <s v="N"/>
  </r>
  <r>
    <n v="803"/>
    <n v="5"/>
    <n v="356"/>
    <n v="355"/>
    <n v="356"/>
    <n v="-1"/>
    <n v="0.9971910112359551"/>
    <s v="N"/>
  </r>
  <r>
    <n v="803"/>
    <n v="10"/>
    <n v="246"/>
    <n v="248"/>
    <n v="246"/>
    <n v="2"/>
    <n v="0.99186991869918695"/>
    <s v="N"/>
  </r>
  <r>
    <n v="803"/>
    <n v="50"/>
    <n v="280"/>
    <n v="280"/>
    <n v="280"/>
    <n v="0"/>
    <n v="1"/>
    <s v="N"/>
  </r>
  <r>
    <n v="804"/>
    <n v="5"/>
    <n v="363"/>
    <n v="370"/>
    <n v="363"/>
    <n v="7"/>
    <n v="0.9807162534435262"/>
    <s v="N"/>
  </r>
  <r>
    <n v="804"/>
    <n v="10"/>
    <n v="252"/>
    <n v="249"/>
    <n v="252"/>
    <n v="-3"/>
    <n v="0.98809523809523814"/>
    <s v="N"/>
  </r>
  <r>
    <n v="804"/>
    <n v="50"/>
    <n v="286"/>
    <n v="286"/>
    <n v="286"/>
    <n v="0"/>
    <n v="1"/>
    <s v="N"/>
  </r>
  <r>
    <n v="805"/>
    <n v="1"/>
    <n v="284"/>
    <n v="283"/>
    <n v="284"/>
    <n v="-1"/>
    <n v="0.99647887323943662"/>
    <s v="N"/>
  </r>
  <r>
    <n v="805"/>
    <n v="6"/>
    <n v="265"/>
    <n v="266"/>
    <n v="265"/>
    <n v="1"/>
    <n v="0.99622641509433962"/>
    <s v="N"/>
  </r>
  <r>
    <n v="805"/>
    <n v="50"/>
    <n v="212"/>
    <n v="211"/>
    <n v="212"/>
    <n v="-1"/>
    <n v="0.99528301886792447"/>
    <s v="N"/>
  </r>
  <r>
    <n v="806"/>
    <n v="1"/>
    <n v="288"/>
    <n v="282"/>
    <n v="288"/>
    <n v="-6"/>
    <n v="0.97916666666666663"/>
    <s v="Y"/>
  </r>
  <r>
    <n v="806"/>
    <n v="6"/>
    <n v="268"/>
    <n v="274"/>
    <n v="268"/>
    <n v="6"/>
    <n v="0.97761194029850751"/>
    <s v="Y"/>
  </r>
  <r>
    <n v="806"/>
    <n v="50"/>
    <n v="216"/>
    <n v="218"/>
    <n v="216"/>
    <n v="2"/>
    <n v="0.9907407407407407"/>
    <s v="N"/>
  </r>
  <r>
    <n v="807"/>
    <n v="1"/>
    <n v="291"/>
    <n v="294"/>
    <n v="291"/>
    <n v="3"/>
    <n v="0.98969072164948457"/>
    <s v="N"/>
  </r>
  <r>
    <n v="807"/>
    <n v="6"/>
    <n v="272"/>
    <n v="279"/>
    <n v="272"/>
    <n v="7"/>
    <n v="0.97426470588235292"/>
    <s v="Y"/>
  </r>
  <r>
    <n v="807"/>
    <n v="50"/>
    <n v="219"/>
    <n v="218"/>
    <n v="219"/>
    <n v="-1"/>
    <n v="0.99543378995433796"/>
    <s v="N"/>
  </r>
  <r>
    <n v="808"/>
    <n v="10"/>
    <n v="267"/>
    <n v="267"/>
    <n v="267"/>
    <n v="0"/>
    <n v="1"/>
    <s v="N"/>
  </r>
  <r>
    <n v="808"/>
    <n v="20"/>
    <n v="276"/>
    <n v="277"/>
    <n v="276"/>
    <n v="1"/>
    <n v="0.99637681159420288"/>
    <s v="N"/>
  </r>
  <r>
    <n v="808"/>
    <n v="50"/>
    <n v="316"/>
    <n v="317"/>
    <n v="316"/>
    <n v="1"/>
    <n v="0.99683544303797467"/>
    <s v="N"/>
  </r>
  <r>
    <n v="809"/>
    <n v="10"/>
    <n v="264"/>
    <n v="269"/>
    <n v="264"/>
    <n v="5"/>
    <n v="0.98106060606060608"/>
    <s v="N"/>
  </r>
  <r>
    <n v="809"/>
    <n v="20"/>
    <n v="273"/>
    <n v="266"/>
    <n v="273"/>
    <n v="-7"/>
    <n v="0.97435897435897434"/>
    <s v="Y"/>
  </r>
  <r>
    <n v="809"/>
    <n v="50"/>
    <n v="313"/>
    <n v="307"/>
    <n v="313"/>
    <n v="-6"/>
    <n v="0.98083067092651754"/>
    <s v="N"/>
  </r>
  <r>
    <n v="810"/>
    <n v="10"/>
    <n v="260"/>
    <n v="258"/>
    <n v="260"/>
    <n v="-2"/>
    <n v="0.99230769230769234"/>
    <s v="N"/>
  </r>
  <r>
    <n v="810"/>
    <n v="20"/>
    <n v="270"/>
    <n v="271"/>
    <n v="270"/>
    <n v="1"/>
    <n v="0.99629629629629635"/>
    <s v="N"/>
  </r>
  <r>
    <n v="810"/>
    <n v="50"/>
    <n v="310"/>
    <n v="305"/>
    <n v="310"/>
    <n v="-5"/>
    <n v="0.9838709677419355"/>
    <s v="N"/>
  </r>
  <r>
    <n v="811"/>
    <n v="10"/>
    <n v="257"/>
    <n v="261"/>
    <n v="257"/>
    <n v="4"/>
    <n v="0.98443579766536971"/>
    <s v="N"/>
  </r>
  <r>
    <n v="811"/>
    <n v="20"/>
    <n v="267"/>
    <n v="270"/>
    <n v="267"/>
    <n v="3"/>
    <n v="0.9887640449438202"/>
    <s v="N"/>
  </r>
  <r>
    <n v="811"/>
    <n v="50"/>
    <n v="307"/>
    <n v="305"/>
    <n v="307"/>
    <n v="-2"/>
    <n v="0.99348534201954397"/>
    <s v="N"/>
  </r>
  <r>
    <n v="812"/>
    <n v="10"/>
    <n v="254"/>
    <n v="255"/>
    <n v="254"/>
    <n v="1"/>
    <n v="0.99606299212598426"/>
    <s v="N"/>
  </r>
  <r>
    <n v="812"/>
    <n v="20"/>
    <n v="264"/>
    <n v="258"/>
    <n v="264"/>
    <n v="-6"/>
    <n v="0.97727272727272729"/>
    <s v="Y"/>
  </r>
  <r>
    <n v="812"/>
    <n v="50"/>
    <n v="304"/>
    <n v="313"/>
    <n v="304"/>
    <n v="9"/>
    <n v="0.97039473684210531"/>
    <s v="Y"/>
  </r>
  <r>
    <n v="813"/>
    <n v="10"/>
    <n v="251"/>
    <n v="258"/>
    <n v="251"/>
    <n v="7"/>
    <n v="0.97211155378486058"/>
    <s v="Y"/>
  </r>
  <r>
    <n v="813"/>
    <n v="20"/>
    <n v="260"/>
    <n v="258"/>
    <n v="260"/>
    <n v="-2"/>
    <n v="0.99230769230769234"/>
    <s v="N"/>
  </r>
  <r>
    <n v="813"/>
    <n v="50"/>
    <n v="300"/>
    <n v="294"/>
    <n v="300"/>
    <n v="-6"/>
    <n v="0.98"/>
    <s v="N"/>
  </r>
  <r>
    <n v="814"/>
    <n v="10"/>
    <n v="110"/>
    <n v="113"/>
    <n v="110"/>
    <n v="3"/>
    <n v="0.97272727272727277"/>
    <s v="Y"/>
  </r>
  <r>
    <n v="814"/>
    <n v="20"/>
    <n v="150"/>
    <n v="151"/>
    <n v="150"/>
    <n v="1"/>
    <n v="0.99333333333333329"/>
    <s v="N"/>
  </r>
  <r>
    <n v="814"/>
    <n v="30"/>
    <n v="137"/>
    <n v="138"/>
    <n v="137"/>
    <n v="1"/>
    <n v="0.99270072992700731"/>
    <s v="N"/>
  </r>
  <r>
    <n v="814"/>
    <n v="40"/>
    <n v="96"/>
    <n v="96"/>
    <n v="96"/>
    <n v="0"/>
    <n v="1"/>
    <s v="N"/>
  </r>
  <r>
    <n v="814"/>
    <n v="50"/>
    <n v="148"/>
    <n v="149"/>
    <n v="148"/>
    <n v="1"/>
    <n v="0.9932432432432432"/>
    <s v="N"/>
  </r>
  <r>
    <n v="814"/>
    <n v="60"/>
    <n v="126"/>
    <n v="123"/>
    <n v="126"/>
    <n v="-3"/>
    <n v="0.97619047619047616"/>
    <s v="Y"/>
  </r>
  <r>
    <n v="815"/>
    <n v="5"/>
    <n v="265"/>
    <n v="264"/>
    <n v="265"/>
    <n v="-1"/>
    <n v="0.99622641509433962"/>
    <s v="N"/>
  </r>
  <r>
    <n v="815"/>
    <n v="50"/>
    <n v="457"/>
    <n v="458"/>
    <n v="457"/>
    <n v="1"/>
    <n v="0.99781181619256021"/>
    <s v="N"/>
  </r>
  <r>
    <n v="816"/>
    <n v="5"/>
    <n v="406"/>
    <n v="400"/>
    <n v="406"/>
    <n v="-6"/>
    <n v="0.98522167487684731"/>
    <s v="N"/>
  </r>
  <r>
    <n v="816"/>
    <n v="50"/>
    <n v="412"/>
    <n v="402"/>
    <n v="412"/>
    <n v="-10"/>
    <n v="0.97572815533980584"/>
    <s v="Y"/>
  </r>
  <r>
    <n v="817"/>
    <n v="5"/>
    <n v="443"/>
    <n v="430"/>
    <n v="443"/>
    <n v="-13"/>
    <n v="0.97065462753950338"/>
    <s v="Y"/>
  </r>
  <r>
    <n v="817"/>
    <n v="50"/>
    <n v="388"/>
    <n v="386"/>
    <n v="388"/>
    <n v="-2"/>
    <n v="0.99484536082474229"/>
    <s v="N"/>
  </r>
  <r>
    <n v="818"/>
    <n v="5"/>
    <n v="428"/>
    <n v="424"/>
    <n v="428"/>
    <n v="-4"/>
    <n v="0.99065420560747663"/>
    <s v="N"/>
  </r>
  <r>
    <n v="818"/>
    <n v="50"/>
    <n v="460"/>
    <n v="464"/>
    <n v="460"/>
    <n v="4"/>
    <n v="0.99130434782608701"/>
    <s v="N"/>
  </r>
  <r>
    <n v="819"/>
    <n v="5"/>
    <n v="409"/>
    <n v="420"/>
    <n v="409"/>
    <n v="11"/>
    <n v="0.97310513447432767"/>
    <s v="Y"/>
  </r>
  <r>
    <n v="819"/>
    <n v="50"/>
    <n v="384"/>
    <n v="394"/>
    <n v="384"/>
    <n v="10"/>
    <n v="0.97395833333333337"/>
    <s v="Y"/>
  </r>
  <r>
    <n v="820"/>
    <n v="5"/>
    <n v="446"/>
    <n v="445"/>
    <n v="446"/>
    <n v="-1"/>
    <n v="0.99775784753363228"/>
    <s v="N"/>
  </r>
  <r>
    <n v="820"/>
    <n v="50"/>
    <n v="232"/>
    <n v="230"/>
    <n v="232"/>
    <n v="-2"/>
    <n v="0.99137931034482762"/>
    <s v="N"/>
  </r>
  <r>
    <n v="821"/>
    <n v="5"/>
    <n v="432"/>
    <n v="441"/>
    <n v="432"/>
    <n v="9"/>
    <n v="0.97916666666666663"/>
    <s v="Y"/>
  </r>
  <r>
    <n v="821"/>
    <n v="50"/>
    <n v="304"/>
    <n v="307"/>
    <n v="304"/>
    <n v="3"/>
    <n v="0.99013157894736847"/>
    <s v="N"/>
  </r>
  <r>
    <n v="822"/>
    <n v="10"/>
    <n v="115"/>
    <n v="113"/>
    <n v="115"/>
    <n v="-2"/>
    <n v="0.9826086956521739"/>
    <s v="N"/>
  </r>
  <r>
    <n v="822"/>
    <n v="20"/>
    <n v="155"/>
    <n v="155"/>
    <n v="155"/>
    <n v="0"/>
    <n v="1"/>
    <s v="N"/>
  </r>
  <r>
    <n v="822"/>
    <n v="30"/>
    <n v="142"/>
    <n v="143"/>
    <n v="142"/>
    <n v="1"/>
    <n v="0.99295774647887325"/>
    <s v="N"/>
  </r>
  <r>
    <n v="822"/>
    <n v="40"/>
    <n v="100"/>
    <n v="100"/>
    <n v="100"/>
    <n v="0"/>
    <n v="1"/>
    <s v="N"/>
  </r>
  <r>
    <n v="822"/>
    <n v="50"/>
    <n v="153"/>
    <n v="151"/>
    <n v="153"/>
    <n v="-2"/>
    <n v="0.98692810457516345"/>
    <s v="N"/>
  </r>
  <r>
    <n v="822"/>
    <n v="60"/>
    <n v="131"/>
    <n v="128"/>
    <n v="131"/>
    <n v="-3"/>
    <n v="0.97709923664122134"/>
    <s v="Y"/>
  </r>
  <r>
    <n v="823"/>
    <n v="6"/>
    <n v="425"/>
    <n v="417"/>
    <n v="425"/>
    <n v="-8"/>
    <n v="0.98117647058823532"/>
    <s v="N"/>
  </r>
  <r>
    <n v="823"/>
    <n v="50"/>
    <n v="256"/>
    <n v="252"/>
    <n v="256"/>
    <n v="-4"/>
    <n v="0.984375"/>
    <s v="N"/>
  </r>
  <r>
    <n v="824"/>
    <n v="6"/>
    <n v="411"/>
    <n v="416"/>
    <n v="411"/>
    <n v="5"/>
    <n v="0.98783454987834551"/>
    <s v="N"/>
  </r>
  <r>
    <n v="824"/>
    <n v="50"/>
    <n v="401"/>
    <n v="409"/>
    <n v="401"/>
    <n v="8"/>
    <n v="0.98004987531172072"/>
    <s v="N"/>
  </r>
  <r>
    <n v="825"/>
    <n v="6"/>
    <n v="396"/>
    <n v="399"/>
    <n v="396"/>
    <n v="3"/>
    <n v="0.99242424242424243"/>
    <s v="N"/>
  </r>
  <r>
    <n v="825"/>
    <n v="50"/>
    <n v="387"/>
    <n v="393"/>
    <n v="387"/>
    <n v="6"/>
    <n v="0.98449612403100772"/>
    <s v="N"/>
  </r>
  <r>
    <n v="826"/>
    <n v="6"/>
    <n v="393"/>
    <n v="393"/>
    <n v="393"/>
    <n v="0"/>
    <n v="1"/>
    <s v="N"/>
  </r>
  <r>
    <n v="826"/>
    <n v="50"/>
    <n v="406"/>
    <n v="401"/>
    <n v="406"/>
    <n v="-5"/>
    <n v="0.98768472906403937"/>
    <s v="N"/>
  </r>
  <r>
    <n v="827"/>
    <n v="6"/>
    <n v="412"/>
    <n v="412"/>
    <n v="412"/>
    <n v="0"/>
    <n v="1"/>
    <s v="N"/>
  </r>
  <r>
    <n v="827"/>
    <n v="50"/>
    <n v="425"/>
    <n v="434"/>
    <n v="425"/>
    <n v="9"/>
    <n v="0.97882352941176476"/>
    <s v="Y"/>
  </r>
  <r>
    <n v="828"/>
    <n v="6"/>
    <n v="432"/>
    <n v="428"/>
    <n v="432"/>
    <n v="-4"/>
    <n v="0.9907407407407407"/>
    <s v="N"/>
  </r>
  <r>
    <n v="828"/>
    <n v="50"/>
    <n v="284"/>
    <n v="277"/>
    <n v="284"/>
    <n v="-7"/>
    <n v="0.97535211267605637"/>
    <s v="Y"/>
  </r>
  <r>
    <n v="829"/>
    <n v="6"/>
    <n v="265"/>
    <n v="267"/>
    <n v="265"/>
    <n v="2"/>
    <n v="0.99245283018867925"/>
    <s v="N"/>
  </r>
  <r>
    <n v="829"/>
    <n v="50"/>
    <n v="476"/>
    <n v="479"/>
    <n v="476"/>
    <n v="3"/>
    <n v="0.99369747899159666"/>
    <s v="N"/>
  </r>
  <r>
    <n v="841"/>
    <n v="7"/>
    <n v="288"/>
    <n v="281"/>
    <n v="288"/>
    <n v="-7"/>
    <n v="0.97569444444444442"/>
    <s v="Y"/>
  </r>
  <r>
    <n v="842"/>
    <n v="7"/>
    <n v="72"/>
    <n v="74"/>
    <n v="72"/>
    <n v="2"/>
    <n v="0.97222222222222221"/>
    <s v="Y"/>
  </r>
  <r>
    <n v="843"/>
    <n v="7"/>
    <n v="252"/>
    <n v="247"/>
    <n v="252"/>
    <n v="-5"/>
    <n v="0.98015873015873012"/>
    <s v="N"/>
  </r>
  <r>
    <n v="844"/>
    <n v="7"/>
    <n v="288"/>
    <n v="296"/>
    <n v="288"/>
    <n v="8"/>
    <n v="0.97222222222222221"/>
    <s v="Y"/>
  </r>
  <r>
    <n v="845"/>
    <n v="7"/>
    <n v="324"/>
    <n v="328"/>
    <n v="324"/>
    <n v="4"/>
    <n v="0.98765432098765427"/>
    <s v="N"/>
  </r>
  <r>
    <n v="846"/>
    <n v="7"/>
    <n v="144"/>
    <n v="142"/>
    <n v="144"/>
    <n v="-2"/>
    <n v="0.98611111111111116"/>
    <s v="N"/>
  </r>
  <r>
    <n v="847"/>
    <n v="7"/>
    <n v="180"/>
    <n v="182"/>
    <n v="180"/>
    <n v="2"/>
    <n v="0.98888888888888893"/>
    <s v="N"/>
  </r>
  <r>
    <n v="848"/>
    <n v="7"/>
    <n v="216"/>
    <n v="214"/>
    <n v="216"/>
    <n v="-2"/>
    <n v="0.9907407407407407"/>
    <s v="N"/>
  </r>
  <r>
    <n v="849"/>
    <n v="7"/>
    <n v="108"/>
    <n v="109"/>
    <n v="108"/>
    <n v="1"/>
    <n v="0.9907407407407407"/>
    <s v="N"/>
  </r>
  <r>
    <n v="850"/>
    <n v="7"/>
    <n v="144"/>
    <n v="140"/>
    <n v="144"/>
    <n v="-4"/>
    <n v="0.97222222222222221"/>
    <s v="Y"/>
  </r>
  <r>
    <n v="851"/>
    <n v="7"/>
    <n v="180"/>
    <n v="185"/>
    <n v="180"/>
    <n v="5"/>
    <n v="0.97222222222222221"/>
    <s v="Y"/>
  </r>
  <r>
    <n v="852"/>
    <n v="7"/>
    <n v="324"/>
    <n v="315"/>
    <n v="324"/>
    <n v="-9"/>
    <n v="0.97222222222222221"/>
    <s v="Y"/>
  </r>
  <r>
    <n v="853"/>
    <n v="7"/>
    <n v="0"/>
    <n v="0"/>
    <n v="0"/>
    <n v="0"/>
    <n v="1"/>
    <s v="N"/>
  </r>
  <r>
    <n v="854"/>
    <n v="7"/>
    <n v="36"/>
    <n v="37"/>
    <n v="36"/>
    <n v="1"/>
    <n v="0.97222222222222221"/>
    <s v="Y"/>
  </r>
  <r>
    <n v="855"/>
    <n v="7"/>
    <n v="72"/>
    <n v="74"/>
    <n v="72"/>
    <n v="2"/>
    <n v="0.97222222222222221"/>
    <s v="Y"/>
  </r>
  <r>
    <n v="856"/>
    <n v="7"/>
    <n v="108"/>
    <n v="107"/>
    <n v="108"/>
    <n v="-1"/>
    <n v="0.9907407407407407"/>
    <s v="N"/>
  </r>
  <r>
    <n v="857"/>
    <n v="7"/>
    <n v="144"/>
    <n v="146"/>
    <n v="144"/>
    <n v="2"/>
    <n v="0.98611111111111116"/>
    <s v="N"/>
  </r>
  <r>
    <n v="858"/>
    <n v="7"/>
    <n v="324"/>
    <n v="321"/>
    <n v="324"/>
    <n v="-3"/>
    <n v="0.9907407407407407"/>
    <s v="N"/>
  </r>
  <r>
    <n v="859"/>
    <n v="7"/>
    <n v="0"/>
    <n v="0"/>
    <n v="0"/>
    <n v="0"/>
    <n v="1"/>
    <s v="N"/>
  </r>
  <r>
    <n v="860"/>
    <n v="7"/>
    <n v="36"/>
    <n v="36"/>
    <n v="36"/>
    <n v="0"/>
    <n v="1"/>
    <s v="N"/>
  </r>
  <r>
    <n v="861"/>
    <n v="7"/>
    <n v="72"/>
    <n v="72"/>
    <n v="72"/>
    <n v="0"/>
    <n v="1"/>
    <s v="N"/>
  </r>
  <r>
    <n v="862"/>
    <n v="7"/>
    <n v="108"/>
    <n v="108"/>
    <n v="108"/>
    <n v="0"/>
    <n v="1"/>
    <s v="N"/>
  </r>
  <r>
    <n v="863"/>
    <n v="7"/>
    <n v="144"/>
    <n v="144"/>
    <n v="144"/>
    <n v="0"/>
    <n v="1"/>
    <s v="N"/>
  </r>
  <r>
    <n v="864"/>
    <n v="7"/>
    <n v="180"/>
    <n v="183"/>
    <n v="180"/>
    <n v="3"/>
    <n v="0.98333333333333328"/>
    <s v="N"/>
  </r>
  <r>
    <n v="865"/>
    <n v="7"/>
    <n v="216"/>
    <n v="219"/>
    <n v="216"/>
    <n v="3"/>
    <n v="0.98611111111111116"/>
    <s v="N"/>
  </r>
  <r>
    <n v="866"/>
    <n v="7"/>
    <n v="252"/>
    <n v="256"/>
    <n v="252"/>
    <n v="4"/>
    <n v="0.98412698412698418"/>
    <s v="N"/>
  </r>
  <r>
    <n v="867"/>
    <n v="7"/>
    <n v="216"/>
    <n v="220"/>
    <n v="216"/>
    <n v="4"/>
    <n v="0.98148148148148151"/>
    <s v="N"/>
  </r>
  <r>
    <n v="868"/>
    <n v="7"/>
    <n v="252"/>
    <n v="247"/>
    <n v="252"/>
    <n v="-5"/>
    <n v="0.98015873015873012"/>
    <s v="N"/>
  </r>
  <r>
    <n v="869"/>
    <n v="7"/>
    <n v="288"/>
    <n v="280"/>
    <n v="288"/>
    <n v="-8"/>
    <n v="0.97222222222222221"/>
    <s v="Y"/>
  </r>
  <r>
    <n v="870"/>
    <n v="7"/>
    <n v="252"/>
    <n v="258"/>
    <n v="252"/>
    <n v="6"/>
    <n v="0.97619047619047616"/>
    <s v="Y"/>
  </r>
  <r>
    <n v="871"/>
    <n v="7"/>
    <n v="288"/>
    <n v="296"/>
    <n v="288"/>
    <n v="8"/>
    <n v="0.97222222222222221"/>
    <s v="Y"/>
  </r>
  <r>
    <n v="872"/>
    <n v="7"/>
    <n v="324"/>
    <n v="318"/>
    <n v="324"/>
    <n v="-6"/>
    <n v="0.98148148148148151"/>
    <s v="N"/>
  </r>
  <r>
    <n v="873"/>
    <n v="7"/>
    <n v="180"/>
    <n v="180"/>
    <n v="180"/>
    <n v="0"/>
    <n v="1"/>
    <s v="N"/>
  </r>
  <r>
    <n v="874"/>
    <n v="7"/>
    <n v="252"/>
    <n v="258"/>
    <n v="252"/>
    <n v="6"/>
    <n v="0.97619047619047616"/>
    <s v="Y"/>
  </r>
  <r>
    <n v="875"/>
    <n v="7"/>
    <n v="288"/>
    <n v="285"/>
    <n v="288"/>
    <n v="-3"/>
    <n v="0.98958333333333337"/>
    <s v="N"/>
  </r>
  <r>
    <n v="876"/>
    <n v="7"/>
    <n v="0"/>
    <n v="0"/>
    <n v="0"/>
    <n v="0"/>
    <n v="1"/>
    <s v="N"/>
  </r>
  <r>
    <n v="877"/>
    <n v="7"/>
    <n v="36"/>
    <n v="36"/>
    <n v="36"/>
    <n v="0"/>
    <n v="1"/>
    <s v="N"/>
  </r>
  <r>
    <n v="878"/>
    <n v="7"/>
    <n v="108"/>
    <n v="110"/>
    <n v="108"/>
    <n v="2"/>
    <n v="0.98148148148148151"/>
    <s v="N"/>
  </r>
  <r>
    <n v="879"/>
    <n v="7"/>
    <n v="144"/>
    <n v="147"/>
    <n v="144"/>
    <n v="3"/>
    <n v="0.97916666666666663"/>
    <s v="Y"/>
  </r>
  <r>
    <n v="880"/>
    <n v="7"/>
    <n v="108"/>
    <n v="107"/>
    <n v="108"/>
    <n v="-1"/>
    <n v="0.9907407407407407"/>
    <s v="N"/>
  </r>
  <r>
    <n v="881"/>
    <n v="7"/>
    <n v="324"/>
    <n v="324"/>
    <n v="324"/>
    <n v="0"/>
    <n v="1"/>
    <s v="N"/>
  </r>
  <r>
    <n v="882"/>
    <n v="7"/>
    <n v="0"/>
    <n v="0"/>
    <n v="0"/>
    <n v="0"/>
    <n v="1"/>
    <s v="N"/>
  </r>
  <r>
    <n v="883"/>
    <n v="7"/>
    <n v="36"/>
    <n v="36"/>
    <n v="36"/>
    <n v="0"/>
    <n v="1"/>
    <s v="N"/>
  </r>
  <r>
    <n v="884"/>
    <n v="7"/>
    <n v="72"/>
    <n v="72"/>
    <n v="72"/>
    <n v="0"/>
    <n v="1"/>
    <s v="N"/>
  </r>
  <r>
    <n v="894"/>
    <n v="1"/>
    <n v="337"/>
    <n v="339"/>
    <n v="337"/>
    <n v="2"/>
    <n v="0.99406528189910981"/>
    <s v="N"/>
  </r>
  <r>
    <n v="894"/>
    <n v="6"/>
    <n v="355"/>
    <n v="348"/>
    <n v="355"/>
    <n v="-7"/>
    <n v="0.9802816901408451"/>
    <s v="N"/>
  </r>
  <r>
    <n v="894"/>
    <n v="50"/>
    <n v="155"/>
    <n v="155"/>
    <n v="155"/>
    <n v="0"/>
    <n v="1"/>
    <s v="N"/>
  </r>
  <r>
    <n v="907"/>
    <n v="1"/>
    <n v="337"/>
    <n v="340"/>
    <n v="337"/>
    <n v="3"/>
    <n v="0.99109792284866471"/>
    <s v="N"/>
  </r>
  <r>
    <n v="907"/>
    <n v="6"/>
    <n v="228"/>
    <n v="227"/>
    <n v="228"/>
    <n v="-1"/>
    <n v="0.99561403508771928"/>
    <s v="N"/>
  </r>
  <r>
    <n v="907"/>
    <n v="50"/>
    <n v="158"/>
    <n v="161"/>
    <n v="158"/>
    <n v="3"/>
    <n v="0.98101265822784811"/>
    <s v="N"/>
  </r>
  <r>
    <n v="908"/>
    <n v="6"/>
    <n v="400"/>
    <n v="395"/>
    <n v="400"/>
    <n v="-5"/>
    <n v="0.98750000000000004"/>
    <s v="N"/>
  </r>
  <r>
    <n v="908"/>
    <n v="50"/>
    <n v="214"/>
    <n v="213"/>
    <n v="214"/>
    <n v="-1"/>
    <n v="0.99532710280373837"/>
    <s v="N"/>
  </r>
  <r>
    <n v="908"/>
    <n v="60"/>
    <n v="195"/>
    <n v="196"/>
    <n v="195"/>
    <n v="1"/>
    <n v="0.99487179487179489"/>
    <s v="N"/>
  </r>
  <r>
    <n v="909"/>
    <n v="6"/>
    <n v="230"/>
    <n v="229"/>
    <n v="230"/>
    <n v="-1"/>
    <n v="0.9956521739130435"/>
    <s v="N"/>
  </r>
  <r>
    <n v="909"/>
    <n v="50"/>
    <n v="72"/>
    <n v="70"/>
    <n v="72"/>
    <n v="-2"/>
    <n v="0.97222222222222221"/>
    <s v="Y"/>
  </r>
  <r>
    <n v="909"/>
    <n v="60"/>
    <n v="120"/>
    <n v="119"/>
    <n v="120"/>
    <n v="-1"/>
    <n v="0.9916666666666667"/>
    <s v="N"/>
  </r>
  <r>
    <n v="910"/>
    <n v="6"/>
    <n v="91"/>
    <n v="91"/>
    <n v="91"/>
    <n v="0"/>
    <n v="1"/>
    <s v="N"/>
  </r>
  <r>
    <n v="910"/>
    <n v="50"/>
    <n v="168"/>
    <n v="173"/>
    <n v="168"/>
    <n v="5"/>
    <n v="0.97023809523809523"/>
    <s v="Y"/>
  </r>
  <r>
    <n v="910"/>
    <n v="60"/>
    <n v="96"/>
    <n v="97"/>
    <n v="96"/>
    <n v="1"/>
    <n v="0.98958333333333337"/>
    <s v="N"/>
  </r>
  <r>
    <n v="911"/>
    <n v="6"/>
    <n v="283"/>
    <n v="289"/>
    <n v="283"/>
    <n v="6"/>
    <n v="0.97879858657243812"/>
    <s v="Y"/>
  </r>
  <r>
    <n v="911"/>
    <n v="50"/>
    <n v="321"/>
    <n v="320"/>
    <n v="321"/>
    <n v="-1"/>
    <n v="0.99688473520249221"/>
    <s v="N"/>
  </r>
  <r>
    <n v="911"/>
    <n v="60"/>
    <n v="302"/>
    <n v="303"/>
    <n v="302"/>
    <n v="1"/>
    <n v="0.99668874172185429"/>
    <s v="N"/>
  </r>
  <r>
    <n v="912"/>
    <n v="6"/>
    <n v="302"/>
    <n v="294"/>
    <n v="302"/>
    <n v="-8"/>
    <n v="0.97350993377483441"/>
    <s v="Y"/>
  </r>
  <r>
    <n v="912"/>
    <n v="50"/>
    <n v="353"/>
    <n v="346"/>
    <n v="353"/>
    <n v="-7"/>
    <n v="0.98016997167138808"/>
    <s v="N"/>
  </r>
  <r>
    <n v="912"/>
    <n v="60"/>
    <n v="246"/>
    <n v="244"/>
    <n v="246"/>
    <n v="-2"/>
    <n v="0.99186991869918695"/>
    <s v="N"/>
  </r>
  <r>
    <n v="913"/>
    <n v="6"/>
    <n v="169"/>
    <n v="169"/>
    <n v="169"/>
    <n v="0"/>
    <n v="1"/>
    <s v="N"/>
  </r>
  <r>
    <n v="913"/>
    <n v="50"/>
    <n v="145"/>
    <n v="149"/>
    <n v="145"/>
    <n v="4"/>
    <n v="0.97241379310344822"/>
    <s v="Y"/>
  </r>
  <r>
    <n v="913"/>
    <n v="60"/>
    <n v="153"/>
    <n v="153"/>
    <n v="153"/>
    <n v="0"/>
    <n v="1"/>
    <s v="N"/>
  </r>
  <r>
    <n v="914"/>
    <n v="6"/>
    <n v="248"/>
    <n v="250"/>
    <n v="248"/>
    <n v="2"/>
    <n v="0.99193548387096775"/>
    <s v="N"/>
  </r>
  <r>
    <n v="914"/>
    <n v="50"/>
    <n v="171"/>
    <n v="173"/>
    <n v="171"/>
    <n v="2"/>
    <n v="0.98830409356725146"/>
    <s v="N"/>
  </r>
  <r>
    <n v="914"/>
    <n v="60"/>
    <n v="382"/>
    <n v="382"/>
    <n v="382"/>
    <n v="0"/>
    <n v="1"/>
    <s v="N"/>
  </r>
  <r>
    <n v="915"/>
    <n v="6"/>
    <n v="161"/>
    <n v="166"/>
    <n v="161"/>
    <n v="5"/>
    <n v="0.96894409937888204"/>
    <s v="Y"/>
  </r>
  <r>
    <n v="915"/>
    <n v="50"/>
    <n v="83"/>
    <n v="85"/>
    <n v="83"/>
    <n v="2"/>
    <n v="0.97590361445783136"/>
    <s v="Y"/>
  </r>
  <r>
    <n v="915"/>
    <n v="60"/>
    <n v="158"/>
    <n v="155"/>
    <n v="158"/>
    <n v="-3"/>
    <n v="0.98101265822784811"/>
    <s v="N"/>
  </r>
  <r>
    <n v="916"/>
    <n v="6"/>
    <n v="425"/>
    <n v="421"/>
    <n v="425"/>
    <n v="-4"/>
    <n v="0.99058823529411766"/>
    <s v="N"/>
  </r>
  <r>
    <n v="916"/>
    <n v="50"/>
    <n v="288"/>
    <n v="291"/>
    <n v="288"/>
    <n v="3"/>
    <n v="0.98958333333333337"/>
    <s v="N"/>
  </r>
  <r>
    <n v="916"/>
    <n v="60"/>
    <n v="276"/>
    <n v="282"/>
    <n v="276"/>
    <n v="6"/>
    <n v="0.97826086956521741"/>
    <s v="Y"/>
  </r>
  <r>
    <n v="921"/>
    <n v="6"/>
    <n v="286"/>
    <n v="285"/>
    <n v="286"/>
    <n v="-1"/>
    <n v="0.99650349650349646"/>
    <s v="N"/>
  </r>
  <r>
    <n v="921"/>
    <n v="50"/>
    <n v="243"/>
    <n v="239"/>
    <n v="243"/>
    <n v="-4"/>
    <n v="0.98353909465020573"/>
    <s v="N"/>
  </r>
  <r>
    <n v="922"/>
    <n v="6"/>
    <n v="264"/>
    <n v="259"/>
    <n v="264"/>
    <n v="-5"/>
    <n v="0.98106060606060608"/>
    <s v="N"/>
  </r>
  <r>
    <n v="922"/>
    <n v="50"/>
    <n v="241"/>
    <n v="239"/>
    <n v="241"/>
    <n v="-2"/>
    <n v="0.99170124481327804"/>
    <s v="N"/>
  </r>
  <r>
    <n v="923"/>
    <n v="6"/>
    <n v="262"/>
    <n v="263"/>
    <n v="262"/>
    <n v="1"/>
    <n v="0.99618320610687028"/>
    <s v="N"/>
  </r>
  <r>
    <n v="923"/>
    <n v="50"/>
    <n v="240"/>
    <n v="245"/>
    <n v="240"/>
    <n v="5"/>
    <n v="0.97916666666666663"/>
    <s v="Y"/>
  </r>
  <r>
    <n v="928"/>
    <n v="6"/>
    <n v="240"/>
    <n v="236"/>
    <n v="240"/>
    <n v="-4"/>
    <n v="0.98333333333333328"/>
    <s v="N"/>
  </r>
  <r>
    <n v="928"/>
    <n v="50"/>
    <n v="369"/>
    <n v="371"/>
    <n v="369"/>
    <n v="2"/>
    <n v="0.99457994579945797"/>
    <s v="N"/>
  </r>
  <r>
    <n v="929"/>
    <n v="6"/>
    <n v="385"/>
    <n v="375"/>
    <n v="385"/>
    <n v="-10"/>
    <n v="0.97402597402597402"/>
    <s v="Y"/>
  </r>
  <r>
    <n v="929"/>
    <n v="50"/>
    <n v="284"/>
    <n v="292"/>
    <n v="284"/>
    <n v="8"/>
    <n v="0.971830985915493"/>
    <s v="Y"/>
  </r>
  <r>
    <n v="930"/>
    <n v="6"/>
    <n v="267"/>
    <n v="271"/>
    <n v="267"/>
    <n v="4"/>
    <n v="0.98501872659176026"/>
    <s v="N"/>
  </r>
  <r>
    <n v="930"/>
    <n v="50"/>
    <n v="232"/>
    <n v="231"/>
    <n v="232"/>
    <n v="-1"/>
    <n v="0.99568965517241381"/>
    <s v="N"/>
  </r>
  <r>
    <n v="931"/>
    <n v="6"/>
    <n v="236"/>
    <n v="232"/>
    <n v="236"/>
    <n v="-4"/>
    <n v="0.98305084745762716"/>
    <s v="N"/>
  </r>
  <r>
    <n v="931"/>
    <n v="50"/>
    <n v="252"/>
    <n v="247"/>
    <n v="252"/>
    <n v="-5"/>
    <n v="0.98015873015873012"/>
    <s v="N"/>
  </r>
  <r>
    <n v="932"/>
    <n v="6"/>
    <n v="382"/>
    <n v="379"/>
    <n v="382"/>
    <n v="-3"/>
    <n v="0.99214659685863871"/>
    <s v="N"/>
  </r>
  <r>
    <n v="932"/>
    <n v="50"/>
    <n v="192"/>
    <n v="195"/>
    <n v="192"/>
    <n v="3"/>
    <n v="0.984375"/>
    <s v="N"/>
  </r>
  <r>
    <n v="933"/>
    <n v="6"/>
    <n v="299"/>
    <n v="306"/>
    <n v="299"/>
    <n v="7"/>
    <n v="0.97658862876254182"/>
    <s v="Y"/>
  </r>
  <r>
    <n v="933"/>
    <n v="50"/>
    <n v="228"/>
    <n v="234"/>
    <n v="228"/>
    <n v="6"/>
    <n v="0.97368421052631582"/>
    <s v="Y"/>
  </r>
  <r>
    <n v="934"/>
    <n v="6"/>
    <n v="233"/>
    <n v="235"/>
    <n v="233"/>
    <n v="2"/>
    <n v="0.99141630901287559"/>
    <s v="N"/>
  </r>
  <r>
    <n v="934"/>
    <n v="50"/>
    <n v="249"/>
    <n v="249"/>
    <n v="249"/>
    <n v="0"/>
    <n v="1"/>
    <s v="N"/>
  </r>
  <r>
    <n v="935"/>
    <n v="1"/>
    <n v="174"/>
    <n v="174"/>
    <n v="174"/>
    <n v="0"/>
    <n v="1"/>
    <s v="N"/>
  </r>
  <r>
    <n v="935"/>
    <n v="6"/>
    <n v="182"/>
    <n v="181"/>
    <n v="182"/>
    <n v="-1"/>
    <n v="0.99450549450549453"/>
    <s v="N"/>
  </r>
  <r>
    <n v="935"/>
    <n v="50"/>
    <n v="156"/>
    <n v="154"/>
    <n v="156"/>
    <n v="-2"/>
    <n v="0.98717948717948723"/>
    <s v="N"/>
  </r>
  <r>
    <n v="936"/>
    <n v="1"/>
    <n v="172"/>
    <n v="174"/>
    <n v="172"/>
    <n v="2"/>
    <n v="0.98837209302325579"/>
    <s v="N"/>
  </r>
  <r>
    <n v="936"/>
    <n v="6"/>
    <n v="180"/>
    <n v="184"/>
    <n v="180"/>
    <n v="4"/>
    <n v="0.97777777777777775"/>
    <s v="Y"/>
  </r>
  <r>
    <n v="936"/>
    <n v="50"/>
    <n v="155"/>
    <n v="154"/>
    <n v="155"/>
    <n v="-1"/>
    <n v="0.99354838709677418"/>
    <s v="N"/>
  </r>
  <r>
    <n v="937"/>
    <n v="1"/>
    <n v="171"/>
    <n v="171"/>
    <n v="171"/>
    <n v="0"/>
    <n v="1"/>
    <s v="N"/>
  </r>
  <r>
    <n v="937"/>
    <n v="6"/>
    <n v="179"/>
    <n v="182"/>
    <n v="179"/>
    <n v="3"/>
    <n v="0.98324022346368711"/>
    <s v="N"/>
  </r>
  <r>
    <n v="937"/>
    <n v="50"/>
    <n v="153"/>
    <n v="155"/>
    <n v="153"/>
    <n v="2"/>
    <n v="0.98692810457516345"/>
    <s v="N"/>
  </r>
  <r>
    <n v="938"/>
    <n v="1"/>
    <n v="169"/>
    <n v="173"/>
    <n v="169"/>
    <n v="4"/>
    <n v="0.97633136094674555"/>
    <s v="Y"/>
  </r>
  <r>
    <n v="938"/>
    <n v="6"/>
    <n v="177"/>
    <n v="174"/>
    <n v="177"/>
    <n v="-3"/>
    <n v="0.98305084745762716"/>
    <s v="N"/>
  </r>
  <r>
    <n v="938"/>
    <n v="50"/>
    <n v="152"/>
    <n v="154"/>
    <n v="152"/>
    <n v="2"/>
    <n v="0.98684210526315785"/>
    <s v="N"/>
  </r>
  <r>
    <n v="939"/>
    <n v="1"/>
    <n v="168"/>
    <n v="172"/>
    <n v="168"/>
    <n v="4"/>
    <n v="0.97619047619047616"/>
    <s v="Y"/>
  </r>
  <r>
    <n v="939"/>
    <n v="6"/>
    <n v="176"/>
    <n v="179"/>
    <n v="176"/>
    <n v="3"/>
    <n v="0.98295454545454541"/>
    <s v="N"/>
  </r>
  <r>
    <n v="939"/>
    <n v="50"/>
    <n v="150"/>
    <n v="146"/>
    <n v="150"/>
    <n v="-4"/>
    <n v="0.97333333333333338"/>
    <s v="Y"/>
  </r>
  <r>
    <n v="940"/>
    <n v="1"/>
    <n v="316"/>
    <n v="310"/>
    <n v="316"/>
    <n v="-6"/>
    <n v="0.98101265822784811"/>
    <s v="N"/>
  </r>
  <r>
    <n v="940"/>
    <n v="6"/>
    <n v="267"/>
    <n v="267"/>
    <n v="267"/>
    <n v="0"/>
    <n v="1"/>
    <s v="N"/>
  </r>
  <r>
    <n v="940"/>
    <n v="50"/>
    <n v="323"/>
    <n v="318"/>
    <n v="323"/>
    <n v="-5"/>
    <n v="0.98452012383900933"/>
    <s v="N"/>
  </r>
  <r>
    <n v="941"/>
    <n v="1"/>
    <n v="235"/>
    <n v="230"/>
    <n v="235"/>
    <n v="-5"/>
    <n v="0.97872340425531912"/>
    <s v="Y"/>
  </r>
  <r>
    <n v="941"/>
    <n v="6"/>
    <n v="262"/>
    <n v="259"/>
    <n v="262"/>
    <n v="-3"/>
    <n v="0.98854961832061072"/>
    <s v="N"/>
  </r>
  <r>
    <n v="941"/>
    <n v="50"/>
    <n v="388"/>
    <n v="388"/>
    <n v="388"/>
    <n v="0"/>
    <n v="1"/>
    <s v="N"/>
  </r>
  <r>
    <n v="942"/>
    <n v="10"/>
    <n v="120"/>
    <n v="121"/>
    <n v="120"/>
    <n v="1"/>
    <n v="0.9916666666666667"/>
    <s v="N"/>
  </r>
  <r>
    <n v="942"/>
    <n v="20"/>
    <n v="160"/>
    <n v="157"/>
    <n v="160"/>
    <n v="-3"/>
    <n v="0.98124999999999996"/>
    <s v="N"/>
  </r>
  <r>
    <n v="942"/>
    <n v="30"/>
    <n v="147"/>
    <n v="148"/>
    <n v="147"/>
    <n v="1"/>
    <n v="0.99319727891156462"/>
    <s v="N"/>
  </r>
  <r>
    <n v="942"/>
    <n v="45"/>
    <n v="105"/>
    <n v="106"/>
    <n v="105"/>
    <n v="1"/>
    <n v="0.99047619047619051"/>
    <s v="N"/>
  </r>
  <r>
    <n v="942"/>
    <n v="50"/>
    <n v="158"/>
    <n v="162"/>
    <n v="158"/>
    <n v="4"/>
    <n v="0.97468354430379744"/>
    <s v="Y"/>
  </r>
  <r>
    <n v="942"/>
    <n v="60"/>
    <n v="136"/>
    <n v="137"/>
    <n v="136"/>
    <n v="1"/>
    <n v="0.99264705882352944"/>
    <s v="N"/>
  </r>
  <r>
    <n v="943"/>
    <n v="10"/>
    <n v="102"/>
    <n v="99"/>
    <n v="102"/>
    <n v="-3"/>
    <n v="0.97058823529411764"/>
    <s v="Y"/>
  </r>
  <r>
    <n v="943"/>
    <n v="20"/>
    <n v="142"/>
    <n v="140"/>
    <n v="142"/>
    <n v="-2"/>
    <n v="0.9859154929577465"/>
    <s v="N"/>
  </r>
  <r>
    <n v="943"/>
    <n v="30"/>
    <n v="129"/>
    <n v="131"/>
    <n v="129"/>
    <n v="2"/>
    <n v="0.98449612403100772"/>
    <s v="N"/>
  </r>
  <r>
    <n v="943"/>
    <n v="40"/>
    <n v="88"/>
    <n v="86"/>
    <n v="88"/>
    <n v="-2"/>
    <n v="0.97727272727272729"/>
    <s v="Y"/>
  </r>
  <r>
    <n v="943"/>
    <n v="50"/>
    <n v="140"/>
    <n v="141"/>
    <n v="140"/>
    <n v="1"/>
    <n v="0.99285714285714288"/>
    <s v="N"/>
  </r>
  <r>
    <n v="943"/>
    <n v="60"/>
    <n v="118"/>
    <n v="119"/>
    <n v="118"/>
    <n v="1"/>
    <n v="0.99152542372881358"/>
    <s v="N"/>
  </r>
  <r>
    <n v="944"/>
    <n v="10"/>
    <n v="112"/>
    <n v="114"/>
    <n v="112"/>
    <n v="2"/>
    <n v="0.9821428571428571"/>
    <s v="N"/>
  </r>
  <r>
    <n v="944"/>
    <n v="20"/>
    <n v="96"/>
    <n v="98"/>
    <n v="96"/>
    <n v="2"/>
    <n v="0.97916666666666663"/>
    <s v="Y"/>
  </r>
  <r>
    <n v="944"/>
    <n v="30"/>
    <n v="123"/>
    <n v="121"/>
    <n v="123"/>
    <n v="-2"/>
    <n v="0.98373983739837401"/>
    <s v="N"/>
  </r>
  <r>
    <n v="944"/>
    <n v="45"/>
    <n v="136"/>
    <n v="134"/>
    <n v="136"/>
    <n v="-2"/>
    <n v="0.98529411764705888"/>
    <s v="N"/>
  </r>
  <r>
    <n v="944"/>
    <n v="50"/>
    <n v="81"/>
    <n v="81"/>
    <n v="81"/>
    <n v="0"/>
    <n v="1"/>
    <s v="N"/>
  </r>
  <r>
    <n v="944"/>
    <n v="60"/>
    <n v="134"/>
    <n v="138"/>
    <n v="134"/>
    <n v="4"/>
    <n v="0.97014925373134331"/>
    <s v="Y"/>
  </r>
  <r>
    <n v="945"/>
    <n v="5"/>
    <n v="347"/>
    <n v="354"/>
    <n v="347"/>
    <n v="7"/>
    <n v="0.97982708933717577"/>
    <s v="Y"/>
  </r>
  <r>
    <n v="945"/>
    <n v="10"/>
    <n v="236"/>
    <n v="236"/>
    <n v="236"/>
    <n v="0"/>
    <n v="1"/>
    <s v="N"/>
  </r>
  <r>
    <n v="945"/>
    <n v="50"/>
    <n v="270"/>
    <n v="272"/>
    <n v="270"/>
    <n v="2"/>
    <n v="0.99259259259259258"/>
    <s v="N"/>
  </r>
  <r>
    <n v="946"/>
    <n v="10"/>
    <n v="248"/>
    <n v="253"/>
    <n v="248"/>
    <n v="5"/>
    <n v="0.97983870967741937"/>
    <s v="Y"/>
  </r>
  <r>
    <n v="946"/>
    <n v="20"/>
    <n v="257"/>
    <n v="253"/>
    <n v="257"/>
    <n v="-4"/>
    <n v="0.98443579766536971"/>
    <s v="N"/>
  </r>
  <r>
    <n v="946"/>
    <n v="50"/>
    <n v="297"/>
    <n v="289"/>
    <n v="297"/>
    <n v="-8"/>
    <n v="0.97306397306397308"/>
    <s v="Y"/>
  </r>
  <r>
    <n v="947"/>
    <n v="10"/>
    <n v="244"/>
    <n v="242"/>
    <n v="244"/>
    <n v="-2"/>
    <n v="0.99180327868852458"/>
    <s v="N"/>
  </r>
  <r>
    <n v="947"/>
    <n v="20"/>
    <n v="254"/>
    <n v="259"/>
    <n v="254"/>
    <n v="5"/>
    <n v="0.98031496062992129"/>
    <s v="N"/>
  </r>
  <r>
    <n v="947"/>
    <n v="50"/>
    <n v="294"/>
    <n v="294"/>
    <n v="294"/>
    <n v="0"/>
    <n v="1"/>
    <s v="N"/>
  </r>
  <r>
    <n v="948"/>
    <n v="5"/>
    <n v="347"/>
    <n v="353"/>
    <n v="347"/>
    <n v="6"/>
    <n v="0.98270893371757928"/>
    <s v="N"/>
  </r>
  <r>
    <n v="948"/>
    <n v="50"/>
    <n v="420"/>
    <n v="426"/>
    <n v="420"/>
    <n v="6"/>
    <n v="0.98571428571428577"/>
    <s v="N"/>
  </r>
  <r>
    <n v="949"/>
    <n v="1"/>
    <n v="265"/>
    <n v="261"/>
    <n v="265"/>
    <n v="-4"/>
    <n v="0.98490566037735849"/>
    <s v="N"/>
  </r>
  <r>
    <n v="949"/>
    <n v="5"/>
    <n v="336"/>
    <n v="343"/>
    <n v="336"/>
    <n v="7"/>
    <n v="0.97916666666666663"/>
    <s v="Y"/>
  </r>
  <r>
    <n v="949"/>
    <n v="50"/>
    <n v="284"/>
    <n v="281"/>
    <n v="284"/>
    <n v="-3"/>
    <n v="0.98943661971830987"/>
    <s v="N"/>
  </r>
  <r>
    <n v="950"/>
    <n v="1"/>
    <n v="272"/>
    <n v="274"/>
    <n v="272"/>
    <n v="2"/>
    <n v="0.99264705882352944"/>
    <s v="N"/>
  </r>
  <r>
    <n v="950"/>
    <n v="5"/>
    <n v="342"/>
    <n v="340"/>
    <n v="342"/>
    <n v="-2"/>
    <n v="0.99415204678362579"/>
    <s v="N"/>
  </r>
  <r>
    <n v="950"/>
    <n v="50"/>
    <n v="291"/>
    <n v="291"/>
    <n v="291"/>
    <n v="0"/>
    <n v="1"/>
    <s v="N"/>
  </r>
  <r>
    <n v="951"/>
    <n v="1"/>
    <n v="278"/>
    <n v="285"/>
    <n v="278"/>
    <n v="7"/>
    <n v="0.97482014388489213"/>
    <s v="Y"/>
  </r>
  <r>
    <n v="951"/>
    <n v="5"/>
    <n v="348"/>
    <n v="353"/>
    <n v="348"/>
    <n v="5"/>
    <n v="0.98563218390804597"/>
    <s v="N"/>
  </r>
  <r>
    <n v="951"/>
    <n v="50"/>
    <n v="297"/>
    <n v="297"/>
    <n v="297"/>
    <n v="0"/>
    <n v="1"/>
    <s v="N"/>
  </r>
  <r>
    <n v="952"/>
    <n v="1"/>
    <n v="236"/>
    <n v="238"/>
    <n v="236"/>
    <n v="2"/>
    <n v="0.99152542372881358"/>
    <s v="N"/>
  </r>
  <r>
    <n v="952"/>
    <n v="5"/>
    <n v="192"/>
    <n v="195"/>
    <n v="192"/>
    <n v="3"/>
    <n v="0.984375"/>
    <s v="N"/>
  </r>
  <r>
    <n v="952"/>
    <n v="50"/>
    <n v="161"/>
    <n v="165"/>
    <n v="161"/>
    <n v="4"/>
    <n v="0.97515527950310554"/>
    <s v="Y"/>
  </r>
  <r>
    <n v="953"/>
    <n v="7"/>
    <n v="116"/>
    <n v="119"/>
    <n v="116"/>
    <n v="3"/>
    <n v="0.97413793103448276"/>
    <s v="Y"/>
  </r>
  <r>
    <n v="953"/>
    <n v="60"/>
    <n v="49"/>
    <n v="50"/>
    <n v="49"/>
    <n v="1"/>
    <n v="0.97959183673469385"/>
    <s v="Y"/>
  </r>
  <r>
    <n v="954"/>
    <n v="7"/>
    <n v="65"/>
    <n v="67"/>
    <n v="65"/>
    <n v="2"/>
    <n v="0.96923076923076923"/>
    <s v="Y"/>
  </r>
  <r>
    <n v="954"/>
    <n v="60"/>
    <n v="83"/>
    <n v="81"/>
    <n v="83"/>
    <n v="-2"/>
    <n v="0.97590361445783136"/>
    <s v="Y"/>
  </r>
  <r>
    <n v="955"/>
    <n v="7"/>
    <n v="75"/>
    <n v="73"/>
    <n v="75"/>
    <n v="-2"/>
    <n v="0.97333333333333338"/>
    <s v="Y"/>
  </r>
  <r>
    <n v="955"/>
    <n v="60"/>
    <n v="62"/>
    <n v="62"/>
    <n v="62"/>
    <n v="0"/>
    <n v="1"/>
    <s v="N"/>
  </r>
  <r>
    <n v="956"/>
    <n v="7"/>
    <n v="35"/>
    <n v="35"/>
    <n v="35"/>
    <n v="0"/>
    <n v="1"/>
    <s v="N"/>
  </r>
  <r>
    <n v="956"/>
    <n v="60"/>
    <n v="40"/>
    <n v="39"/>
    <n v="40"/>
    <n v="-1"/>
    <n v="0.97499999999999998"/>
    <s v="Y"/>
  </r>
  <r>
    <n v="957"/>
    <n v="7"/>
    <n v="51"/>
    <n v="50"/>
    <n v="51"/>
    <n v="-1"/>
    <n v="0.98039215686274506"/>
    <s v="N"/>
  </r>
  <r>
    <n v="957"/>
    <n v="60"/>
    <n v="100"/>
    <n v="100"/>
    <n v="100"/>
    <n v="0"/>
    <n v="1"/>
    <s v="N"/>
  </r>
  <r>
    <n v="958"/>
    <n v="7"/>
    <n v="128"/>
    <n v="129"/>
    <n v="128"/>
    <n v="1"/>
    <n v="0.9921875"/>
    <s v="N"/>
  </r>
  <r>
    <n v="958"/>
    <n v="60"/>
    <n v="35"/>
    <n v="36"/>
    <n v="35"/>
    <n v="1"/>
    <n v="0.97142857142857142"/>
    <s v="Y"/>
  </r>
  <r>
    <n v="959"/>
    <n v="7"/>
    <n v="83"/>
    <n v="83"/>
    <n v="83"/>
    <n v="0"/>
    <n v="1"/>
    <s v="N"/>
  </r>
  <r>
    <n v="959"/>
    <n v="60"/>
    <n v="121"/>
    <n v="119"/>
    <n v="121"/>
    <n v="-2"/>
    <n v="0.98347107438016534"/>
    <s v="N"/>
  </r>
  <r>
    <n v="960"/>
    <n v="7"/>
    <n v="54"/>
    <n v="54"/>
    <n v="54"/>
    <n v="0"/>
    <n v="1"/>
    <s v="N"/>
  </r>
  <r>
    <n v="960"/>
    <n v="60"/>
    <n v="105"/>
    <n v="103"/>
    <n v="105"/>
    <n v="-2"/>
    <n v="0.98095238095238091"/>
    <s v="N"/>
  </r>
  <r>
    <n v="961"/>
    <n v="7"/>
    <n v="88"/>
    <n v="90"/>
    <n v="88"/>
    <n v="2"/>
    <n v="0.97727272727272729"/>
    <s v="Y"/>
  </r>
  <r>
    <n v="961"/>
    <n v="60"/>
    <n v="80"/>
    <n v="81"/>
    <n v="80"/>
    <n v="1"/>
    <n v="0.98750000000000004"/>
    <s v="N"/>
  </r>
  <r>
    <n v="962"/>
    <n v="7"/>
    <n v="67"/>
    <n v="65"/>
    <n v="67"/>
    <n v="-2"/>
    <n v="0.97014925373134331"/>
    <s v="Y"/>
  </r>
  <r>
    <n v="962"/>
    <n v="60"/>
    <n v="107"/>
    <n v="107"/>
    <n v="107"/>
    <n v="0"/>
    <n v="1"/>
    <s v="N"/>
  </r>
  <r>
    <n v="963"/>
    <n v="7"/>
    <n v="126"/>
    <n v="124"/>
    <n v="126"/>
    <n v="-2"/>
    <n v="0.98412698412698418"/>
    <s v="N"/>
  </r>
  <r>
    <n v="963"/>
    <n v="60"/>
    <n v="36"/>
    <n v="37"/>
    <n v="36"/>
    <n v="1"/>
    <n v="0.97222222222222221"/>
    <s v="Y"/>
  </r>
  <r>
    <n v="964"/>
    <n v="7"/>
    <n v="81"/>
    <n v="82"/>
    <n v="81"/>
    <n v="1"/>
    <n v="0.98765432098765427"/>
    <s v="N"/>
  </r>
  <r>
    <n v="964"/>
    <n v="60"/>
    <n v="116"/>
    <n v="115"/>
    <n v="116"/>
    <n v="-1"/>
    <n v="0.99137931034482762"/>
    <s v="N"/>
  </r>
  <r>
    <n v="965"/>
    <n v="7"/>
    <n v="91"/>
    <n v="92"/>
    <n v="91"/>
    <n v="1"/>
    <n v="0.98901098901098905"/>
    <s v="N"/>
  </r>
  <r>
    <n v="965"/>
    <n v="60"/>
    <n v="72"/>
    <n v="73"/>
    <n v="72"/>
    <n v="1"/>
    <n v="0.98611111111111116"/>
    <s v="N"/>
  </r>
  <r>
    <n v="966"/>
    <n v="7"/>
    <n v="99"/>
    <n v="100"/>
    <n v="99"/>
    <n v="1"/>
    <n v="0.98989898989898994"/>
    <s v="N"/>
  </r>
  <r>
    <n v="966"/>
    <n v="60"/>
    <n v="86"/>
    <n v="87"/>
    <n v="86"/>
    <n v="1"/>
    <n v="0.98837209302325579"/>
    <s v="N"/>
  </r>
  <r>
    <n v="967"/>
    <n v="7"/>
    <n v="67"/>
    <n v="67"/>
    <n v="67"/>
    <n v="0"/>
    <n v="1"/>
    <s v="N"/>
  </r>
  <r>
    <n v="967"/>
    <n v="60"/>
    <n v="81"/>
    <n v="81"/>
    <n v="81"/>
    <n v="0"/>
    <n v="1"/>
    <s v="N"/>
  </r>
  <r>
    <n v="968"/>
    <n v="7"/>
    <n v="73"/>
    <n v="73"/>
    <n v="73"/>
    <n v="0"/>
    <n v="1"/>
    <s v="N"/>
  </r>
  <r>
    <n v="968"/>
    <n v="60"/>
    <n v="60"/>
    <n v="59"/>
    <n v="60"/>
    <n v="-1"/>
    <n v="0.98333333333333328"/>
    <s v="N"/>
  </r>
  <r>
    <n v="969"/>
    <n v="7"/>
    <n v="30"/>
    <n v="31"/>
    <n v="30"/>
    <n v="1"/>
    <n v="0.96666666666666667"/>
    <s v="Y"/>
  </r>
  <r>
    <n v="969"/>
    <n v="60"/>
    <n v="99"/>
    <n v="101"/>
    <n v="99"/>
    <n v="2"/>
    <n v="0.97979797979797978"/>
    <s v="Y"/>
  </r>
  <r>
    <n v="970"/>
    <n v="7"/>
    <n v="73"/>
    <n v="75"/>
    <n v="73"/>
    <n v="2"/>
    <n v="0.9726027397260274"/>
    <s v="Y"/>
  </r>
  <r>
    <n v="970"/>
    <n v="60"/>
    <n v="60"/>
    <n v="59"/>
    <n v="60"/>
    <n v="-1"/>
    <n v="0.98333333333333328"/>
    <s v="N"/>
  </r>
  <r>
    <n v="971"/>
    <n v="7"/>
    <n v="104"/>
    <n v="103"/>
    <n v="104"/>
    <n v="-1"/>
    <n v="0.99038461538461542"/>
    <s v="N"/>
  </r>
  <r>
    <n v="971"/>
    <n v="60"/>
    <n v="123"/>
    <n v="125"/>
    <n v="123"/>
    <n v="2"/>
    <n v="0.98373983739837401"/>
    <s v="N"/>
  </r>
  <r>
    <n v="972"/>
    <n v="7"/>
    <n v="30"/>
    <n v="30"/>
    <n v="30"/>
    <n v="0"/>
    <n v="1"/>
    <s v="N"/>
  </r>
  <r>
    <n v="972"/>
    <n v="60"/>
    <n v="99"/>
    <n v="97"/>
    <n v="99"/>
    <n v="-2"/>
    <n v="0.97979797979797978"/>
    <s v="Y"/>
  </r>
  <r>
    <n v="973"/>
    <n v="7"/>
    <n v="99"/>
    <n v="102"/>
    <n v="99"/>
    <n v="3"/>
    <n v="0.96969696969696972"/>
    <s v="Y"/>
  </r>
  <r>
    <n v="973"/>
    <n v="60"/>
    <n v="86"/>
    <n v="85"/>
    <n v="86"/>
    <n v="-1"/>
    <n v="0.98837209302325579"/>
    <s v="N"/>
  </r>
  <r>
    <n v="974"/>
    <n v="7"/>
    <n v="67"/>
    <n v="68"/>
    <n v="67"/>
    <n v="1"/>
    <n v="0.9850746268656716"/>
    <s v="N"/>
  </r>
  <r>
    <n v="974"/>
    <n v="60"/>
    <n v="81"/>
    <n v="82"/>
    <n v="81"/>
    <n v="1"/>
    <n v="0.98765432098765427"/>
    <s v="N"/>
  </r>
  <r>
    <n v="975"/>
    <n v="7"/>
    <n v="73"/>
    <n v="74"/>
    <n v="73"/>
    <n v="1"/>
    <n v="0.98630136986301364"/>
    <s v="N"/>
  </r>
  <r>
    <n v="975"/>
    <n v="60"/>
    <n v="60"/>
    <n v="58"/>
    <n v="60"/>
    <n v="-2"/>
    <n v="0.96666666666666667"/>
    <s v="Y"/>
  </r>
  <r>
    <n v="976"/>
    <n v="7"/>
    <n v="104"/>
    <n v="106"/>
    <n v="104"/>
    <n v="2"/>
    <n v="0.98076923076923073"/>
    <s v="N"/>
  </r>
  <r>
    <n v="976"/>
    <n v="60"/>
    <n v="123"/>
    <n v="126"/>
    <n v="123"/>
    <n v="3"/>
    <n v="0.97560975609756095"/>
    <s v="Y"/>
  </r>
  <r>
    <n v="977"/>
    <n v="7"/>
    <n v="88"/>
    <n v="88"/>
    <n v="88"/>
    <n v="0"/>
    <n v="1"/>
    <s v="N"/>
  </r>
  <r>
    <n v="977"/>
    <n v="60"/>
    <n v="65"/>
    <n v="67"/>
    <n v="65"/>
    <n v="2"/>
    <n v="0.96923076923076923"/>
    <s v="Y"/>
  </r>
  <r>
    <n v="978"/>
    <n v="7"/>
    <n v="91"/>
    <n v="89"/>
    <n v="91"/>
    <n v="-2"/>
    <n v="0.97802197802197799"/>
    <s v="Y"/>
  </r>
  <r>
    <n v="978"/>
    <n v="60"/>
    <n v="72"/>
    <n v="72"/>
    <n v="72"/>
    <n v="0"/>
    <n v="1"/>
    <s v="N"/>
  </r>
  <r>
    <n v="979"/>
    <n v="7"/>
    <n v="86"/>
    <n v="84"/>
    <n v="86"/>
    <n v="-2"/>
    <n v="0.97674418604651159"/>
    <s v="Y"/>
  </r>
  <r>
    <n v="979"/>
    <n v="60"/>
    <n v="78"/>
    <n v="78"/>
    <n v="78"/>
    <n v="0"/>
    <n v="1"/>
    <s v="N"/>
  </r>
  <r>
    <n v="980"/>
    <n v="7"/>
    <n v="51"/>
    <n v="51"/>
    <n v="51"/>
    <n v="0"/>
    <n v="1"/>
    <s v="N"/>
  </r>
  <r>
    <n v="980"/>
    <n v="60"/>
    <n v="99"/>
    <n v="99"/>
    <n v="99"/>
    <n v="0"/>
    <n v="1"/>
    <s v="N"/>
  </r>
  <r>
    <n v="981"/>
    <n v="7"/>
    <n v="86"/>
    <n v="84"/>
    <n v="86"/>
    <n v="-2"/>
    <n v="0.97674418604651159"/>
    <s v="Y"/>
  </r>
  <r>
    <n v="981"/>
    <n v="60"/>
    <n v="67"/>
    <n v="68"/>
    <n v="67"/>
    <n v="1"/>
    <n v="0.9850746268656716"/>
    <s v="N"/>
  </r>
  <r>
    <n v="982"/>
    <n v="7"/>
    <n v="81"/>
    <n v="80"/>
    <n v="81"/>
    <n v="-1"/>
    <n v="0.98765432098765427"/>
    <s v="N"/>
  </r>
  <r>
    <n v="982"/>
    <n v="60"/>
    <n v="73"/>
    <n v="72"/>
    <n v="73"/>
    <n v="-1"/>
    <n v="0.98630136986301364"/>
    <s v="N"/>
  </r>
  <r>
    <n v="983"/>
    <n v="7"/>
    <n v="60"/>
    <n v="60"/>
    <n v="60"/>
    <n v="0"/>
    <n v="1"/>
    <s v="N"/>
  </r>
  <r>
    <n v="983"/>
    <n v="60"/>
    <n v="104"/>
    <n v="102"/>
    <n v="104"/>
    <n v="-2"/>
    <n v="0.98076923076923073"/>
    <s v="N"/>
  </r>
  <r>
    <n v="984"/>
    <n v="7"/>
    <n v="81"/>
    <n v="81"/>
    <n v="81"/>
    <n v="0"/>
    <n v="1"/>
    <s v="N"/>
  </r>
  <r>
    <n v="984"/>
    <n v="60"/>
    <n v="73"/>
    <n v="73"/>
    <n v="73"/>
    <n v="0"/>
    <n v="1"/>
    <s v="N"/>
  </r>
  <r>
    <n v="985"/>
    <n v="7"/>
    <n v="60"/>
    <n v="60"/>
    <n v="60"/>
    <n v="0"/>
    <n v="1"/>
    <s v="N"/>
  </r>
  <r>
    <n v="985"/>
    <n v="60"/>
    <n v="104"/>
    <n v="104"/>
    <n v="104"/>
    <n v="0"/>
    <n v="1"/>
    <s v="N"/>
  </r>
  <r>
    <n v="986"/>
    <n v="7"/>
    <n v="123"/>
    <n v="120"/>
    <n v="123"/>
    <n v="-3"/>
    <n v="0.97560975609756095"/>
    <s v="Y"/>
  </r>
  <r>
    <n v="986"/>
    <n v="60"/>
    <n v="30"/>
    <n v="30"/>
    <n v="30"/>
    <n v="0"/>
    <n v="1"/>
    <s v="N"/>
  </r>
  <r>
    <n v="987"/>
    <n v="7"/>
    <n v="99"/>
    <n v="100"/>
    <n v="99"/>
    <n v="1"/>
    <n v="0.98989898989898994"/>
    <s v="N"/>
  </r>
  <r>
    <n v="987"/>
    <n v="60"/>
    <n v="56"/>
    <n v="56"/>
    <n v="56"/>
    <n v="0"/>
    <n v="1"/>
    <s v="N"/>
  </r>
  <r>
    <n v="988"/>
    <n v="7"/>
    <n v="78"/>
    <n v="76"/>
    <n v="78"/>
    <n v="-2"/>
    <n v="0.97435897435897434"/>
    <s v="Y"/>
  </r>
  <r>
    <n v="988"/>
    <n v="60"/>
    <n v="116"/>
    <n v="119"/>
    <n v="116"/>
    <n v="3"/>
    <n v="0.97413793103448276"/>
    <s v="Y"/>
  </r>
  <r>
    <n v="989"/>
    <n v="7"/>
    <n v="51"/>
    <n v="50"/>
    <n v="51"/>
    <n v="-1"/>
    <n v="0.98039215686274506"/>
    <s v="N"/>
  </r>
  <r>
    <n v="989"/>
    <n v="60"/>
    <n v="99"/>
    <n v="98"/>
    <n v="99"/>
    <n v="-1"/>
    <n v="0.98989898989898994"/>
    <s v="N"/>
  </r>
  <r>
    <n v="990"/>
    <n v="7"/>
    <n v="86"/>
    <n v="84"/>
    <n v="86"/>
    <n v="-2"/>
    <n v="0.97674418604651159"/>
    <s v="Y"/>
  </r>
  <r>
    <n v="990"/>
    <n v="60"/>
    <n v="67"/>
    <n v="68"/>
    <n v="67"/>
    <n v="1"/>
    <n v="0.9850746268656716"/>
    <s v="N"/>
  </r>
  <r>
    <n v="991"/>
    <n v="7"/>
    <n v="81"/>
    <n v="83"/>
    <n v="81"/>
    <n v="2"/>
    <n v="0.97530864197530864"/>
    <s v="Y"/>
  </r>
  <r>
    <n v="991"/>
    <n v="60"/>
    <n v="73"/>
    <n v="73"/>
    <n v="73"/>
    <n v="0"/>
    <n v="1"/>
    <s v="N"/>
  </r>
  <r>
    <n v="992"/>
    <n v="7"/>
    <n v="60"/>
    <n v="60"/>
    <n v="60"/>
    <n v="0"/>
    <n v="1"/>
    <s v="N"/>
  </r>
  <r>
    <n v="992"/>
    <n v="60"/>
    <n v="104"/>
    <n v="107"/>
    <n v="104"/>
    <n v="3"/>
    <n v="0.97115384615384615"/>
    <s v="Y"/>
  </r>
  <r>
    <n v="993"/>
    <n v="7"/>
    <n v="123"/>
    <n v="123"/>
    <n v="123"/>
    <n v="0"/>
    <n v="1"/>
    <s v="N"/>
  </r>
  <r>
    <n v="993"/>
    <n v="60"/>
    <n v="30"/>
    <n v="29"/>
    <n v="30"/>
    <n v="-1"/>
    <n v="0.96666666666666667"/>
    <s v="Y"/>
  </r>
  <r>
    <n v="994"/>
    <n v="1"/>
    <n v="244"/>
    <n v="251"/>
    <n v="244"/>
    <n v="7"/>
    <n v="0.97131147540983609"/>
    <s v="Y"/>
  </r>
  <r>
    <n v="994"/>
    <n v="6"/>
    <n v="358"/>
    <n v="368"/>
    <n v="358"/>
    <n v="10"/>
    <n v="0.97206703910614523"/>
    <s v="Y"/>
  </r>
  <r>
    <n v="994"/>
    <n v="50"/>
    <n v="212"/>
    <n v="214"/>
    <n v="212"/>
    <n v="2"/>
    <n v="0.99056603773584906"/>
    <s v="N"/>
  </r>
  <r>
    <n v="995"/>
    <n v="1"/>
    <n v="230"/>
    <n v="228"/>
    <n v="230"/>
    <n v="-2"/>
    <n v="0.99130434782608701"/>
    <s v="N"/>
  </r>
  <r>
    <n v="995"/>
    <n v="6"/>
    <n v="321"/>
    <n v="317"/>
    <n v="321"/>
    <n v="-4"/>
    <n v="0.98753894080996885"/>
    <s v="N"/>
  </r>
  <r>
    <n v="995"/>
    <n v="50"/>
    <n v="265"/>
    <n v="264"/>
    <n v="265"/>
    <n v="-1"/>
    <n v="0.99622641509433962"/>
    <s v="N"/>
  </r>
  <r>
    <n v="996"/>
    <n v="1"/>
    <n v="321"/>
    <n v="323"/>
    <n v="321"/>
    <n v="2"/>
    <n v="0.99376947040498442"/>
    <s v="N"/>
  </r>
  <r>
    <n v="996"/>
    <n v="6"/>
    <n v="475"/>
    <n v="467"/>
    <n v="475"/>
    <n v="-8"/>
    <n v="0.98315789473684212"/>
    <s v="N"/>
  </r>
  <r>
    <n v="996"/>
    <n v="50"/>
    <n v="174"/>
    <n v="170"/>
    <n v="174"/>
    <n v="-4"/>
    <n v="0.97701149425287359"/>
    <s v="Y"/>
  </r>
  <r>
    <n v="997"/>
    <n v="7"/>
    <n v="123"/>
    <n v="123"/>
    <n v="123"/>
    <n v="0"/>
    <n v="1"/>
    <s v="N"/>
  </r>
  <r>
    <n v="997"/>
    <n v="60"/>
    <n v="30"/>
    <n v="30"/>
    <n v="30"/>
    <n v="0"/>
    <n v="1"/>
    <s v="N"/>
  </r>
  <r>
    <n v="998"/>
    <n v="7"/>
    <n v="99"/>
    <n v="100"/>
    <n v="99"/>
    <n v="1"/>
    <n v="0.98989898989898994"/>
    <s v="N"/>
  </r>
  <r>
    <n v="998"/>
    <n v="60"/>
    <n v="56"/>
    <n v="55"/>
    <n v="56"/>
    <n v="-1"/>
    <n v="0.9821428571428571"/>
    <s v="N"/>
  </r>
  <r>
    <n v="999"/>
    <n v="7"/>
    <n v="78"/>
    <n v="77"/>
    <n v="78"/>
    <n v="-1"/>
    <n v="0.98717948717948723"/>
    <s v="N"/>
  </r>
  <r>
    <n v="999"/>
    <n v="60"/>
    <n v="116"/>
    <n v="119"/>
    <n v="116"/>
    <n v="3"/>
    <n v="0.97413793103448276"/>
    <s v="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6BF609-CD18-4D76-8F69-4DAAE9C21314}" name="PivotTable14" cacheId="2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2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0" hier="11" name="[tbl_kpi].[HighRiskFlag].&amp;[Y]" cap="Y"/>
  </pageFields>
  <dataFields count="1">
    <dataField name="High-Risk SKU Count" fld="1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High-Risk SKU Count"/>
    <pivotHierarchy dragToData="1"/>
    <pivotHierarchy dragToData="1" caption="Count of ProductID"/>
    <pivotHierarchy dragToData="1"/>
    <pivotHierarchy dragToData="1" caption="High-Risk SKU Count"/>
    <pivotHierarchy dragToData="1"/>
    <pivotHierarchy dragToData="1" caption="Count of ProductID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kpi]"/>
        <x15:activeTabTopLevelEntity name="[tbl_location]"/>
        <x15:activeTabTopLevelEntity name="[tbl_product]"/>
        <x15:activeTabTopLevelEntity name="[tbl_inven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565161-61B5-463A-8DC6-92FC9BD17FA9}" name="PivotTable16" cacheId="2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08" firstHeaderRow="1" firstDataRow="1" firstDataCol="1" rowPageCount="1" colPageCount="1"/>
  <pivotFields count="3">
    <pivotField axis="axisRow" allDrilled="1" subtotalTop="0" showAll="0" sortType="ascending" defaultSubtotal="0" defaultAttributeDrillState="1">
      <items count="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505">
    <i>
      <x v="251"/>
    </i>
    <i>
      <x v="252"/>
    </i>
    <i>
      <x v="1"/>
    </i>
    <i>
      <x v="253"/>
    </i>
    <i>
      <x v="3"/>
    </i>
    <i>
      <x v="254"/>
    </i>
    <i>
      <x v="5"/>
    </i>
    <i>
      <x v="255"/>
    </i>
    <i>
      <x v="7"/>
    </i>
    <i>
      <x v="256"/>
    </i>
    <i>
      <x v="9"/>
    </i>
    <i>
      <x v="257"/>
    </i>
    <i>
      <x v="11"/>
    </i>
    <i>
      <x v="258"/>
    </i>
    <i>
      <x v="13"/>
    </i>
    <i>
      <x v="259"/>
    </i>
    <i>
      <x v="15"/>
    </i>
    <i>
      <x v="260"/>
    </i>
    <i>
      <x v="17"/>
    </i>
    <i>
      <x v="261"/>
    </i>
    <i>
      <x v="19"/>
    </i>
    <i>
      <x v="262"/>
    </i>
    <i>
      <x v="21"/>
    </i>
    <i>
      <x v="263"/>
    </i>
    <i>
      <x v="23"/>
    </i>
    <i>
      <x v="264"/>
    </i>
    <i>
      <x v="25"/>
    </i>
    <i>
      <x v="265"/>
    </i>
    <i>
      <x v="27"/>
    </i>
    <i>
      <x v="266"/>
    </i>
    <i>
      <x v="29"/>
    </i>
    <i>
      <x v="267"/>
    </i>
    <i>
      <x v="31"/>
    </i>
    <i>
      <x v="268"/>
    </i>
    <i>
      <x v="33"/>
    </i>
    <i>
      <x v="269"/>
    </i>
    <i>
      <x v="35"/>
    </i>
    <i>
      <x v="270"/>
    </i>
    <i>
      <x v="37"/>
    </i>
    <i>
      <x v="271"/>
    </i>
    <i>
      <x v="39"/>
    </i>
    <i>
      <x v="272"/>
    </i>
    <i>
      <x v="41"/>
    </i>
    <i>
      <x v="273"/>
    </i>
    <i>
      <x v="43"/>
    </i>
    <i>
      <x v="274"/>
    </i>
    <i>
      <x v="45"/>
    </i>
    <i>
      <x v="275"/>
    </i>
    <i>
      <x v="47"/>
    </i>
    <i>
      <x v="276"/>
    </i>
    <i>
      <x v="49"/>
    </i>
    <i>
      <x v="277"/>
    </i>
    <i>
      <x v="51"/>
    </i>
    <i>
      <x v="278"/>
    </i>
    <i>
      <x v="53"/>
    </i>
    <i>
      <x v="279"/>
    </i>
    <i>
      <x v="55"/>
    </i>
    <i>
      <x v="280"/>
    </i>
    <i>
      <x v="57"/>
    </i>
    <i>
      <x v="281"/>
    </i>
    <i>
      <x v="59"/>
    </i>
    <i>
      <x v="282"/>
    </i>
    <i>
      <x v="61"/>
    </i>
    <i>
      <x v="283"/>
    </i>
    <i>
      <x v="63"/>
    </i>
    <i>
      <x v="284"/>
    </i>
    <i>
      <x v="65"/>
    </i>
    <i>
      <x v="285"/>
    </i>
    <i>
      <x v="67"/>
    </i>
    <i>
      <x v="286"/>
    </i>
    <i>
      <x v="69"/>
    </i>
    <i>
      <x v="287"/>
    </i>
    <i>
      <x v="71"/>
    </i>
    <i>
      <x v="288"/>
    </i>
    <i>
      <x v="73"/>
    </i>
    <i>
      <x v="289"/>
    </i>
    <i>
      <x v="75"/>
    </i>
    <i>
      <x v="290"/>
    </i>
    <i>
      <x v="77"/>
    </i>
    <i>
      <x v="291"/>
    </i>
    <i>
      <x v="79"/>
    </i>
    <i>
      <x v="292"/>
    </i>
    <i>
      <x v="81"/>
    </i>
    <i>
      <x v="293"/>
    </i>
    <i>
      <x v="83"/>
    </i>
    <i>
      <x v="294"/>
    </i>
    <i>
      <x v="85"/>
    </i>
    <i>
      <x v="295"/>
    </i>
    <i>
      <x v="87"/>
    </i>
    <i>
      <x v="296"/>
    </i>
    <i>
      <x v="89"/>
    </i>
    <i>
      <x v="297"/>
    </i>
    <i>
      <x v="91"/>
    </i>
    <i>
      <x v="298"/>
    </i>
    <i>
      <x v="93"/>
    </i>
    <i>
      <x v="299"/>
    </i>
    <i>
      <x v="95"/>
    </i>
    <i>
      <x v="300"/>
    </i>
    <i>
      <x v="97"/>
    </i>
    <i>
      <x v="301"/>
    </i>
    <i>
      <x v="99"/>
    </i>
    <i>
      <x v="302"/>
    </i>
    <i>
      <x v="101"/>
    </i>
    <i>
      <x v="303"/>
    </i>
    <i>
      <x v="103"/>
    </i>
    <i>
      <x v="304"/>
    </i>
    <i>
      <x v="105"/>
    </i>
    <i>
      <x v="305"/>
    </i>
    <i>
      <x v="107"/>
    </i>
    <i>
      <x v="306"/>
    </i>
    <i>
      <x v="109"/>
    </i>
    <i>
      <x v="307"/>
    </i>
    <i>
      <x v="111"/>
    </i>
    <i>
      <x v="308"/>
    </i>
    <i>
      <x v="113"/>
    </i>
    <i>
      <x v="309"/>
    </i>
    <i>
      <x v="115"/>
    </i>
    <i>
      <x v="310"/>
    </i>
    <i>
      <x v="117"/>
    </i>
    <i>
      <x v="311"/>
    </i>
    <i>
      <x v="119"/>
    </i>
    <i>
      <x v="312"/>
    </i>
    <i>
      <x v="121"/>
    </i>
    <i>
      <x v="313"/>
    </i>
    <i>
      <x v="123"/>
    </i>
    <i>
      <x v="314"/>
    </i>
    <i>
      <x v="125"/>
    </i>
    <i>
      <x v="315"/>
    </i>
    <i>
      <x v="127"/>
    </i>
    <i>
      <x v="316"/>
    </i>
    <i>
      <x v="129"/>
    </i>
    <i>
      <x v="317"/>
    </i>
    <i>
      <x v="131"/>
    </i>
    <i>
      <x v="318"/>
    </i>
    <i>
      <x v="133"/>
    </i>
    <i>
      <x v="319"/>
    </i>
    <i>
      <x v="135"/>
    </i>
    <i>
      <x v="320"/>
    </i>
    <i>
      <x v="137"/>
    </i>
    <i>
      <x v="321"/>
    </i>
    <i>
      <x v="139"/>
    </i>
    <i>
      <x v="322"/>
    </i>
    <i>
      <x v="141"/>
    </i>
    <i>
      <x v="323"/>
    </i>
    <i>
      <x v="143"/>
    </i>
    <i>
      <x v="324"/>
    </i>
    <i>
      <x v="145"/>
    </i>
    <i>
      <x v="325"/>
    </i>
    <i>
      <x v="147"/>
    </i>
    <i>
      <x v="326"/>
    </i>
    <i>
      <x v="149"/>
    </i>
    <i>
      <x v="327"/>
    </i>
    <i>
      <x v="151"/>
    </i>
    <i>
      <x v="328"/>
    </i>
    <i>
      <x v="153"/>
    </i>
    <i>
      <x v="329"/>
    </i>
    <i>
      <x v="155"/>
    </i>
    <i>
      <x v="330"/>
    </i>
    <i>
      <x v="157"/>
    </i>
    <i>
      <x v="331"/>
    </i>
    <i>
      <x v="159"/>
    </i>
    <i>
      <x v="332"/>
    </i>
    <i>
      <x v="161"/>
    </i>
    <i>
      <x v="333"/>
    </i>
    <i>
      <x v="163"/>
    </i>
    <i>
      <x v="334"/>
    </i>
    <i>
      <x v="165"/>
    </i>
    <i>
      <x v="335"/>
    </i>
    <i>
      <x v="167"/>
    </i>
    <i>
      <x v="336"/>
    </i>
    <i>
      <x v="169"/>
    </i>
    <i>
      <x v="337"/>
    </i>
    <i>
      <x v="171"/>
    </i>
    <i>
      <x v="338"/>
    </i>
    <i>
      <x v="173"/>
    </i>
    <i>
      <x v="339"/>
    </i>
    <i>
      <x v="175"/>
    </i>
    <i>
      <x v="340"/>
    </i>
    <i>
      <x v="177"/>
    </i>
    <i>
      <x v="341"/>
    </i>
    <i>
      <x v="179"/>
    </i>
    <i>
      <x v="342"/>
    </i>
    <i>
      <x v="181"/>
    </i>
    <i>
      <x v="343"/>
    </i>
    <i>
      <x v="183"/>
    </i>
    <i>
      <x v="344"/>
    </i>
    <i>
      <x v="185"/>
    </i>
    <i>
      <x v="345"/>
    </i>
    <i>
      <x v="187"/>
    </i>
    <i>
      <x v="346"/>
    </i>
    <i>
      <x v="189"/>
    </i>
    <i>
      <x v="347"/>
    </i>
    <i>
      <x v="191"/>
    </i>
    <i>
      <x v="348"/>
    </i>
    <i>
      <x v="193"/>
    </i>
    <i>
      <x v="349"/>
    </i>
    <i>
      <x v="195"/>
    </i>
    <i>
      <x v="350"/>
    </i>
    <i>
      <x v="197"/>
    </i>
    <i>
      <x v="351"/>
    </i>
    <i>
      <x v="199"/>
    </i>
    <i>
      <x v="352"/>
    </i>
    <i>
      <x v="201"/>
    </i>
    <i>
      <x v="353"/>
    </i>
    <i>
      <x v="203"/>
    </i>
    <i>
      <x v="354"/>
    </i>
    <i>
      <x v="205"/>
    </i>
    <i>
      <x v="355"/>
    </i>
    <i>
      <x v="207"/>
    </i>
    <i>
      <x v="356"/>
    </i>
    <i>
      <x v="209"/>
    </i>
    <i>
      <x v="357"/>
    </i>
    <i>
      <x v="211"/>
    </i>
    <i>
      <x v="358"/>
    </i>
    <i>
      <x v="213"/>
    </i>
    <i>
      <x v="359"/>
    </i>
    <i>
      <x v="215"/>
    </i>
    <i>
      <x v="360"/>
    </i>
    <i>
      <x v="217"/>
    </i>
    <i>
      <x v="361"/>
    </i>
    <i>
      <x v="219"/>
    </i>
    <i>
      <x v="362"/>
    </i>
    <i>
      <x v="221"/>
    </i>
    <i>
      <x v="363"/>
    </i>
    <i>
      <x v="223"/>
    </i>
    <i>
      <x v="364"/>
    </i>
    <i>
      <x v="225"/>
    </i>
    <i>
      <x v="365"/>
    </i>
    <i>
      <x v="227"/>
    </i>
    <i>
      <x v="366"/>
    </i>
    <i>
      <x v="229"/>
    </i>
    <i>
      <x v="367"/>
    </i>
    <i>
      <x v="231"/>
    </i>
    <i>
      <x v="368"/>
    </i>
    <i>
      <x v="233"/>
    </i>
    <i>
      <x v="369"/>
    </i>
    <i>
      <x v="235"/>
    </i>
    <i>
      <x v="370"/>
    </i>
    <i>
      <x v="237"/>
    </i>
    <i>
      <x v="371"/>
    </i>
    <i>
      <x v="239"/>
    </i>
    <i>
      <x v="372"/>
    </i>
    <i>
      <x v="241"/>
    </i>
    <i>
      <x v="373"/>
    </i>
    <i>
      <x v="243"/>
    </i>
    <i>
      <x v="374"/>
    </i>
    <i>
      <x v="245"/>
    </i>
    <i>
      <x v="375"/>
    </i>
    <i>
      <x v="247"/>
    </i>
    <i>
      <x v="376"/>
    </i>
    <i>
      <x v="249"/>
    </i>
    <i>
      <x v="377"/>
    </i>
    <i>
      <x/>
    </i>
    <i>
      <x v="378"/>
    </i>
    <i>
      <x v="4"/>
    </i>
    <i>
      <x v="379"/>
    </i>
    <i>
      <x v="8"/>
    </i>
    <i>
      <x v="380"/>
    </i>
    <i>
      <x v="12"/>
    </i>
    <i>
      <x v="381"/>
    </i>
    <i>
      <x v="16"/>
    </i>
    <i>
      <x v="382"/>
    </i>
    <i>
      <x v="20"/>
    </i>
    <i>
      <x v="383"/>
    </i>
    <i>
      <x v="24"/>
    </i>
    <i>
      <x v="384"/>
    </i>
    <i>
      <x v="28"/>
    </i>
    <i>
      <x v="385"/>
    </i>
    <i>
      <x v="32"/>
    </i>
    <i>
      <x v="386"/>
    </i>
    <i>
      <x v="36"/>
    </i>
    <i>
      <x v="387"/>
    </i>
    <i>
      <x v="40"/>
    </i>
    <i>
      <x v="388"/>
    </i>
    <i>
      <x v="44"/>
    </i>
    <i>
      <x v="389"/>
    </i>
    <i>
      <x v="48"/>
    </i>
    <i>
      <x v="390"/>
    </i>
    <i>
      <x v="52"/>
    </i>
    <i>
      <x v="391"/>
    </i>
    <i>
      <x v="56"/>
    </i>
    <i>
      <x v="392"/>
    </i>
    <i>
      <x v="60"/>
    </i>
    <i>
      <x v="393"/>
    </i>
    <i>
      <x v="64"/>
    </i>
    <i>
      <x v="394"/>
    </i>
    <i>
      <x v="68"/>
    </i>
    <i>
      <x v="395"/>
    </i>
    <i>
      <x v="72"/>
    </i>
    <i>
      <x v="396"/>
    </i>
    <i>
      <x v="76"/>
    </i>
    <i>
      <x v="397"/>
    </i>
    <i>
      <x v="80"/>
    </i>
    <i>
      <x v="398"/>
    </i>
    <i>
      <x v="84"/>
    </i>
    <i>
      <x v="399"/>
    </i>
    <i>
      <x v="88"/>
    </i>
    <i>
      <x v="400"/>
    </i>
    <i>
      <x v="92"/>
    </i>
    <i>
      <x v="401"/>
    </i>
    <i>
      <x v="96"/>
    </i>
    <i>
      <x v="402"/>
    </i>
    <i>
      <x v="100"/>
    </i>
    <i>
      <x v="403"/>
    </i>
    <i>
      <x v="104"/>
    </i>
    <i>
      <x v="404"/>
    </i>
    <i>
      <x v="108"/>
    </i>
    <i>
      <x v="405"/>
    </i>
    <i>
      <x v="112"/>
    </i>
    <i>
      <x v="406"/>
    </i>
    <i>
      <x v="116"/>
    </i>
    <i>
      <x v="407"/>
    </i>
    <i>
      <x v="120"/>
    </i>
    <i>
      <x v="408"/>
    </i>
    <i>
      <x v="124"/>
    </i>
    <i>
      <x v="409"/>
    </i>
    <i>
      <x v="128"/>
    </i>
    <i>
      <x v="410"/>
    </i>
    <i>
      <x v="132"/>
    </i>
    <i>
      <x v="411"/>
    </i>
    <i>
      <x v="136"/>
    </i>
    <i>
      <x v="412"/>
    </i>
    <i>
      <x v="140"/>
    </i>
    <i>
      <x v="413"/>
    </i>
    <i>
      <x v="144"/>
    </i>
    <i>
      <x v="414"/>
    </i>
    <i>
      <x v="148"/>
    </i>
    <i>
      <x v="415"/>
    </i>
    <i>
      <x v="152"/>
    </i>
    <i>
      <x v="416"/>
    </i>
    <i>
      <x v="156"/>
    </i>
    <i>
      <x v="417"/>
    </i>
    <i>
      <x v="160"/>
    </i>
    <i>
      <x v="418"/>
    </i>
    <i>
      <x v="164"/>
    </i>
    <i>
      <x v="419"/>
    </i>
    <i>
      <x v="168"/>
    </i>
    <i>
      <x v="420"/>
    </i>
    <i>
      <x v="172"/>
    </i>
    <i>
      <x v="421"/>
    </i>
    <i>
      <x v="176"/>
    </i>
    <i>
      <x v="422"/>
    </i>
    <i>
      <x v="180"/>
    </i>
    <i>
      <x v="423"/>
    </i>
    <i>
      <x v="184"/>
    </i>
    <i>
      <x v="424"/>
    </i>
    <i>
      <x v="188"/>
    </i>
    <i>
      <x v="425"/>
    </i>
    <i>
      <x v="192"/>
    </i>
    <i>
      <x v="426"/>
    </i>
    <i>
      <x v="196"/>
    </i>
    <i>
      <x v="427"/>
    </i>
    <i>
      <x v="200"/>
    </i>
    <i>
      <x v="428"/>
    </i>
    <i>
      <x v="204"/>
    </i>
    <i>
      <x v="429"/>
    </i>
    <i>
      <x v="208"/>
    </i>
    <i>
      <x v="430"/>
    </i>
    <i>
      <x v="212"/>
    </i>
    <i>
      <x v="431"/>
    </i>
    <i>
      <x v="216"/>
    </i>
    <i>
      <x v="432"/>
    </i>
    <i>
      <x v="220"/>
    </i>
    <i>
      <x v="433"/>
    </i>
    <i>
      <x v="224"/>
    </i>
    <i>
      <x v="434"/>
    </i>
    <i>
      <x v="228"/>
    </i>
    <i>
      <x v="435"/>
    </i>
    <i>
      <x v="232"/>
    </i>
    <i>
      <x v="436"/>
    </i>
    <i>
      <x v="236"/>
    </i>
    <i>
      <x v="437"/>
    </i>
    <i>
      <x v="240"/>
    </i>
    <i>
      <x v="438"/>
    </i>
    <i>
      <x v="244"/>
    </i>
    <i>
      <x v="439"/>
    </i>
    <i>
      <x v="248"/>
    </i>
    <i>
      <x v="440"/>
    </i>
    <i>
      <x v="2"/>
    </i>
    <i>
      <x v="441"/>
    </i>
    <i>
      <x v="10"/>
    </i>
    <i>
      <x v="442"/>
    </i>
    <i>
      <x v="18"/>
    </i>
    <i>
      <x v="443"/>
    </i>
    <i>
      <x v="26"/>
    </i>
    <i>
      <x v="444"/>
    </i>
    <i>
      <x v="34"/>
    </i>
    <i>
      <x v="445"/>
    </i>
    <i>
      <x v="42"/>
    </i>
    <i>
      <x v="446"/>
    </i>
    <i>
      <x v="50"/>
    </i>
    <i>
      <x v="447"/>
    </i>
    <i>
      <x v="58"/>
    </i>
    <i>
      <x v="448"/>
    </i>
    <i>
      <x v="66"/>
    </i>
    <i>
      <x v="449"/>
    </i>
    <i>
      <x v="74"/>
    </i>
    <i>
      <x v="450"/>
    </i>
    <i>
      <x v="82"/>
    </i>
    <i>
      <x v="451"/>
    </i>
    <i>
      <x v="90"/>
    </i>
    <i>
      <x v="452"/>
    </i>
    <i>
      <x v="98"/>
    </i>
    <i>
      <x v="453"/>
    </i>
    <i>
      <x v="106"/>
    </i>
    <i>
      <x v="454"/>
    </i>
    <i>
      <x v="114"/>
    </i>
    <i>
      <x v="455"/>
    </i>
    <i>
      <x v="122"/>
    </i>
    <i>
      <x v="456"/>
    </i>
    <i>
      <x v="130"/>
    </i>
    <i>
      <x v="457"/>
    </i>
    <i>
      <x v="138"/>
    </i>
    <i>
      <x v="458"/>
    </i>
    <i>
      <x v="146"/>
    </i>
    <i>
      <x v="459"/>
    </i>
    <i>
      <x v="154"/>
    </i>
    <i>
      <x v="460"/>
    </i>
    <i>
      <x v="162"/>
    </i>
    <i>
      <x v="461"/>
    </i>
    <i>
      <x v="170"/>
    </i>
    <i>
      <x v="462"/>
    </i>
    <i>
      <x v="178"/>
    </i>
    <i>
      <x v="463"/>
    </i>
    <i>
      <x v="186"/>
    </i>
    <i>
      <x v="464"/>
    </i>
    <i>
      <x v="194"/>
    </i>
    <i>
      <x v="465"/>
    </i>
    <i>
      <x v="202"/>
    </i>
    <i>
      <x v="466"/>
    </i>
    <i>
      <x v="210"/>
    </i>
    <i>
      <x v="467"/>
    </i>
    <i>
      <x v="218"/>
    </i>
    <i>
      <x v="468"/>
    </i>
    <i>
      <x v="226"/>
    </i>
    <i>
      <x v="469"/>
    </i>
    <i>
      <x v="234"/>
    </i>
    <i>
      <x v="470"/>
    </i>
    <i>
      <x v="242"/>
    </i>
    <i>
      <x v="471"/>
    </i>
    <i>
      <x v="250"/>
    </i>
    <i>
      <x v="472"/>
    </i>
    <i>
      <x v="14"/>
    </i>
    <i>
      <x v="473"/>
    </i>
    <i>
      <x v="30"/>
    </i>
    <i>
      <x v="474"/>
    </i>
    <i>
      <x v="46"/>
    </i>
    <i>
      <x v="475"/>
    </i>
    <i>
      <x v="62"/>
    </i>
    <i>
      <x v="476"/>
    </i>
    <i>
      <x v="78"/>
    </i>
    <i>
      <x v="477"/>
    </i>
    <i>
      <x v="94"/>
    </i>
    <i>
      <x v="478"/>
    </i>
    <i>
      <x v="110"/>
    </i>
    <i>
      <x v="479"/>
    </i>
    <i>
      <x v="126"/>
    </i>
    <i>
      <x v="480"/>
    </i>
    <i>
      <x v="142"/>
    </i>
    <i>
      <x v="481"/>
    </i>
    <i>
      <x v="158"/>
    </i>
    <i>
      <x v="482"/>
    </i>
    <i>
      <x v="174"/>
    </i>
    <i>
      <x v="483"/>
    </i>
    <i>
      <x v="190"/>
    </i>
    <i>
      <x v="484"/>
    </i>
    <i>
      <x v="206"/>
    </i>
    <i>
      <x v="485"/>
    </i>
    <i>
      <x v="222"/>
    </i>
    <i>
      <x v="486"/>
    </i>
    <i>
      <x v="238"/>
    </i>
    <i>
      <x v="487"/>
    </i>
    <i>
      <x v="6"/>
    </i>
    <i>
      <x v="488"/>
    </i>
    <i>
      <x v="38"/>
    </i>
    <i>
      <x v="489"/>
    </i>
    <i>
      <x v="70"/>
    </i>
    <i>
      <x v="490"/>
    </i>
    <i>
      <x v="102"/>
    </i>
    <i>
      <x v="491"/>
    </i>
    <i>
      <x v="134"/>
    </i>
    <i>
      <x v="492"/>
    </i>
    <i>
      <x v="166"/>
    </i>
    <i>
      <x v="493"/>
    </i>
    <i>
      <x v="198"/>
    </i>
    <i>
      <x v="494"/>
    </i>
    <i>
      <x v="230"/>
    </i>
    <i>
      <x v="495"/>
    </i>
    <i>
      <x v="22"/>
    </i>
    <i>
      <x v="496"/>
    </i>
    <i>
      <x v="86"/>
    </i>
    <i>
      <x v="497"/>
    </i>
    <i>
      <x v="150"/>
    </i>
    <i>
      <x v="498"/>
    </i>
    <i>
      <x v="214"/>
    </i>
    <i>
      <x v="499"/>
    </i>
    <i>
      <x v="54"/>
    </i>
    <i>
      <x v="500"/>
    </i>
    <i>
      <x v="182"/>
    </i>
    <i>
      <x v="501"/>
    </i>
    <i>
      <x v="118"/>
    </i>
    <i>
      <x v="502"/>
    </i>
    <i>
      <x v="246"/>
    </i>
    <i>
      <x v="503"/>
    </i>
    <i t="grand">
      <x/>
    </i>
  </rowItems>
  <colItems count="1">
    <i/>
  </colItems>
  <pageFields count="1">
    <pageField fld="1" hier="11" name="[tbl_kpi].[HighRiskFlag].&amp;[Y]" cap="Y"/>
  </pageFields>
  <dataFields count="1">
    <dataField name="Average of AccuracyPct" fld="2" subtotal="average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AccuracyPct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kpi]"/>
        <x15:activeTabTopLevelEntity name="[tbl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8F16B-F3DD-49C4-AF9E-7CEA3C4AFA44}" name="PivotTable10" cacheId="24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Avg Inventory Accuracy" fld="1" subtotal="average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g Inventory Accuracy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kpi]"/>
        <x15:activeTabTopLevelEntity name="[tbl_loc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E78B16-E711-4B1A-97DF-6F0D7B8C8E21}" name="PivotTable9" cacheId="9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18" firstHeaderRow="1" firstDataRow="1" firstDataCol="0"/>
  <pivotFields count="8"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B8C09-CEDE-45F6-833E-5636356D8CD7}" name="PivotTable20" cacheId="257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1:B35" firstHeaderRow="1" firstDataRow="1" firstDataCol="1" rowPageCount="1" colPageCount="1"/>
  <pivotFields count="3">
    <pivotField axis="axisPage" allDrilled="1" subtotalTop="0" showAll="0" dataSourceSort="1" defaultSubtotal="0" defaultAttributeDrillState="1"/>
    <pivotField dataField="1" subtotalTop="0" showAll="0" defaultSubtotal="0"/>
    <pivotField axis="axisRow" allDrilled="1" subtotalTop="0" showAll="0" sortType="descending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"/>
  </rowFields>
  <rowItems count="14">
    <i>
      <x v="12"/>
    </i>
    <i>
      <x v="6"/>
    </i>
    <i>
      <x v="13"/>
    </i>
    <i>
      <x v="2"/>
    </i>
    <i>
      <x v="1"/>
    </i>
    <i>
      <x v="5"/>
    </i>
    <i>
      <x v="3"/>
    </i>
    <i>
      <x v="4"/>
    </i>
    <i>
      <x v="10"/>
    </i>
    <i>
      <x/>
    </i>
    <i>
      <x v="7"/>
    </i>
    <i>
      <x v="11"/>
    </i>
    <i>
      <x v="8"/>
    </i>
    <i>
      <x v="9"/>
    </i>
  </rowItems>
  <colItems count="1">
    <i/>
  </colItems>
  <pageFields count="1">
    <pageField fld="0" hier="11" name="[tbl_kpi].[HighRiskFlag].&amp;[Y]" cap="Y"/>
  </pageFields>
  <dataFields count="1">
    <dataField name="High-Risk SKU × Location Count" fld="1" subtotal="count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High-Risk SKU Count"/>
    <pivotHierarchy dragToData="1"/>
    <pivotHierarchy dragToData="1" caption="Count of ProductID"/>
    <pivotHierarchy dragToData="1"/>
    <pivotHierarchy dragToData="1" caption="High-Risk SKU × Location Count"/>
    <pivotHierarchy dragToData="1"/>
    <pivotHierarchy dragToData="1" caption="Count of ProductID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kpi]"/>
        <x15:activeTabTopLevelEntity name="[tbl_location]"/>
        <x15:activeTabTopLevelEntity name="[tbl_product]"/>
        <x15:activeTabTopLevelEntity name="[tbl_invento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5C920-7F5C-4A05-8F76-604FEBF107FE}" name="PivotTable19" cacheId="26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4:G508" firstHeaderRow="1" firstDataRow="1" firstDataCol="1" rowPageCount="1" colPageCount="1"/>
  <pivotFields count="3">
    <pivotField axis="axisRow" allDrilled="1" subtotalTop="0" showAll="0" sortType="ascending" defaultSubtotal="0" defaultAttributeDrillState="1">
      <items count="50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504">
    <i>
      <x v="251"/>
    </i>
    <i>
      <x v="252"/>
    </i>
    <i>
      <x v="1"/>
    </i>
    <i>
      <x v="253"/>
    </i>
    <i>
      <x v="3"/>
    </i>
    <i>
      <x v="254"/>
    </i>
    <i>
      <x v="5"/>
    </i>
    <i>
      <x v="255"/>
    </i>
    <i>
      <x v="7"/>
    </i>
    <i>
      <x v="256"/>
    </i>
    <i>
      <x v="9"/>
    </i>
    <i>
      <x v="257"/>
    </i>
    <i>
      <x v="11"/>
    </i>
    <i>
      <x v="258"/>
    </i>
    <i>
      <x v="13"/>
    </i>
    <i>
      <x v="259"/>
    </i>
    <i>
      <x v="15"/>
    </i>
    <i>
      <x v="260"/>
    </i>
    <i>
      <x v="17"/>
    </i>
    <i>
      <x v="261"/>
    </i>
    <i>
      <x v="19"/>
    </i>
    <i>
      <x v="262"/>
    </i>
    <i>
      <x v="21"/>
    </i>
    <i>
      <x v="263"/>
    </i>
    <i>
      <x v="23"/>
    </i>
    <i>
      <x v="264"/>
    </i>
    <i>
      <x v="25"/>
    </i>
    <i>
      <x v="265"/>
    </i>
    <i>
      <x v="27"/>
    </i>
    <i>
      <x v="266"/>
    </i>
    <i>
      <x v="29"/>
    </i>
    <i>
      <x v="267"/>
    </i>
    <i>
      <x v="31"/>
    </i>
    <i>
      <x v="268"/>
    </i>
    <i>
      <x v="33"/>
    </i>
    <i>
      <x v="269"/>
    </i>
    <i>
      <x v="35"/>
    </i>
    <i>
      <x v="270"/>
    </i>
    <i>
      <x v="37"/>
    </i>
    <i>
      <x v="271"/>
    </i>
    <i>
      <x v="39"/>
    </i>
    <i>
      <x v="272"/>
    </i>
    <i>
      <x v="41"/>
    </i>
    <i>
      <x v="273"/>
    </i>
    <i>
      <x v="43"/>
    </i>
    <i>
      <x v="274"/>
    </i>
    <i>
      <x v="45"/>
    </i>
    <i>
      <x v="275"/>
    </i>
    <i>
      <x v="47"/>
    </i>
    <i>
      <x v="276"/>
    </i>
    <i>
      <x v="49"/>
    </i>
    <i>
      <x v="277"/>
    </i>
    <i>
      <x v="51"/>
    </i>
    <i>
      <x v="278"/>
    </i>
    <i>
      <x v="53"/>
    </i>
    <i>
      <x v="279"/>
    </i>
    <i>
      <x v="55"/>
    </i>
    <i>
      <x v="280"/>
    </i>
    <i>
      <x v="57"/>
    </i>
    <i>
      <x v="281"/>
    </i>
    <i>
      <x v="59"/>
    </i>
    <i>
      <x v="282"/>
    </i>
    <i>
      <x v="61"/>
    </i>
    <i>
      <x v="283"/>
    </i>
    <i>
      <x v="63"/>
    </i>
    <i>
      <x v="284"/>
    </i>
    <i>
      <x v="65"/>
    </i>
    <i>
      <x v="285"/>
    </i>
    <i>
      <x v="67"/>
    </i>
    <i>
      <x v="286"/>
    </i>
    <i>
      <x v="69"/>
    </i>
    <i>
      <x v="287"/>
    </i>
    <i>
      <x v="71"/>
    </i>
    <i>
      <x v="288"/>
    </i>
    <i>
      <x v="73"/>
    </i>
    <i>
      <x v="289"/>
    </i>
    <i>
      <x v="75"/>
    </i>
    <i>
      <x v="290"/>
    </i>
    <i>
      <x v="77"/>
    </i>
    <i>
      <x v="291"/>
    </i>
    <i>
      <x v="79"/>
    </i>
    <i>
      <x v="292"/>
    </i>
    <i>
      <x v="81"/>
    </i>
    <i>
      <x v="293"/>
    </i>
    <i>
      <x v="83"/>
    </i>
    <i>
      <x v="294"/>
    </i>
    <i>
      <x v="85"/>
    </i>
    <i>
      <x v="295"/>
    </i>
    <i>
      <x v="87"/>
    </i>
    <i>
      <x v="296"/>
    </i>
    <i>
      <x v="89"/>
    </i>
    <i>
      <x v="297"/>
    </i>
    <i>
      <x v="91"/>
    </i>
    <i>
      <x v="298"/>
    </i>
    <i>
      <x v="93"/>
    </i>
    <i>
      <x v="299"/>
    </i>
    <i>
      <x v="95"/>
    </i>
    <i>
      <x v="300"/>
    </i>
    <i>
      <x v="97"/>
    </i>
    <i>
      <x v="301"/>
    </i>
    <i>
      <x v="99"/>
    </i>
    <i>
      <x v="302"/>
    </i>
    <i>
      <x v="101"/>
    </i>
    <i>
      <x v="303"/>
    </i>
    <i>
      <x v="103"/>
    </i>
    <i>
      <x v="304"/>
    </i>
    <i>
      <x v="105"/>
    </i>
    <i>
      <x v="305"/>
    </i>
    <i>
      <x v="107"/>
    </i>
    <i>
      <x v="306"/>
    </i>
    <i>
      <x v="109"/>
    </i>
    <i>
      <x v="307"/>
    </i>
    <i>
      <x v="111"/>
    </i>
    <i>
      <x v="308"/>
    </i>
    <i>
      <x v="113"/>
    </i>
    <i>
      <x v="309"/>
    </i>
    <i>
      <x v="115"/>
    </i>
    <i>
      <x v="310"/>
    </i>
    <i>
      <x v="117"/>
    </i>
    <i>
      <x v="311"/>
    </i>
    <i>
      <x v="119"/>
    </i>
    <i>
      <x v="312"/>
    </i>
    <i>
      <x v="121"/>
    </i>
    <i>
      <x v="313"/>
    </i>
    <i>
      <x v="123"/>
    </i>
    <i>
      <x v="314"/>
    </i>
    <i>
      <x v="125"/>
    </i>
    <i>
      <x v="315"/>
    </i>
    <i>
      <x v="127"/>
    </i>
    <i>
      <x v="316"/>
    </i>
    <i>
      <x v="129"/>
    </i>
    <i>
      <x v="317"/>
    </i>
    <i>
      <x v="131"/>
    </i>
    <i>
      <x v="318"/>
    </i>
    <i>
      <x v="133"/>
    </i>
    <i>
      <x v="319"/>
    </i>
    <i>
      <x v="135"/>
    </i>
    <i>
      <x v="320"/>
    </i>
    <i>
      <x v="137"/>
    </i>
    <i>
      <x v="321"/>
    </i>
    <i>
      <x v="139"/>
    </i>
    <i>
      <x v="322"/>
    </i>
    <i>
      <x v="141"/>
    </i>
    <i>
      <x v="323"/>
    </i>
    <i>
      <x v="143"/>
    </i>
    <i>
      <x v="324"/>
    </i>
    <i>
      <x v="145"/>
    </i>
    <i>
      <x v="325"/>
    </i>
    <i>
      <x v="147"/>
    </i>
    <i>
      <x v="326"/>
    </i>
    <i>
      <x v="149"/>
    </i>
    <i>
      <x v="327"/>
    </i>
    <i>
      <x v="151"/>
    </i>
    <i>
      <x v="328"/>
    </i>
    <i>
      <x v="153"/>
    </i>
    <i>
      <x v="329"/>
    </i>
    <i>
      <x v="155"/>
    </i>
    <i>
      <x v="330"/>
    </i>
    <i>
      <x v="157"/>
    </i>
    <i>
      <x v="331"/>
    </i>
    <i>
      <x v="159"/>
    </i>
    <i>
      <x v="332"/>
    </i>
    <i>
      <x v="161"/>
    </i>
    <i>
      <x v="333"/>
    </i>
    <i>
      <x v="163"/>
    </i>
    <i>
      <x v="334"/>
    </i>
    <i>
      <x v="165"/>
    </i>
    <i>
      <x v="335"/>
    </i>
    <i>
      <x v="167"/>
    </i>
    <i>
      <x v="336"/>
    </i>
    <i>
      <x v="169"/>
    </i>
    <i>
      <x v="337"/>
    </i>
    <i>
      <x v="171"/>
    </i>
    <i>
      <x v="338"/>
    </i>
    <i>
      <x v="173"/>
    </i>
    <i>
      <x v="339"/>
    </i>
    <i>
      <x v="175"/>
    </i>
    <i>
      <x v="340"/>
    </i>
    <i>
      <x v="177"/>
    </i>
    <i>
      <x v="341"/>
    </i>
    <i>
      <x v="179"/>
    </i>
    <i>
      <x v="342"/>
    </i>
    <i>
      <x v="181"/>
    </i>
    <i>
      <x v="343"/>
    </i>
    <i>
      <x v="183"/>
    </i>
    <i>
      <x v="344"/>
    </i>
    <i>
      <x v="185"/>
    </i>
    <i>
      <x v="345"/>
    </i>
    <i>
      <x v="187"/>
    </i>
    <i>
      <x v="346"/>
    </i>
    <i>
      <x v="189"/>
    </i>
    <i>
      <x v="347"/>
    </i>
    <i>
      <x v="191"/>
    </i>
    <i>
      <x v="348"/>
    </i>
    <i>
      <x v="193"/>
    </i>
    <i>
      <x v="349"/>
    </i>
    <i>
      <x v="195"/>
    </i>
    <i>
      <x v="350"/>
    </i>
    <i>
      <x v="197"/>
    </i>
    <i>
      <x v="351"/>
    </i>
    <i>
      <x v="199"/>
    </i>
    <i>
      <x v="352"/>
    </i>
    <i>
      <x v="201"/>
    </i>
    <i>
      <x v="353"/>
    </i>
    <i>
      <x v="203"/>
    </i>
    <i>
      <x v="354"/>
    </i>
    <i>
      <x v="205"/>
    </i>
    <i>
      <x v="355"/>
    </i>
    <i>
      <x v="207"/>
    </i>
    <i>
      <x v="356"/>
    </i>
    <i>
      <x v="209"/>
    </i>
    <i>
      <x v="357"/>
    </i>
    <i>
      <x v="211"/>
    </i>
    <i>
      <x v="358"/>
    </i>
    <i>
      <x v="213"/>
    </i>
    <i>
      <x v="359"/>
    </i>
    <i>
      <x v="215"/>
    </i>
    <i>
      <x v="360"/>
    </i>
    <i>
      <x v="217"/>
    </i>
    <i>
      <x v="361"/>
    </i>
    <i>
      <x v="219"/>
    </i>
    <i>
      <x v="362"/>
    </i>
    <i>
      <x v="221"/>
    </i>
    <i>
      <x v="363"/>
    </i>
    <i>
      <x v="223"/>
    </i>
    <i>
      <x v="364"/>
    </i>
    <i>
      <x v="225"/>
    </i>
    <i>
      <x v="365"/>
    </i>
    <i>
      <x v="227"/>
    </i>
    <i>
      <x v="366"/>
    </i>
    <i>
      <x v="229"/>
    </i>
    <i>
      <x v="367"/>
    </i>
    <i>
      <x v="231"/>
    </i>
    <i>
      <x v="368"/>
    </i>
    <i>
      <x v="233"/>
    </i>
    <i>
      <x v="369"/>
    </i>
    <i>
      <x v="235"/>
    </i>
    <i>
      <x v="370"/>
    </i>
    <i>
      <x v="237"/>
    </i>
    <i>
      <x v="371"/>
    </i>
    <i>
      <x v="239"/>
    </i>
    <i>
      <x v="372"/>
    </i>
    <i>
      <x v="241"/>
    </i>
    <i>
      <x v="373"/>
    </i>
    <i>
      <x v="243"/>
    </i>
    <i>
      <x v="374"/>
    </i>
    <i>
      <x v="245"/>
    </i>
    <i>
      <x v="375"/>
    </i>
    <i>
      <x v="247"/>
    </i>
    <i>
      <x v="376"/>
    </i>
    <i>
      <x v="249"/>
    </i>
    <i>
      <x v="377"/>
    </i>
    <i>
      <x/>
    </i>
    <i>
      <x v="378"/>
    </i>
    <i>
      <x v="4"/>
    </i>
    <i>
      <x v="379"/>
    </i>
    <i>
      <x v="8"/>
    </i>
    <i>
      <x v="380"/>
    </i>
    <i>
      <x v="12"/>
    </i>
    <i>
      <x v="381"/>
    </i>
    <i>
      <x v="16"/>
    </i>
    <i>
      <x v="382"/>
    </i>
    <i>
      <x v="20"/>
    </i>
    <i>
      <x v="383"/>
    </i>
    <i>
      <x v="24"/>
    </i>
    <i>
      <x v="384"/>
    </i>
    <i>
      <x v="28"/>
    </i>
    <i>
      <x v="385"/>
    </i>
    <i>
      <x v="32"/>
    </i>
    <i>
      <x v="386"/>
    </i>
    <i>
      <x v="36"/>
    </i>
    <i>
      <x v="387"/>
    </i>
    <i>
      <x v="40"/>
    </i>
    <i>
      <x v="388"/>
    </i>
    <i>
      <x v="44"/>
    </i>
    <i>
      <x v="389"/>
    </i>
    <i>
      <x v="48"/>
    </i>
    <i>
      <x v="390"/>
    </i>
    <i>
      <x v="52"/>
    </i>
    <i>
      <x v="391"/>
    </i>
    <i>
      <x v="56"/>
    </i>
    <i>
      <x v="392"/>
    </i>
    <i>
      <x v="60"/>
    </i>
    <i>
      <x v="393"/>
    </i>
    <i>
      <x v="64"/>
    </i>
    <i>
      <x v="394"/>
    </i>
    <i>
      <x v="68"/>
    </i>
    <i>
      <x v="395"/>
    </i>
    <i>
      <x v="72"/>
    </i>
    <i>
      <x v="396"/>
    </i>
    <i>
      <x v="76"/>
    </i>
    <i>
      <x v="397"/>
    </i>
    <i>
      <x v="80"/>
    </i>
    <i>
      <x v="398"/>
    </i>
    <i>
      <x v="84"/>
    </i>
    <i>
      <x v="399"/>
    </i>
    <i>
      <x v="88"/>
    </i>
    <i>
      <x v="400"/>
    </i>
    <i>
      <x v="92"/>
    </i>
    <i>
      <x v="401"/>
    </i>
    <i>
      <x v="96"/>
    </i>
    <i>
      <x v="402"/>
    </i>
    <i>
      <x v="100"/>
    </i>
    <i>
      <x v="403"/>
    </i>
    <i>
      <x v="104"/>
    </i>
    <i>
      <x v="404"/>
    </i>
    <i>
      <x v="108"/>
    </i>
    <i>
      <x v="405"/>
    </i>
    <i>
      <x v="112"/>
    </i>
    <i>
      <x v="406"/>
    </i>
    <i>
      <x v="116"/>
    </i>
    <i>
      <x v="407"/>
    </i>
    <i>
      <x v="120"/>
    </i>
    <i>
      <x v="408"/>
    </i>
    <i>
      <x v="124"/>
    </i>
    <i>
      <x v="409"/>
    </i>
    <i>
      <x v="128"/>
    </i>
    <i>
      <x v="410"/>
    </i>
    <i>
      <x v="132"/>
    </i>
    <i>
      <x v="411"/>
    </i>
    <i>
      <x v="136"/>
    </i>
    <i>
      <x v="412"/>
    </i>
    <i>
      <x v="140"/>
    </i>
    <i>
      <x v="413"/>
    </i>
    <i>
      <x v="144"/>
    </i>
    <i>
      <x v="414"/>
    </i>
    <i>
      <x v="148"/>
    </i>
    <i>
      <x v="415"/>
    </i>
    <i>
      <x v="152"/>
    </i>
    <i>
      <x v="416"/>
    </i>
    <i>
      <x v="156"/>
    </i>
    <i>
      <x v="417"/>
    </i>
    <i>
      <x v="160"/>
    </i>
    <i>
      <x v="418"/>
    </i>
    <i>
      <x v="164"/>
    </i>
    <i>
      <x v="419"/>
    </i>
    <i>
      <x v="168"/>
    </i>
    <i>
      <x v="420"/>
    </i>
    <i>
      <x v="172"/>
    </i>
    <i>
      <x v="421"/>
    </i>
    <i>
      <x v="176"/>
    </i>
    <i>
      <x v="422"/>
    </i>
    <i>
      <x v="180"/>
    </i>
    <i>
      <x v="423"/>
    </i>
    <i>
      <x v="184"/>
    </i>
    <i>
      <x v="424"/>
    </i>
    <i>
      <x v="188"/>
    </i>
    <i>
      <x v="425"/>
    </i>
    <i>
      <x v="192"/>
    </i>
    <i>
      <x v="426"/>
    </i>
    <i>
      <x v="196"/>
    </i>
    <i>
      <x v="427"/>
    </i>
    <i>
      <x v="200"/>
    </i>
    <i>
      <x v="428"/>
    </i>
    <i>
      <x v="204"/>
    </i>
    <i>
      <x v="429"/>
    </i>
    <i>
      <x v="208"/>
    </i>
    <i>
      <x v="430"/>
    </i>
    <i>
      <x v="212"/>
    </i>
    <i>
      <x v="431"/>
    </i>
    <i>
      <x v="216"/>
    </i>
    <i>
      <x v="432"/>
    </i>
    <i>
      <x v="220"/>
    </i>
    <i>
      <x v="433"/>
    </i>
    <i>
      <x v="224"/>
    </i>
    <i>
      <x v="434"/>
    </i>
    <i>
      <x v="228"/>
    </i>
    <i>
      <x v="435"/>
    </i>
    <i>
      <x v="232"/>
    </i>
    <i>
      <x v="436"/>
    </i>
    <i>
      <x v="236"/>
    </i>
    <i>
      <x v="437"/>
    </i>
    <i>
      <x v="240"/>
    </i>
    <i>
      <x v="438"/>
    </i>
    <i>
      <x v="244"/>
    </i>
    <i>
      <x v="439"/>
    </i>
    <i>
      <x v="248"/>
    </i>
    <i>
      <x v="440"/>
    </i>
    <i>
      <x v="2"/>
    </i>
    <i>
      <x v="441"/>
    </i>
    <i>
      <x v="10"/>
    </i>
    <i>
      <x v="442"/>
    </i>
    <i>
      <x v="18"/>
    </i>
    <i>
      <x v="443"/>
    </i>
    <i>
      <x v="26"/>
    </i>
    <i>
      <x v="444"/>
    </i>
    <i>
      <x v="34"/>
    </i>
    <i>
      <x v="445"/>
    </i>
    <i>
      <x v="42"/>
    </i>
    <i>
      <x v="446"/>
    </i>
    <i>
      <x v="50"/>
    </i>
    <i>
      <x v="447"/>
    </i>
    <i>
      <x v="58"/>
    </i>
    <i>
      <x v="448"/>
    </i>
    <i>
      <x v="66"/>
    </i>
    <i>
      <x v="449"/>
    </i>
    <i>
      <x v="74"/>
    </i>
    <i>
      <x v="450"/>
    </i>
    <i>
      <x v="82"/>
    </i>
    <i>
      <x v="451"/>
    </i>
    <i>
      <x v="90"/>
    </i>
    <i>
      <x v="452"/>
    </i>
    <i>
      <x v="98"/>
    </i>
    <i>
      <x v="453"/>
    </i>
    <i>
      <x v="106"/>
    </i>
    <i>
      <x v="454"/>
    </i>
    <i>
      <x v="114"/>
    </i>
    <i>
      <x v="455"/>
    </i>
    <i>
      <x v="122"/>
    </i>
    <i>
      <x v="456"/>
    </i>
    <i>
      <x v="130"/>
    </i>
    <i>
      <x v="457"/>
    </i>
    <i>
      <x v="138"/>
    </i>
    <i>
      <x v="458"/>
    </i>
    <i>
      <x v="146"/>
    </i>
    <i>
      <x v="459"/>
    </i>
    <i>
      <x v="154"/>
    </i>
    <i>
      <x v="460"/>
    </i>
    <i>
      <x v="162"/>
    </i>
    <i>
      <x v="461"/>
    </i>
    <i>
      <x v="170"/>
    </i>
    <i>
      <x v="462"/>
    </i>
    <i>
      <x v="178"/>
    </i>
    <i>
      <x v="463"/>
    </i>
    <i>
      <x v="186"/>
    </i>
    <i>
      <x v="464"/>
    </i>
    <i>
      <x v="194"/>
    </i>
    <i>
      <x v="465"/>
    </i>
    <i>
      <x v="202"/>
    </i>
    <i>
      <x v="466"/>
    </i>
    <i>
      <x v="210"/>
    </i>
    <i>
      <x v="467"/>
    </i>
    <i>
      <x v="218"/>
    </i>
    <i>
      <x v="468"/>
    </i>
    <i>
      <x v="226"/>
    </i>
    <i>
      <x v="469"/>
    </i>
    <i>
      <x v="234"/>
    </i>
    <i>
      <x v="470"/>
    </i>
    <i>
      <x v="242"/>
    </i>
    <i>
      <x v="471"/>
    </i>
    <i>
      <x v="250"/>
    </i>
    <i>
      <x v="472"/>
    </i>
    <i>
      <x v="14"/>
    </i>
    <i>
      <x v="473"/>
    </i>
    <i>
      <x v="30"/>
    </i>
    <i>
      <x v="474"/>
    </i>
    <i>
      <x v="46"/>
    </i>
    <i>
      <x v="475"/>
    </i>
    <i>
      <x v="62"/>
    </i>
    <i>
      <x v="476"/>
    </i>
    <i>
      <x v="78"/>
    </i>
    <i>
      <x v="477"/>
    </i>
    <i>
      <x v="94"/>
    </i>
    <i>
      <x v="478"/>
    </i>
    <i>
      <x v="110"/>
    </i>
    <i>
      <x v="479"/>
    </i>
    <i>
      <x v="126"/>
    </i>
    <i>
      <x v="480"/>
    </i>
    <i>
      <x v="142"/>
    </i>
    <i>
      <x v="481"/>
    </i>
    <i>
      <x v="158"/>
    </i>
    <i>
      <x v="482"/>
    </i>
    <i>
      <x v="174"/>
    </i>
    <i>
      <x v="483"/>
    </i>
    <i>
      <x v="190"/>
    </i>
    <i>
      <x v="484"/>
    </i>
    <i>
      <x v="206"/>
    </i>
    <i>
      <x v="485"/>
    </i>
    <i>
      <x v="222"/>
    </i>
    <i>
      <x v="486"/>
    </i>
    <i>
      <x v="238"/>
    </i>
    <i>
      <x v="487"/>
    </i>
    <i>
      <x v="6"/>
    </i>
    <i>
      <x v="488"/>
    </i>
    <i>
      <x v="38"/>
    </i>
    <i>
      <x v="489"/>
    </i>
    <i>
      <x v="70"/>
    </i>
    <i>
      <x v="490"/>
    </i>
    <i>
      <x v="102"/>
    </i>
    <i>
      <x v="491"/>
    </i>
    <i>
      <x v="134"/>
    </i>
    <i>
      <x v="492"/>
    </i>
    <i>
      <x v="166"/>
    </i>
    <i>
      <x v="493"/>
    </i>
    <i>
      <x v="198"/>
    </i>
    <i>
      <x v="494"/>
    </i>
    <i>
      <x v="230"/>
    </i>
    <i>
      <x v="495"/>
    </i>
    <i>
      <x v="22"/>
    </i>
    <i>
      <x v="496"/>
    </i>
    <i>
      <x v="86"/>
    </i>
    <i>
      <x v="497"/>
    </i>
    <i>
      <x v="150"/>
    </i>
    <i>
      <x v="498"/>
    </i>
    <i>
      <x v="214"/>
    </i>
    <i>
      <x v="499"/>
    </i>
    <i>
      <x v="54"/>
    </i>
    <i>
      <x v="500"/>
    </i>
    <i>
      <x v="182"/>
    </i>
    <i>
      <x v="501"/>
    </i>
    <i>
      <x v="118"/>
    </i>
    <i>
      <x v="502"/>
    </i>
    <i>
      <x v="246"/>
    </i>
    <i>
      <x v="503"/>
    </i>
  </rowItems>
  <colItems count="1">
    <i/>
  </colItems>
  <pageFields count="1">
    <pageField fld="1" hier="11" name="[tbl_kpi].[HighRiskFlag].&amp;[Y]" cap="Y"/>
  </pageFields>
  <dataFields count="1">
    <dataField name="Inventory Accuracy (%)" fld="2" subtotal="average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ventory Accuracy (%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kpi]"/>
        <x15:activeTabTopLevelEntity name="[tbl_product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A25E97-F012-40CD-9C26-7E97F00C4B26}" name="PivotTable17" cacheId="254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A2:B16" firstHeaderRow="1" firstDataRow="1" firstDataCol="1"/>
  <pivotFields count="2"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</rowItems>
  <colItems count="1">
    <i/>
  </colItems>
  <dataFields count="1">
    <dataField name="Inventory Accuracy (%)" fld="1" subtotal="average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Inventory Accuracy (%)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bl_kpi]"/>
        <x15:activeTabTopLevelEntity name="[tbl_location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1EFC697-C566-4ECF-9D0F-E9BEF753BC1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C41E38DC-5E8D-444C-95D8-F06585282B7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1B146E8F-20F1-4834-9613-37B0CFC47073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3FDD30C-5C14-4257-A693-8C64E63C8B17}" name="tbl_inventory" displayName="tbl_inventory" ref="A1:C1070" tableType="queryTable" totalsRowShown="0">
  <autoFilter ref="A1:C1070" xr:uid="{53FDD30C-5C14-4257-A693-8C64E63C8B17}"/>
  <tableColumns count="3">
    <tableColumn id="1" xr3:uid="{A1278F04-7ACA-4F38-8CF1-E8C53A2E2A28}" uniqueName="1" name="ProductID" queryTableFieldId="1"/>
    <tableColumn id="2" xr3:uid="{0114EB3D-06FB-43E4-B222-7481661F5053}" uniqueName="2" name="LocationID" queryTableFieldId="2"/>
    <tableColumn id="3" xr3:uid="{49B5385B-1C69-401E-B077-49D71DDF1312}" uniqueName="3" name="Quantity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A323F1E5-2AD3-46CC-BF59-8EFC0C439BE7}" name="tbl_product" displayName="tbl_product" ref="A1:C505" tableType="queryTable" totalsRowShown="0">
  <autoFilter ref="A1:C505" xr:uid="{A323F1E5-2AD3-46CC-BF59-8EFC0C439BE7}"/>
  <tableColumns count="3">
    <tableColumn id="1" xr3:uid="{4C80ADDA-483D-4C7D-878B-C3ACE54A9C7C}" uniqueName="1" name="ProductID" queryTableFieldId="1"/>
    <tableColumn id="2" xr3:uid="{3B5DD507-81B8-4B57-8B82-57FCD303C4D7}" uniqueName="2" name="ProductName" queryTableFieldId="2" dataDxfId="17"/>
    <tableColumn id="3" xr3:uid="{0FD550D8-B1D3-4416-A56C-543D236A95B6}" uniqueName="3" name="ProductNumber" queryTableFieldId="3" dataDxfId="1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952FB7D-09BD-4BEE-B3F2-FCBB73B81EC8}" name="tbl_location" displayName="tbl_location" ref="A1:B15" tableType="queryTable" totalsRowShown="0">
  <autoFilter ref="A1:B15" xr:uid="{0952FB7D-09BD-4BEE-B3F2-FCBB73B81EC8}"/>
  <tableColumns count="2">
    <tableColumn id="1" xr3:uid="{BCE5CEB3-B363-40B7-AF3E-0DBA1043655E}" uniqueName="1" name="LocationID" queryTableFieldId="1"/>
    <tableColumn id="2" xr3:uid="{CDFF6746-C5D2-4EDC-985A-70CC6449699D}" uniqueName="2" name="LocationName" queryTableFieldId="2" dataDxfId="15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685C560-834C-407F-A083-C762E6AABBBD}" name="tbl_kpi" displayName="tbl_kpi" ref="A1:I1070" totalsRowShown="0" headerRowDxfId="6" dataDxfId="5">
  <autoFilter ref="A1:I1070" xr:uid="{2685C560-834C-407F-A083-C762E6AABBBD}"/>
  <tableColumns count="9">
    <tableColumn id="1" xr3:uid="{62BC41A3-8DDA-4EB0-9CE7-31DB58AD0C92}" name="ProductID" dataDxfId="10"/>
    <tableColumn id="2" xr3:uid="{A0ED3690-BF12-4F8B-8781-B48CBB3C73E1}" name="LocationID" dataDxfId="9"/>
    <tableColumn id="9" xr3:uid="{8695A2F8-426B-4FC7-B248-C22CA6CD24A6}" name="LocationName" dataDxfId="0">
      <calculatedColumnFormula>_xlfn.XLOOKUP(tbl_kpi[[#This Row],[LocationID]], tbl_location[LocationID], tbl_location[LocationName], "UNMAPPED_LOCATION")</calculatedColumnFormula>
    </tableColumn>
    <tableColumn id="3" xr3:uid="{642B8CBD-1FA2-4118-9FDD-8753E5E0552B}" name="OnHandQty" dataDxfId="8"/>
    <tableColumn id="8" xr3:uid="{F0ACCA09-870D-4D44-81F1-9E5AAA27C1C2}" name="CountedQty" dataDxfId="4"/>
    <tableColumn id="4" xr3:uid="{F4502B04-415C-43E5-8724-C494FCE5541F}" name="ExpectedQty" dataDxfId="7">
      <calculatedColumnFormula>tbl_kpi[[#This Row],[OnHandQty]]</calculatedColumnFormula>
    </tableColumn>
    <tableColumn id="5" xr3:uid="{7F74BB0A-E376-4D38-ACDE-CE7F326E4B6B}" name="VarianceQty" dataDxfId="3">
      <calculatedColumnFormula>tbl_kpi[[#This Row],[CountedQty]]-tbl_kpi[[#This Row],[ExpectedQty]]</calculatedColumnFormula>
    </tableColumn>
    <tableColumn id="6" xr3:uid="{6FE676AC-B42C-4323-A872-8FBA1D7DA6D8}" name="AccuracyPct" dataDxfId="2">
      <calculatedColumnFormula>IF(tbl_kpi[[#This Row],[ExpectedQty]]=0, 1, MAX(0, 1 - ABS(tbl_kpi[[#This Row],[VarianceQty]]) / tbl_kpi[[#This Row],[ExpectedQty]]))</calculatedColumnFormula>
    </tableColumn>
    <tableColumn id="7" xr3:uid="{D9977F71-987B-40D4-A4F9-4754949D39FD}" name="HighRiskFlag" dataDxfId="1">
      <calculatedColumnFormula>IF(tbl_kpi[[#This Row],[AccuracyPct]] &lt; 0.98, "Y", "N")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25A950FA-3679-482F-BC20-4C1E61AA8CFF}" name="tbl_model" displayName="tbl_model" ref="A1:G1070" totalsRowShown="0">
  <autoFilter ref="A1:G1070" xr:uid="{25A950FA-3679-482F-BC20-4C1E61AA8CFF}"/>
  <tableColumns count="7">
    <tableColumn id="1" xr3:uid="{7646CE23-0A26-4922-A439-5B29E0466F4E}" name="ProductID"/>
    <tableColumn id="2" xr3:uid="{342C2013-FE24-4CC2-B0E3-DFE580C91C2B}" name="LocationID"/>
    <tableColumn id="3" xr3:uid="{6B12F652-78B5-4581-B1B4-D0FB14368F03}" name="ProductName" dataDxfId="14">
      <calculatedColumnFormula>_xlfn.XLOOKUP(tbl_model[[#This Row],[ProductID]],tbl_product[ProductID],tbl_product[ProductName],"UNMAPPED_PRODUCT")</calculatedColumnFormula>
    </tableColumn>
    <tableColumn id="4" xr3:uid="{5F6000DA-2954-4CD3-8D1F-4F191ECA6E01}" name="ProductNumber" dataDxfId="13">
      <calculatedColumnFormula>_xlfn.XLOOKUP(tbl_model[[#This Row],[ProductID]],tbl_product[ProductID],tbl_product[ProductNumber],"UNMAPPED_PRODUCT")</calculatedColumnFormula>
    </tableColumn>
    <tableColumn id="5" xr3:uid="{9B8A3762-1CA6-4694-B944-6D0DB38B51D1}" name="LocationName" dataDxfId="12">
      <calculatedColumnFormula>_xlfn.XLOOKUP(tbl_model[[#This Row],[LocationID]],tbl_location[LocationID],tbl_location[LocationName],"UNMAPPED_LOCATION")</calculatedColumnFormula>
    </tableColumn>
    <tableColumn id="6" xr3:uid="{34D9B3E5-4B7C-437E-B55F-E27904136A55}" name="OnHandQty"/>
    <tableColumn id="7" xr3:uid="{5ECB2A89-B4CB-4AB7-8287-9AA45340C5B8}" name="key" dataDxfId="11">
      <calculatedColumnFormula>tbl_model[[#This Row],[ProductID]] &amp; "-" &amp; tbl_model[[#This Row],[LocationID]]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EC63-F330-4F8F-8A39-0D8685CF8B03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468BD-6796-4C1D-B128-F9682B5D234E}">
  <dimension ref="A1:C1070"/>
  <sheetViews>
    <sheetView workbookViewId="0">
      <selection activeCell="C2" sqref="C2:C1070"/>
    </sheetView>
  </sheetViews>
  <sheetFormatPr defaultRowHeight="14.5"/>
  <cols>
    <col min="1" max="1" width="10.54296875" bestFit="1" customWidth="1"/>
    <col min="2" max="2" width="12" bestFit="1" customWidth="1"/>
    <col min="3" max="3" width="10.54296875" bestFit="1" customWidth="1"/>
    <col min="4" max="4" width="20.453125" bestFit="1" customWidth="1"/>
  </cols>
  <sheetData>
    <row r="1" spans="1:3">
      <c r="A1" t="s">
        <v>1022</v>
      </c>
      <c r="B1" t="s">
        <v>1023</v>
      </c>
      <c r="C1" t="s">
        <v>1024</v>
      </c>
    </row>
    <row r="2" spans="1:3">
      <c r="A2">
        <v>1</v>
      </c>
      <c r="C2">
        <v>408</v>
      </c>
    </row>
    <row r="3" spans="1:3">
      <c r="A3">
        <v>1</v>
      </c>
      <c r="C3">
        <v>324</v>
      </c>
    </row>
    <row r="4" spans="1:3">
      <c r="A4">
        <v>1</v>
      </c>
      <c r="C4">
        <v>353</v>
      </c>
    </row>
    <row r="5" spans="1:3">
      <c r="A5">
        <v>2</v>
      </c>
      <c r="C5">
        <v>427</v>
      </c>
    </row>
    <row r="6" spans="1:3">
      <c r="A6">
        <v>2</v>
      </c>
      <c r="C6">
        <v>318</v>
      </c>
    </row>
    <row r="7" spans="1:3">
      <c r="A7">
        <v>2</v>
      </c>
      <c r="C7">
        <v>364</v>
      </c>
    </row>
    <row r="8" spans="1:3">
      <c r="A8">
        <v>3</v>
      </c>
      <c r="C8">
        <v>585</v>
      </c>
    </row>
    <row r="9" spans="1:3">
      <c r="A9">
        <v>3</v>
      </c>
      <c r="C9">
        <v>443</v>
      </c>
    </row>
    <row r="10" spans="1:3">
      <c r="A10">
        <v>3</v>
      </c>
      <c r="C10">
        <v>324</v>
      </c>
    </row>
    <row r="11" spans="1:3">
      <c r="A11">
        <v>4</v>
      </c>
      <c r="C11">
        <v>512</v>
      </c>
    </row>
    <row r="12" spans="1:3">
      <c r="A12">
        <v>4</v>
      </c>
      <c r="C12">
        <v>422</v>
      </c>
    </row>
    <row r="13" spans="1:3">
      <c r="A13">
        <v>4</v>
      </c>
      <c r="C13">
        <v>388</v>
      </c>
    </row>
    <row r="14" spans="1:3">
      <c r="A14">
        <v>316</v>
      </c>
      <c r="C14">
        <v>532</v>
      </c>
    </row>
    <row r="15" spans="1:3">
      <c r="A15">
        <v>316</v>
      </c>
      <c r="C15">
        <v>388</v>
      </c>
    </row>
    <row r="16" spans="1:3">
      <c r="A16">
        <v>316</v>
      </c>
      <c r="C16">
        <v>441</v>
      </c>
    </row>
    <row r="17" spans="1:3">
      <c r="A17">
        <v>317</v>
      </c>
      <c r="C17">
        <v>283</v>
      </c>
    </row>
    <row r="18" spans="1:3">
      <c r="A18">
        <v>317</v>
      </c>
      <c r="C18">
        <v>158</v>
      </c>
    </row>
    <row r="19" spans="1:3">
      <c r="A19">
        <v>317</v>
      </c>
      <c r="C19">
        <v>152</v>
      </c>
    </row>
    <row r="20" spans="1:3">
      <c r="A20">
        <v>318</v>
      </c>
      <c r="C20">
        <v>136</v>
      </c>
    </row>
    <row r="21" spans="1:3">
      <c r="A21">
        <v>318</v>
      </c>
      <c r="C21">
        <v>171</v>
      </c>
    </row>
    <row r="22" spans="1:3">
      <c r="A22">
        <v>318</v>
      </c>
      <c r="C22">
        <v>132</v>
      </c>
    </row>
    <row r="23" spans="1:3">
      <c r="A23">
        <v>319</v>
      </c>
      <c r="C23">
        <v>308</v>
      </c>
    </row>
    <row r="24" spans="1:3">
      <c r="A24">
        <v>319</v>
      </c>
      <c r="C24">
        <v>184</v>
      </c>
    </row>
    <row r="25" spans="1:3">
      <c r="A25">
        <v>319</v>
      </c>
      <c r="C25">
        <v>305</v>
      </c>
    </row>
    <row r="26" spans="1:3">
      <c r="A26">
        <v>320</v>
      </c>
      <c r="C26">
        <v>481</v>
      </c>
    </row>
    <row r="27" spans="1:3">
      <c r="A27">
        <v>320</v>
      </c>
      <c r="C27">
        <v>372</v>
      </c>
    </row>
    <row r="28" spans="1:3">
      <c r="A28">
        <v>320</v>
      </c>
      <c r="C28">
        <v>283</v>
      </c>
    </row>
    <row r="29" spans="1:3">
      <c r="A29">
        <v>321</v>
      </c>
      <c r="C29">
        <v>569</v>
      </c>
    </row>
    <row r="30" spans="1:3">
      <c r="A30">
        <v>321</v>
      </c>
      <c r="C30">
        <v>540</v>
      </c>
    </row>
    <row r="31" spans="1:3">
      <c r="A31">
        <v>321</v>
      </c>
      <c r="C31">
        <v>641</v>
      </c>
    </row>
    <row r="32" spans="1:3">
      <c r="A32">
        <v>322</v>
      </c>
      <c r="C32">
        <v>622</v>
      </c>
    </row>
    <row r="33" spans="1:3">
      <c r="A33">
        <v>322</v>
      </c>
      <c r="C33">
        <v>587</v>
      </c>
    </row>
    <row r="34" spans="1:3">
      <c r="A34">
        <v>322</v>
      </c>
      <c r="C34">
        <v>475</v>
      </c>
    </row>
    <row r="35" spans="1:3">
      <c r="A35">
        <v>323</v>
      </c>
      <c r="C35">
        <v>603</v>
      </c>
    </row>
    <row r="36" spans="1:3">
      <c r="A36">
        <v>323</v>
      </c>
      <c r="C36">
        <v>568</v>
      </c>
    </row>
    <row r="37" spans="1:3">
      <c r="A37">
        <v>323</v>
      </c>
      <c r="C37">
        <v>513</v>
      </c>
    </row>
    <row r="38" spans="1:3">
      <c r="A38">
        <v>324</v>
      </c>
      <c r="C38">
        <v>585</v>
      </c>
    </row>
    <row r="39" spans="1:3">
      <c r="A39">
        <v>324</v>
      </c>
      <c r="C39">
        <v>568</v>
      </c>
    </row>
    <row r="40" spans="1:3">
      <c r="A40">
        <v>324</v>
      </c>
      <c r="C40">
        <v>476</v>
      </c>
    </row>
    <row r="41" spans="1:3">
      <c r="A41">
        <v>325</v>
      </c>
      <c r="C41">
        <v>569</v>
      </c>
    </row>
    <row r="42" spans="1:3">
      <c r="A42">
        <v>325</v>
      </c>
      <c r="C42">
        <v>540</v>
      </c>
    </row>
    <row r="43" spans="1:3">
      <c r="A43">
        <v>325</v>
      </c>
      <c r="C43">
        <v>641</v>
      </c>
    </row>
    <row r="44" spans="1:3">
      <c r="A44">
        <v>326</v>
      </c>
      <c r="C44">
        <v>622</v>
      </c>
    </row>
    <row r="45" spans="1:3">
      <c r="A45">
        <v>326</v>
      </c>
      <c r="C45">
        <v>587</v>
      </c>
    </row>
    <row r="46" spans="1:3">
      <c r="A46">
        <v>326</v>
      </c>
      <c r="C46">
        <v>475</v>
      </c>
    </row>
    <row r="47" spans="1:3">
      <c r="A47">
        <v>327</v>
      </c>
      <c r="C47">
        <v>408</v>
      </c>
    </row>
    <row r="48" spans="1:3">
      <c r="A48">
        <v>327</v>
      </c>
      <c r="C48">
        <v>443</v>
      </c>
    </row>
    <row r="49" spans="1:3">
      <c r="A49">
        <v>327</v>
      </c>
      <c r="C49">
        <v>513</v>
      </c>
    </row>
    <row r="50" spans="1:3">
      <c r="A50">
        <v>328</v>
      </c>
      <c r="C50">
        <v>568</v>
      </c>
    </row>
    <row r="51" spans="1:3">
      <c r="A51">
        <v>328</v>
      </c>
      <c r="C51">
        <v>585</v>
      </c>
    </row>
    <row r="52" spans="1:3">
      <c r="A52">
        <v>328</v>
      </c>
      <c r="C52">
        <v>476</v>
      </c>
    </row>
    <row r="53" spans="1:3">
      <c r="A53">
        <v>329</v>
      </c>
      <c r="C53">
        <v>558</v>
      </c>
    </row>
    <row r="54" spans="1:3">
      <c r="A54">
        <v>329</v>
      </c>
      <c r="C54">
        <v>576</v>
      </c>
    </row>
    <row r="55" spans="1:3">
      <c r="A55">
        <v>329</v>
      </c>
      <c r="C55">
        <v>467</v>
      </c>
    </row>
    <row r="56" spans="1:3">
      <c r="A56">
        <v>330</v>
      </c>
      <c r="C56">
        <v>548</v>
      </c>
    </row>
    <row r="57" spans="1:3">
      <c r="A57">
        <v>330</v>
      </c>
      <c r="C57">
        <v>566</v>
      </c>
    </row>
    <row r="58" spans="1:3">
      <c r="A58">
        <v>330</v>
      </c>
      <c r="C58">
        <v>457</v>
      </c>
    </row>
    <row r="59" spans="1:3">
      <c r="A59">
        <v>331</v>
      </c>
      <c r="C59">
        <v>574</v>
      </c>
    </row>
    <row r="60" spans="1:3">
      <c r="A60">
        <v>331</v>
      </c>
      <c r="C60">
        <v>441</v>
      </c>
    </row>
    <row r="61" spans="1:3">
      <c r="A61">
        <v>331</v>
      </c>
      <c r="C61">
        <v>390</v>
      </c>
    </row>
    <row r="62" spans="1:3">
      <c r="A62">
        <v>332</v>
      </c>
      <c r="C62">
        <v>344</v>
      </c>
    </row>
    <row r="63" spans="1:3">
      <c r="A63">
        <v>332</v>
      </c>
      <c r="C63">
        <v>233</v>
      </c>
    </row>
    <row r="64" spans="1:3">
      <c r="A64">
        <v>332</v>
      </c>
      <c r="C64">
        <v>267</v>
      </c>
    </row>
    <row r="65" spans="1:3">
      <c r="A65">
        <v>341</v>
      </c>
      <c r="C65">
        <v>372</v>
      </c>
    </row>
    <row r="66" spans="1:3">
      <c r="A66">
        <v>341</v>
      </c>
      <c r="C66">
        <v>392</v>
      </c>
    </row>
    <row r="67" spans="1:3">
      <c r="A67">
        <v>341</v>
      </c>
      <c r="C67">
        <v>339</v>
      </c>
    </row>
    <row r="68" spans="1:3">
      <c r="A68">
        <v>342</v>
      </c>
      <c r="C68">
        <v>369</v>
      </c>
    </row>
    <row r="69" spans="1:3">
      <c r="A69">
        <v>342</v>
      </c>
      <c r="C69">
        <v>388</v>
      </c>
    </row>
    <row r="70" spans="1:3">
      <c r="A70">
        <v>342</v>
      </c>
      <c r="C70">
        <v>336</v>
      </c>
    </row>
    <row r="71" spans="1:3">
      <c r="A71">
        <v>343</v>
      </c>
      <c r="C71">
        <v>568</v>
      </c>
    </row>
    <row r="72" spans="1:3">
      <c r="A72">
        <v>343</v>
      </c>
      <c r="C72">
        <v>606</v>
      </c>
    </row>
    <row r="73" spans="1:3">
      <c r="A73">
        <v>343</v>
      </c>
      <c r="C73">
        <v>499</v>
      </c>
    </row>
    <row r="74" spans="1:3">
      <c r="A74">
        <v>344</v>
      </c>
      <c r="C74">
        <v>358</v>
      </c>
    </row>
    <row r="75" spans="1:3">
      <c r="A75">
        <v>344</v>
      </c>
      <c r="C75">
        <v>332</v>
      </c>
    </row>
    <row r="76" spans="1:3">
      <c r="A76">
        <v>344</v>
      </c>
      <c r="C76">
        <v>382</v>
      </c>
    </row>
    <row r="77" spans="1:3">
      <c r="A77">
        <v>345</v>
      </c>
      <c r="C77">
        <v>321</v>
      </c>
    </row>
    <row r="78" spans="1:3">
      <c r="A78">
        <v>345</v>
      </c>
      <c r="C78">
        <v>315</v>
      </c>
    </row>
    <row r="79" spans="1:3">
      <c r="A79">
        <v>345</v>
      </c>
      <c r="C79">
        <v>300</v>
      </c>
    </row>
    <row r="80" spans="1:3">
      <c r="A80">
        <v>346</v>
      </c>
      <c r="C80">
        <v>585</v>
      </c>
    </row>
    <row r="81" spans="1:3">
      <c r="A81">
        <v>346</v>
      </c>
      <c r="C81">
        <v>476</v>
      </c>
    </row>
    <row r="82" spans="1:3">
      <c r="A82">
        <v>346</v>
      </c>
      <c r="C82">
        <v>641</v>
      </c>
    </row>
    <row r="83" spans="1:3">
      <c r="A83">
        <v>347</v>
      </c>
      <c r="C83">
        <v>318</v>
      </c>
    </row>
    <row r="84" spans="1:3">
      <c r="A84">
        <v>347</v>
      </c>
      <c r="C84">
        <v>246</v>
      </c>
    </row>
    <row r="85" spans="1:3">
      <c r="A85">
        <v>347</v>
      </c>
      <c r="C85">
        <v>332</v>
      </c>
    </row>
    <row r="86" spans="1:3">
      <c r="A86">
        <v>348</v>
      </c>
      <c r="C86">
        <v>323</v>
      </c>
    </row>
    <row r="87" spans="1:3">
      <c r="A87">
        <v>348</v>
      </c>
      <c r="C87">
        <v>251</v>
      </c>
    </row>
    <row r="88" spans="1:3">
      <c r="A88">
        <v>348</v>
      </c>
      <c r="C88">
        <v>337</v>
      </c>
    </row>
    <row r="89" spans="1:3">
      <c r="A89">
        <v>349</v>
      </c>
      <c r="C89">
        <v>328</v>
      </c>
    </row>
    <row r="90" spans="1:3">
      <c r="A90">
        <v>349</v>
      </c>
      <c r="C90">
        <v>256</v>
      </c>
    </row>
    <row r="91" spans="1:3">
      <c r="A91">
        <v>349</v>
      </c>
      <c r="C91">
        <v>342</v>
      </c>
    </row>
    <row r="92" spans="1:3">
      <c r="A92">
        <v>350</v>
      </c>
      <c r="C92">
        <v>622</v>
      </c>
    </row>
    <row r="93" spans="1:3">
      <c r="A93">
        <v>350</v>
      </c>
      <c r="C93">
        <v>406</v>
      </c>
    </row>
    <row r="94" spans="1:3">
      <c r="A94">
        <v>350</v>
      </c>
      <c r="C94">
        <v>313</v>
      </c>
    </row>
    <row r="95" spans="1:3">
      <c r="A95">
        <v>351</v>
      </c>
      <c r="C95">
        <v>179</v>
      </c>
    </row>
    <row r="96" spans="1:3">
      <c r="A96">
        <v>351</v>
      </c>
      <c r="C96">
        <v>281</v>
      </c>
    </row>
    <row r="97" spans="1:3">
      <c r="A97">
        <v>351</v>
      </c>
      <c r="C97">
        <v>145</v>
      </c>
    </row>
    <row r="98" spans="1:3">
      <c r="A98">
        <v>352</v>
      </c>
      <c r="C98">
        <v>300</v>
      </c>
    </row>
    <row r="99" spans="1:3">
      <c r="A99">
        <v>352</v>
      </c>
      <c r="C99">
        <v>278</v>
      </c>
    </row>
    <row r="100" spans="1:3">
      <c r="A100">
        <v>352</v>
      </c>
      <c r="C100">
        <v>195</v>
      </c>
    </row>
    <row r="101" spans="1:3">
      <c r="A101">
        <v>355</v>
      </c>
      <c r="C101">
        <v>276</v>
      </c>
    </row>
    <row r="102" spans="1:3">
      <c r="A102">
        <v>355</v>
      </c>
      <c r="C102">
        <v>257</v>
      </c>
    </row>
    <row r="103" spans="1:3">
      <c r="A103">
        <v>355</v>
      </c>
      <c r="C103">
        <v>289</v>
      </c>
    </row>
    <row r="104" spans="1:3">
      <c r="A104">
        <v>356</v>
      </c>
      <c r="C104">
        <v>262</v>
      </c>
    </row>
    <row r="105" spans="1:3">
      <c r="A105">
        <v>356</v>
      </c>
      <c r="C105">
        <v>243</v>
      </c>
    </row>
    <row r="106" spans="1:3">
      <c r="A106">
        <v>356</v>
      </c>
      <c r="C106">
        <v>275</v>
      </c>
    </row>
    <row r="107" spans="1:3">
      <c r="A107">
        <v>357</v>
      </c>
      <c r="C107">
        <v>248</v>
      </c>
    </row>
    <row r="108" spans="1:3">
      <c r="A108">
        <v>357</v>
      </c>
      <c r="C108">
        <v>228</v>
      </c>
    </row>
    <row r="109" spans="1:3">
      <c r="A109">
        <v>357</v>
      </c>
      <c r="C109">
        <v>260</v>
      </c>
    </row>
    <row r="110" spans="1:3">
      <c r="A110">
        <v>358</v>
      </c>
      <c r="C110">
        <v>233</v>
      </c>
    </row>
    <row r="111" spans="1:3">
      <c r="A111">
        <v>358</v>
      </c>
      <c r="C111">
        <v>214</v>
      </c>
    </row>
    <row r="112" spans="1:3">
      <c r="A112">
        <v>358</v>
      </c>
      <c r="C112">
        <v>246</v>
      </c>
    </row>
    <row r="113" spans="1:3">
      <c r="A113">
        <v>359</v>
      </c>
      <c r="C113">
        <v>369</v>
      </c>
    </row>
    <row r="114" spans="1:3">
      <c r="A114">
        <v>359</v>
      </c>
      <c r="C114">
        <v>360</v>
      </c>
    </row>
    <row r="115" spans="1:3">
      <c r="A115">
        <v>359</v>
      </c>
      <c r="C115">
        <v>374</v>
      </c>
    </row>
    <row r="116" spans="1:3">
      <c r="A116">
        <v>360</v>
      </c>
      <c r="C116">
        <v>363</v>
      </c>
    </row>
    <row r="117" spans="1:3">
      <c r="A117">
        <v>360</v>
      </c>
      <c r="C117">
        <v>353</v>
      </c>
    </row>
    <row r="118" spans="1:3">
      <c r="A118">
        <v>360</v>
      </c>
      <c r="C118">
        <v>368</v>
      </c>
    </row>
    <row r="119" spans="1:3">
      <c r="A119">
        <v>361</v>
      </c>
      <c r="C119">
        <v>499</v>
      </c>
    </row>
    <row r="120" spans="1:3">
      <c r="A120">
        <v>361</v>
      </c>
      <c r="C120">
        <v>601</v>
      </c>
    </row>
    <row r="121" spans="1:3">
      <c r="A121">
        <v>361</v>
      </c>
      <c r="C121">
        <v>531</v>
      </c>
    </row>
    <row r="122" spans="1:3">
      <c r="A122">
        <v>362</v>
      </c>
      <c r="C122">
        <v>377</v>
      </c>
    </row>
    <row r="123" spans="1:3">
      <c r="A123">
        <v>362</v>
      </c>
      <c r="C123">
        <v>315</v>
      </c>
    </row>
    <row r="124" spans="1:3">
      <c r="A124">
        <v>362</v>
      </c>
      <c r="C124">
        <v>334</v>
      </c>
    </row>
    <row r="125" spans="1:3">
      <c r="A125">
        <v>363</v>
      </c>
      <c r="C125">
        <v>499</v>
      </c>
    </row>
    <row r="126" spans="1:3">
      <c r="A126">
        <v>363</v>
      </c>
      <c r="C126">
        <v>643</v>
      </c>
    </row>
    <row r="127" spans="1:3">
      <c r="A127">
        <v>363</v>
      </c>
      <c r="C127">
        <v>619</v>
      </c>
    </row>
    <row r="128" spans="1:3">
      <c r="A128">
        <v>364</v>
      </c>
      <c r="C128">
        <v>368</v>
      </c>
    </row>
    <row r="129" spans="1:3">
      <c r="A129">
        <v>364</v>
      </c>
      <c r="C129">
        <v>358</v>
      </c>
    </row>
    <row r="130" spans="1:3">
      <c r="A130">
        <v>364</v>
      </c>
      <c r="C130">
        <v>326</v>
      </c>
    </row>
    <row r="131" spans="1:3">
      <c r="A131">
        <v>365</v>
      </c>
      <c r="C131">
        <v>411</v>
      </c>
    </row>
    <row r="132" spans="1:3">
      <c r="A132">
        <v>365</v>
      </c>
      <c r="C132">
        <v>691</v>
      </c>
    </row>
    <row r="133" spans="1:3">
      <c r="A133">
        <v>365</v>
      </c>
      <c r="C133">
        <v>619</v>
      </c>
    </row>
    <row r="134" spans="1:3">
      <c r="A134">
        <v>366</v>
      </c>
      <c r="C134">
        <v>318</v>
      </c>
    </row>
    <row r="135" spans="1:3">
      <c r="A135">
        <v>366</v>
      </c>
      <c r="C135">
        <v>299</v>
      </c>
    </row>
    <row r="136" spans="1:3">
      <c r="A136">
        <v>366</v>
      </c>
      <c r="C136">
        <v>412</v>
      </c>
    </row>
    <row r="137" spans="1:3">
      <c r="A137">
        <v>367</v>
      </c>
      <c r="C137">
        <v>643</v>
      </c>
    </row>
    <row r="138" spans="1:3">
      <c r="A138">
        <v>367</v>
      </c>
      <c r="C138">
        <v>689</v>
      </c>
    </row>
    <row r="139" spans="1:3">
      <c r="A139">
        <v>367</v>
      </c>
      <c r="C139">
        <v>569</v>
      </c>
    </row>
    <row r="140" spans="1:3">
      <c r="A140">
        <v>368</v>
      </c>
      <c r="C140">
        <v>369</v>
      </c>
    </row>
    <row r="141" spans="1:3">
      <c r="A141">
        <v>368</v>
      </c>
      <c r="C141">
        <v>360</v>
      </c>
    </row>
    <row r="142" spans="1:3">
      <c r="A142">
        <v>368</v>
      </c>
      <c r="C142">
        <v>374</v>
      </c>
    </row>
    <row r="143" spans="1:3">
      <c r="A143">
        <v>369</v>
      </c>
      <c r="C143">
        <v>363</v>
      </c>
    </row>
    <row r="144" spans="1:3">
      <c r="A144">
        <v>369</v>
      </c>
      <c r="C144">
        <v>353</v>
      </c>
    </row>
    <row r="145" spans="1:3">
      <c r="A145">
        <v>369</v>
      </c>
      <c r="C145">
        <v>368</v>
      </c>
    </row>
    <row r="146" spans="1:3">
      <c r="A146">
        <v>370</v>
      </c>
      <c r="C146">
        <v>252</v>
      </c>
    </row>
    <row r="147" spans="1:3">
      <c r="A147">
        <v>370</v>
      </c>
      <c r="C147">
        <v>155</v>
      </c>
    </row>
    <row r="148" spans="1:3">
      <c r="A148">
        <v>370</v>
      </c>
      <c r="C148">
        <v>476</v>
      </c>
    </row>
    <row r="149" spans="1:3">
      <c r="A149">
        <v>371</v>
      </c>
      <c r="C149">
        <v>585</v>
      </c>
    </row>
    <row r="150" spans="1:3">
      <c r="A150">
        <v>371</v>
      </c>
      <c r="C150">
        <v>649</v>
      </c>
    </row>
    <row r="151" spans="1:3">
      <c r="A151">
        <v>371</v>
      </c>
      <c r="C151">
        <v>547</v>
      </c>
    </row>
    <row r="152" spans="1:3">
      <c r="A152">
        <v>372</v>
      </c>
      <c r="C152">
        <v>281</v>
      </c>
    </row>
    <row r="153" spans="1:3">
      <c r="A153">
        <v>372</v>
      </c>
      <c r="C153">
        <v>344</v>
      </c>
    </row>
    <row r="154" spans="1:3">
      <c r="A154">
        <v>372</v>
      </c>
      <c r="C154">
        <v>272</v>
      </c>
    </row>
    <row r="155" spans="1:3">
      <c r="A155">
        <v>373</v>
      </c>
      <c r="C155">
        <v>284</v>
      </c>
    </row>
    <row r="156" spans="1:3">
      <c r="A156">
        <v>373</v>
      </c>
      <c r="C156">
        <v>347</v>
      </c>
    </row>
    <row r="157" spans="1:3">
      <c r="A157">
        <v>373</v>
      </c>
      <c r="C157">
        <v>275</v>
      </c>
    </row>
    <row r="158" spans="1:3">
      <c r="A158">
        <v>374</v>
      </c>
      <c r="C158">
        <v>288</v>
      </c>
    </row>
    <row r="159" spans="1:3">
      <c r="A159">
        <v>374</v>
      </c>
      <c r="C159">
        <v>350</v>
      </c>
    </row>
    <row r="160" spans="1:3">
      <c r="A160">
        <v>374</v>
      </c>
      <c r="C160">
        <v>278</v>
      </c>
    </row>
    <row r="161" spans="1:3">
      <c r="A161">
        <v>375</v>
      </c>
      <c r="C161">
        <v>291</v>
      </c>
    </row>
    <row r="162" spans="1:3">
      <c r="A162">
        <v>375</v>
      </c>
      <c r="C162">
        <v>353</v>
      </c>
    </row>
    <row r="163" spans="1:3">
      <c r="A163">
        <v>375</v>
      </c>
      <c r="C163">
        <v>281</v>
      </c>
    </row>
    <row r="164" spans="1:3">
      <c r="A164">
        <v>376</v>
      </c>
      <c r="C164">
        <v>585</v>
      </c>
    </row>
    <row r="165" spans="1:3">
      <c r="A165">
        <v>376</v>
      </c>
      <c r="C165">
        <v>649</v>
      </c>
    </row>
    <row r="166" spans="1:3">
      <c r="A166">
        <v>376</v>
      </c>
      <c r="C166">
        <v>547</v>
      </c>
    </row>
    <row r="167" spans="1:3">
      <c r="A167">
        <v>377</v>
      </c>
      <c r="C167">
        <v>249</v>
      </c>
    </row>
    <row r="168" spans="1:3">
      <c r="A168">
        <v>377</v>
      </c>
      <c r="C168">
        <v>299</v>
      </c>
    </row>
    <row r="169" spans="1:3">
      <c r="A169">
        <v>377</v>
      </c>
      <c r="C169">
        <v>393</v>
      </c>
    </row>
    <row r="170" spans="1:3">
      <c r="A170">
        <v>378</v>
      </c>
      <c r="C170">
        <v>244</v>
      </c>
    </row>
    <row r="171" spans="1:3">
      <c r="A171">
        <v>378</v>
      </c>
      <c r="C171">
        <v>294</v>
      </c>
    </row>
    <row r="172" spans="1:3">
      <c r="A172">
        <v>378</v>
      </c>
      <c r="C172">
        <v>388</v>
      </c>
    </row>
    <row r="173" spans="1:3">
      <c r="A173">
        <v>379</v>
      </c>
      <c r="C173">
        <v>323</v>
      </c>
    </row>
    <row r="174" spans="1:3">
      <c r="A174">
        <v>379</v>
      </c>
      <c r="C174">
        <v>897</v>
      </c>
    </row>
    <row r="175" spans="1:3">
      <c r="A175">
        <v>379</v>
      </c>
      <c r="C175">
        <v>691</v>
      </c>
    </row>
    <row r="176" spans="1:3">
      <c r="A176">
        <v>380</v>
      </c>
      <c r="C176">
        <v>156</v>
      </c>
    </row>
    <row r="177" spans="1:3">
      <c r="A177">
        <v>380</v>
      </c>
      <c r="C177">
        <v>264</v>
      </c>
    </row>
    <row r="178" spans="1:3">
      <c r="A178">
        <v>380</v>
      </c>
      <c r="C178">
        <v>350</v>
      </c>
    </row>
    <row r="179" spans="1:3">
      <c r="A179">
        <v>381</v>
      </c>
      <c r="C179">
        <v>163</v>
      </c>
    </row>
    <row r="180" spans="1:3">
      <c r="A180">
        <v>381</v>
      </c>
      <c r="C180">
        <v>270</v>
      </c>
    </row>
    <row r="181" spans="1:3">
      <c r="A181">
        <v>381</v>
      </c>
      <c r="C181">
        <v>356</v>
      </c>
    </row>
    <row r="182" spans="1:3">
      <c r="A182">
        <v>382</v>
      </c>
      <c r="C182">
        <v>169</v>
      </c>
    </row>
    <row r="183" spans="1:3">
      <c r="A183">
        <v>382</v>
      </c>
      <c r="C183">
        <v>276</v>
      </c>
    </row>
    <row r="184" spans="1:3">
      <c r="A184">
        <v>382</v>
      </c>
      <c r="C184">
        <v>363</v>
      </c>
    </row>
    <row r="185" spans="1:3">
      <c r="A185">
        <v>383</v>
      </c>
      <c r="C185">
        <v>587</v>
      </c>
    </row>
    <row r="186" spans="1:3">
      <c r="A186">
        <v>383</v>
      </c>
      <c r="C186">
        <v>676</v>
      </c>
    </row>
    <row r="187" spans="1:3">
      <c r="A187">
        <v>383</v>
      </c>
      <c r="C187">
        <v>638</v>
      </c>
    </row>
    <row r="188" spans="1:3">
      <c r="A188">
        <v>384</v>
      </c>
      <c r="C188">
        <v>299</v>
      </c>
    </row>
    <row r="189" spans="1:3">
      <c r="A189">
        <v>384</v>
      </c>
      <c r="C189">
        <v>217</v>
      </c>
    </row>
    <row r="190" spans="1:3">
      <c r="A190">
        <v>384</v>
      </c>
      <c r="C190">
        <v>304</v>
      </c>
    </row>
    <row r="191" spans="1:3">
      <c r="A191">
        <v>385</v>
      </c>
      <c r="C191">
        <v>619</v>
      </c>
    </row>
    <row r="192" spans="1:3">
      <c r="A192">
        <v>385</v>
      </c>
      <c r="C192">
        <v>526</v>
      </c>
    </row>
    <row r="193" spans="1:3">
      <c r="A193">
        <v>385</v>
      </c>
      <c r="C193">
        <v>633</v>
      </c>
    </row>
    <row r="194" spans="1:3">
      <c r="A194">
        <v>386</v>
      </c>
      <c r="C194">
        <v>148</v>
      </c>
    </row>
    <row r="195" spans="1:3">
      <c r="A195">
        <v>386</v>
      </c>
      <c r="C195">
        <v>192</v>
      </c>
    </row>
    <row r="196" spans="1:3">
      <c r="A196">
        <v>386</v>
      </c>
      <c r="C196">
        <v>385</v>
      </c>
    </row>
    <row r="197" spans="1:3">
      <c r="A197">
        <v>387</v>
      </c>
      <c r="C197">
        <v>524</v>
      </c>
    </row>
    <row r="198" spans="1:3">
      <c r="A198">
        <v>387</v>
      </c>
      <c r="C198">
        <v>710</v>
      </c>
    </row>
    <row r="199" spans="1:3">
      <c r="A199">
        <v>387</v>
      </c>
      <c r="C199">
        <v>654</v>
      </c>
    </row>
    <row r="200" spans="1:3">
      <c r="A200">
        <v>388</v>
      </c>
      <c r="C200">
        <v>292</v>
      </c>
    </row>
    <row r="201" spans="1:3">
      <c r="A201">
        <v>388</v>
      </c>
      <c r="C201">
        <v>140</v>
      </c>
    </row>
    <row r="202" spans="1:3">
      <c r="A202">
        <v>388</v>
      </c>
      <c r="C202">
        <v>366</v>
      </c>
    </row>
    <row r="203" spans="1:3">
      <c r="A203">
        <v>389</v>
      </c>
      <c r="C203">
        <v>657</v>
      </c>
    </row>
    <row r="204" spans="1:3">
      <c r="A204">
        <v>389</v>
      </c>
      <c r="C204">
        <v>691</v>
      </c>
    </row>
    <row r="205" spans="1:3">
      <c r="A205">
        <v>389</v>
      </c>
      <c r="C205">
        <v>460</v>
      </c>
    </row>
    <row r="206" spans="1:3">
      <c r="A206">
        <v>390</v>
      </c>
      <c r="C206">
        <v>292</v>
      </c>
    </row>
    <row r="207" spans="1:3">
      <c r="A207">
        <v>390</v>
      </c>
      <c r="C207">
        <v>140</v>
      </c>
    </row>
    <row r="208" spans="1:3">
      <c r="A208">
        <v>390</v>
      </c>
      <c r="C208">
        <v>366</v>
      </c>
    </row>
    <row r="209" spans="1:3">
      <c r="A209">
        <v>391</v>
      </c>
      <c r="C209">
        <v>296</v>
      </c>
    </row>
    <row r="210" spans="1:3">
      <c r="A210">
        <v>391</v>
      </c>
      <c r="C210">
        <v>144</v>
      </c>
    </row>
    <row r="211" spans="1:3">
      <c r="A211">
        <v>391</v>
      </c>
      <c r="C211">
        <v>369</v>
      </c>
    </row>
    <row r="212" spans="1:3">
      <c r="A212">
        <v>392</v>
      </c>
      <c r="C212">
        <v>299</v>
      </c>
    </row>
    <row r="213" spans="1:3">
      <c r="A213">
        <v>392</v>
      </c>
      <c r="C213">
        <v>147</v>
      </c>
    </row>
    <row r="214" spans="1:3">
      <c r="A214">
        <v>392</v>
      </c>
      <c r="C214">
        <v>372</v>
      </c>
    </row>
    <row r="215" spans="1:3">
      <c r="A215">
        <v>393</v>
      </c>
      <c r="C215">
        <v>603</v>
      </c>
    </row>
    <row r="216" spans="1:3">
      <c r="A216">
        <v>393</v>
      </c>
      <c r="C216">
        <v>780</v>
      </c>
    </row>
    <row r="217" spans="1:3">
      <c r="A217">
        <v>393</v>
      </c>
      <c r="C217">
        <v>497</v>
      </c>
    </row>
    <row r="218" spans="1:3">
      <c r="A218">
        <v>394</v>
      </c>
      <c r="C218">
        <v>302</v>
      </c>
    </row>
    <row r="219" spans="1:3">
      <c r="A219">
        <v>394</v>
      </c>
      <c r="C219">
        <v>150</v>
      </c>
    </row>
    <row r="220" spans="1:3">
      <c r="A220">
        <v>394</v>
      </c>
      <c r="C220">
        <v>459</v>
      </c>
    </row>
    <row r="221" spans="1:3">
      <c r="A221">
        <v>395</v>
      </c>
      <c r="C221">
        <v>281</v>
      </c>
    </row>
    <row r="222" spans="1:3">
      <c r="A222">
        <v>395</v>
      </c>
      <c r="C222">
        <v>355</v>
      </c>
    </row>
    <row r="223" spans="1:3">
      <c r="A223">
        <v>395</v>
      </c>
      <c r="C223">
        <v>148</v>
      </c>
    </row>
    <row r="224" spans="1:3">
      <c r="A224">
        <v>396</v>
      </c>
      <c r="C224">
        <v>636</v>
      </c>
    </row>
    <row r="225" spans="1:3">
      <c r="A225">
        <v>396</v>
      </c>
      <c r="C225">
        <v>585</v>
      </c>
    </row>
    <row r="226" spans="1:3">
      <c r="A226">
        <v>396</v>
      </c>
      <c r="C226">
        <v>603</v>
      </c>
    </row>
    <row r="227" spans="1:3">
      <c r="A227">
        <v>397</v>
      </c>
      <c r="C227">
        <v>339</v>
      </c>
    </row>
    <row r="228" spans="1:3">
      <c r="A228">
        <v>397</v>
      </c>
      <c r="C228">
        <v>550</v>
      </c>
    </row>
    <row r="229" spans="1:3">
      <c r="A229">
        <v>397</v>
      </c>
      <c r="C229">
        <v>763</v>
      </c>
    </row>
    <row r="230" spans="1:3">
      <c r="A230">
        <v>398</v>
      </c>
      <c r="C230">
        <v>372</v>
      </c>
    </row>
    <row r="231" spans="1:3">
      <c r="A231">
        <v>398</v>
      </c>
      <c r="C231">
        <v>404</v>
      </c>
    </row>
    <row r="232" spans="1:3">
      <c r="A232">
        <v>398</v>
      </c>
      <c r="C232">
        <v>550</v>
      </c>
    </row>
    <row r="233" spans="1:3">
      <c r="A233">
        <v>399</v>
      </c>
      <c r="C233">
        <v>366</v>
      </c>
    </row>
    <row r="234" spans="1:3">
      <c r="A234">
        <v>399</v>
      </c>
      <c r="C234">
        <v>398</v>
      </c>
    </row>
    <row r="235" spans="1:3">
      <c r="A235">
        <v>399</v>
      </c>
      <c r="C235">
        <v>544</v>
      </c>
    </row>
    <row r="236" spans="1:3">
      <c r="A236">
        <v>400</v>
      </c>
      <c r="C236">
        <v>260</v>
      </c>
    </row>
    <row r="237" spans="1:3">
      <c r="A237">
        <v>400</v>
      </c>
      <c r="C237">
        <v>246</v>
      </c>
    </row>
    <row r="238" spans="1:3">
      <c r="A238">
        <v>400</v>
      </c>
      <c r="C238">
        <v>284</v>
      </c>
    </row>
    <row r="239" spans="1:3">
      <c r="A239">
        <v>401</v>
      </c>
      <c r="C239">
        <v>283</v>
      </c>
    </row>
    <row r="240" spans="1:3">
      <c r="A240">
        <v>401</v>
      </c>
      <c r="C240">
        <v>212</v>
      </c>
    </row>
    <row r="241" spans="1:3">
      <c r="A241">
        <v>401</v>
      </c>
      <c r="C241">
        <v>302</v>
      </c>
    </row>
    <row r="242" spans="1:3">
      <c r="A242">
        <v>402</v>
      </c>
      <c r="C242">
        <v>316</v>
      </c>
    </row>
    <row r="243" spans="1:3">
      <c r="A243">
        <v>402</v>
      </c>
      <c r="C243">
        <v>353</v>
      </c>
    </row>
    <row r="244" spans="1:3">
      <c r="A244">
        <v>402</v>
      </c>
      <c r="C244">
        <v>321</v>
      </c>
    </row>
    <row r="245" spans="1:3">
      <c r="A245">
        <v>403</v>
      </c>
      <c r="C245">
        <v>313</v>
      </c>
    </row>
    <row r="246" spans="1:3">
      <c r="A246">
        <v>403</v>
      </c>
      <c r="C246">
        <v>350</v>
      </c>
    </row>
    <row r="247" spans="1:3">
      <c r="A247">
        <v>403</v>
      </c>
      <c r="C247">
        <v>318</v>
      </c>
    </row>
    <row r="248" spans="1:3">
      <c r="A248">
        <v>404</v>
      </c>
      <c r="C248">
        <v>310</v>
      </c>
    </row>
    <row r="249" spans="1:3">
      <c r="A249">
        <v>404</v>
      </c>
      <c r="C249">
        <v>347</v>
      </c>
    </row>
    <row r="250" spans="1:3">
      <c r="A250">
        <v>404</v>
      </c>
      <c r="C250">
        <v>315</v>
      </c>
    </row>
    <row r="251" spans="1:3">
      <c r="A251">
        <v>405</v>
      </c>
      <c r="C251">
        <v>307</v>
      </c>
    </row>
    <row r="252" spans="1:3">
      <c r="A252">
        <v>405</v>
      </c>
      <c r="C252">
        <v>344</v>
      </c>
    </row>
    <row r="253" spans="1:3">
      <c r="A253">
        <v>405</v>
      </c>
      <c r="C253">
        <v>312</v>
      </c>
    </row>
    <row r="254" spans="1:3">
      <c r="A254">
        <v>406</v>
      </c>
      <c r="C254">
        <v>304</v>
      </c>
    </row>
    <row r="255" spans="1:3">
      <c r="A255">
        <v>406</v>
      </c>
      <c r="C255">
        <v>340</v>
      </c>
    </row>
    <row r="256" spans="1:3">
      <c r="A256">
        <v>406</v>
      </c>
      <c r="C256">
        <v>308</v>
      </c>
    </row>
    <row r="257" spans="1:3">
      <c r="A257">
        <v>407</v>
      </c>
      <c r="C257">
        <v>460</v>
      </c>
    </row>
    <row r="258" spans="1:3">
      <c r="A258">
        <v>407</v>
      </c>
      <c r="C258">
        <v>587</v>
      </c>
    </row>
    <row r="259" spans="1:3">
      <c r="A259">
        <v>407</v>
      </c>
      <c r="C259">
        <v>625</v>
      </c>
    </row>
    <row r="260" spans="1:3">
      <c r="A260">
        <v>408</v>
      </c>
      <c r="C260">
        <v>417</v>
      </c>
    </row>
    <row r="261" spans="1:3">
      <c r="A261">
        <v>408</v>
      </c>
      <c r="C261">
        <v>344</v>
      </c>
    </row>
    <row r="262" spans="1:3">
      <c r="A262">
        <v>408</v>
      </c>
      <c r="C262">
        <v>296</v>
      </c>
    </row>
    <row r="263" spans="1:3">
      <c r="A263">
        <v>409</v>
      </c>
      <c r="C263">
        <v>414</v>
      </c>
    </row>
    <row r="264" spans="1:3">
      <c r="A264">
        <v>409</v>
      </c>
      <c r="C264">
        <v>340</v>
      </c>
    </row>
    <row r="265" spans="1:3">
      <c r="A265">
        <v>409</v>
      </c>
      <c r="C265">
        <v>292</v>
      </c>
    </row>
    <row r="266" spans="1:3">
      <c r="A266">
        <v>410</v>
      </c>
      <c r="C266">
        <v>411</v>
      </c>
    </row>
    <row r="267" spans="1:3">
      <c r="A267">
        <v>410</v>
      </c>
      <c r="C267">
        <v>337</v>
      </c>
    </row>
    <row r="268" spans="1:3">
      <c r="A268">
        <v>410</v>
      </c>
      <c r="C268">
        <v>289</v>
      </c>
    </row>
    <row r="269" spans="1:3">
      <c r="A269">
        <v>411</v>
      </c>
      <c r="C269">
        <v>603</v>
      </c>
    </row>
    <row r="270" spans="1:3">
      <c r="A270">
        <v>411</v>
      </c>
      <c r="C270">
        <v>552</v>
      </c>
    </row>
    <row r="271" spans="1:3">
      <c r="A271">
        <v>411</v>
      </c>
      <c r="C271">
        <v>459</v>
      </c>
    </row>
    <row r="272" spans="1:3">
      <c r="A272">
        <v>412</v>
      </c>
      <c r="C272">
        <v>299</v>
      </c>
    </row>
    <row r="273" spans="1:3">
      <c r="A273">
        <v>412</v>
      </c>
      <c r="C273">
        <v>321</v>
      </c>
    </row>
    <row r="274" spans="1:3">
      <c r="A274">
        <v>412</v>
      </c>
      <c r="C274">
        <v>156</v>
      </c>
    </row>
    <row r="275" spans="1:3">
      <c r="A275">
        <v>413</v>
      </c>
      <c r="C275">
        <v>641</v>
      </c>
    </row>
    <row r="276" spans="1:3">
      <c r="A276">
        <v>413</v>
      </c>
      <c r="C276">
        <v>603</v>
      </c>
    </row>
    <row r="277" spans="1:3">
      <c r="A277">
        <v>413</v>
      </c>
      <c r="C277">
        <v>459</v>
      </c>
    </row>
    <row r="278" spans="1:3">
      <c r="A278">
        <v>414</v>
      </c>
      <c r="C278">
        <v>427</v>
      </c>
    </row>
    <row r="279" spans="1:3">
      <c r="A279">
        <v>414</v>
      </c>
      <c r="C279">
        <v>321</v>
      </c>
    </row>
    <row r="280" spans="1:3">
      <c r="A280">
        <v>414</v>
      </c>
      <c r="C280">
        <v>371</v>
      </c>
    </row>
    <row r="281" spans="1:3">
      <c r="A281">
        <v>415</v>
      </c>
      <c r="C281">
        <v>422</v>
      </c>
    </row>
    <row r="282" spans="1:3">
      <c r="A282">
        <v>415</v>
      </c>
      <c r="C282">
        <v>316</v>
      </c>
    </row>
    <row r="283" spans="1:3">
      <c r="A283">
        <v>415</v>
      </c>
      <c r="C283">
        <v>366</v>
      </c>
    </row>
    <row r="284" spans="1:3">
      <c r="A284">
        <v>416</v>
      </c>
      <c r="C284">
        <v>417</v>
      </c>
    </row>
    <row r="285" spans="1:3">
      <c r="A285">
        <v>416</v>
      </c>
      <c r="C285">
        <v>312</v>
      </c>
    </row>
    <row r="286" spans="1:3">
      <c r="A286">
        <v>416</v>
      </c>
      <c r="C286">
        <v>361</v>
      </c>
    </row>
    <row r="287" spans="1:3">
      <c r="A287">
        <v>417</v>
      </c>
      <c r="C287">
        <v>572</v>
      </c>
    </row>
    <row r="288" spans="1:3">
      <c r="A288">
        <v>417</v>
      </c>
      <c r="C288">
        <v>627</v>
      </c>
    </row>
    <row r="289" spans="1:3">
      <c r="A289">
        <v>417</v>
      </c>
      <c r="C289">
        <v>516</v>
      </c>
    </row>
    <row r="290" spans="1:3">
      <c r="A290">
        <v>418</v>
      </c>
      <c r="C290">
        <v>248</v>
      </c>
    </row>
    <row r="291" spans="1:3">
      <c r="A291">
        <v>418</v>
      </c>
      <c r="C291">
        <v>283</v>
      </c>
    </row>
    <row r="292" spans="1:3">
      <c r="A292">
        <v>418</v>
      </c>
      <c r="C292">
        <v>388</v>
      </c>
    </row>
    <row r="293" spans="1:3">
      <c r="A293">
        <v>419</v>
      </c>
      <c r="C293">
        <v>246</v>
      </c>
    </row>
    <row r="294" spans="1:3">
      <c r="A294">
        <v>419</v>
      </c>
      <c r="C294">
        <v>281</v>
      </c>
    </row>
    <row r="295" spans="1:3">
      <c r="A295">
        <v>419</v>
      </c>
      <c r="C295">
        <v>387</v>
      </c>
    </row>
    <row r="296" spans="1:3">
      <c r="A296">
        <v>420</v>
      </c>
      <c r="C296">
        <v>244</v>
      </c>
    </row>
    <row r="297" spans="1:3">
      <c r="A297">
        <v>420</v>
      </c>
      <c r="C297">
        <v>280</v>
      </c>
    </row>
    <row r="298" spans="1:3">
      <c r="A298">
        <v>420</v>
      </c>
      <c r="C298">
        <v>385</v>
      </c>
    </row>
    <row r="299" spans="1:3">
      <c r="A299">
        <v>421</v>
      </c>
      <c r="C299">
        <v>243</v>
      </c>
    </row>
    <row r="300" spans="1:3">
      <c r="A300">
        <v>421</v>
      </c>
      <c r="C300">
        <v>278</v>
      </c>
    </row>
    <row r="301" spans="1:3">
      <c r="A301">
        <v>421</v>
      </c>
      <c r="C301">
        <v>384</v>
      </c>
    </row>
    <row r="302" spans="1:3">
      <c r="A302">
        <v>422</v>
      </c>
      <c r="C302">
        <v>620</v>
      </c>
    </row>
    <row r="303" spans="1:3">
      <c r="A303">
        <v>422</v>
      </c>
      <c r="C303">
        <v>515</v>
      </c>
    </row>
    <row r="304" spans="1:3">
      <c r="A304">
        <v>422</v>
      </c>
      <c r="C304">
        <v>497</v>
      </c>
    </row>
    <row r="305" spans="1:3">
      <c r="A305">
        <v>423</v>
      </c>
      <c r="C305">
        <v>619</v>
      </c>
    </row>
    <row r="306" spans="1:3">
      <c r="A306">
        <v>423</v>
      </c>
      <c r="C306">
        <v>513</v>
      </c>
    </row>
    <row r="307" spans="1:3">
      <c r="A307">
        <v>423</v>
      </c>
      <c r="C307">
        <v>496</v>
      </c>
    </row>
    <row r="308" spans="1:3">
      <c r="A308">
        <v>424</v>
      </c>
      <c r="C308">
        <v>617</v>
      </c>
    </row>
    <row r="309" spans="1:3">
      <c r="A309">
        <v>424</v>
      </c>
      <c r="C309">
        <v>512</v>
      </c>
    </row>
    <row r="310" spans="1:3">
      <c r="A310">
        <v>424</v>
      </c>
      <c r="C310">
        <v>494</v>
      </c>
    </row>
    <row r="311" spans="1:3">
      <c r="A311">
        <v>425</v>
      </c>
      <c r="C311">
        <v>616</v>
      </c>
    </row>
    <row r="312" spans="1:3">
      <c r="A312">
        <v>425</v>
      </c>
      <c r="C312">
        <v>510</v>
      </c>
    </row>
    <row r="313" spans="1:3">
      <c r="A313">
        <v>425</v>
      </c>
      <c r="C313">
        <v>492</v>
      </c>
    </row>
    <row r="314" spans="1:3">
      <c r="A314">
        <v>426</v>
      </c>
      <c r="C314">
        <v>614</v>
      </c>
    </row>
    <row r="315" spans="1:3">
      <c r="A315">
        <v>426</v>
      </c>
      <c r="C315">
        <v>508</v>
      </c>
    </row>
    <row r="316" spans="1:3">
      <c r="A316">
        <v>426</v>
      </c>
      <c r="C316">
        <v>491</v>
      </c>
    </row>
    <row r="317" spans="1:3">
      <c r="A317">
        <v>427</v>
      </c>
      <c r="C317">
        <v>612</v>
      </c>
    </row>
    <row r="318" spans="1:3">
      <c r="A318">
        <v>427</v>
      </c>
      <c r="C318">
        <v>507</v>
      </c>
    </row>
    <row r="319" spans="1:3">
      <c r="A319">
        <v>427</v>
      </c>
      <c r="C319">
        <v>489</v>
      </c>
    </row>
    <row r="320" spans="1:3">
      <c r="A320">
        <v>428</v>
      </c>
      <c r="C320">
        <v>611</v>
      </c>
    </row>
    <row r="321" spans="1:3">
      <c r="A321">
        <v>428</v>
      </c>
      <c r="C321">
        <v>505</v>
      </c>
    </row>
    <row r="322" spans="1:3">
      <c r="A322">
        <v>428</v>
      </c>
      <c r="C322">
        <v>488</v>
      </c>
    </row>
    <row r="323" spans="1:3">
      <c r="A323">
        <v>429</v>
      </c>
      <c r="C323">
        <v>609</v>
      </c>
    </row>
    <row r="324" spans="1:3">
      <c r="A324">
        <v>429</v>
      </c>
      <c r="C324">
        <v>504</v>
      </c>
    </row>
    <row r="325" spans="1:3">
      <c r="A325">
        <v>429</v>
      </c>
      <c r="C325">
        <v>486</v>
      </c>
    </row>
    <row r="326" spans="1:3">
      <c r="A326">
        <v>430</v>
      </c>
      <c r="C326">
        <v>608</v>
      </c>
    </row>
    <row r="327" spans="1:3">
      <c r="A327">
        <v>430</v>
      </c>
      <c r="C327">
        <v>502</v>
      </c>
    </row>
    <row r="328" spans="1:3">
      <c r="A328">
        <v>430</v>
      </c>
      <c r="C328">
        <v>484</v>
      </c>
    </row>
    <row r="329" spans="1:3">
      <c r="A329">
        <v>431</v>
      </c>
      <c r="C329">
        <v>611</v>
      </c>
    </row>
    <row r="330" spans="1:3">
      <c r="A330">
        <v>431</v>
      </c>
      <c r="C330">
        <v>505</v>
      </c>
    </row>
    <row r="331" spans="1:3">
      <c r="A331">
        <v>431</v>
      </c>
      <c r="C331">
        <v>488</v>
      </c>
    </row>
    <row r="332" spans="1:3">
      <c r="A332">
        <v>432</v>
      </c>
      <c r="C332">
        <v>614</v>
      </c>
    </row>
    <row r="333" spans="1:3">
      <c r="A333">
        <v>432</v>
      </c>
      <c r="C333">
        <v>508</v>
      </c>
    </row>
    <row r="334" spans="1:3">
      <c r="A334">
        <v>432</v>
      </c>
      <c r="C334">
        <v>491</v>
      </c>
    </row>
    <row r="335" spans="1:3">
      <c r="A335">
        <v>433</v>
      </c>
      <c r="C335">
        <v>617</v>
      </c>
    </row>
    <row r="336" spans="1:3">
      <c r="A336">
        <v>433</v>
      </c>
      <c r="C336">
        <v>512</v>
      </c>
    </row>
    <row r="337" spans="1:3">
      <c r="A337">
        <v>433</v>
      </c>
      <c r="C337">
        <v>494</v>
      </c>
    </row>
    <row r="338" spans="1:3">
      <c r="A338">
        <v>434</v>
      </c>
      <c r="C338">
        <v>620</v>
      </c>
    </row>
    <row r="339" spans="1:3">
      <c r="A339">
        <v>434</v>
      </c>
      <c r="C339">
        <v>515</v>
      </c>
    </row>
    <row r="340" spans="1:3">
      <c r="A340">
        <v>434</v>
      </c>
      <c r="C340">
        <v>497</v>
      </c>
    </row>
    <row r="341" spans="1:3">
      <c r="A341">
        <v>435</v>
      </c>
      <c r="C341">
        <v>624</v>
      </c>
    </row>
    <row r="342" spans="1:3">
      <c r="A342">
        <v>435</v>
      </c>
      <c r="C342">
        <v>518</v>
      </c>
    </row>
    <row r="343" spans="1:3">
      <c r="A343">
        <v>435</v>
      </c>
      <c r="C343">
        <v>500</v>
      </c>
    </row>
    <row r="344" spans="1:3">
      <c r="A344">
        <v>436</v>
      </c>
      <c r="C344">
        <v>627</v>
      </c>
    </row>
    <row r="345" spans="1:3">
      <c r="A345">
        <v>436</v>
      </c>
      <c r="C345">
        <v>521</v>
      </c>
    </row>
    <row r="346" spans="1:3">
      <c r="A346">
        <v>436</v>
      </c>
      <c r="C346">
        <v>504</v>
      </c>
    </row>
    <row r="347" spans="1:3">
      <c r="A347">
        <v>437</v>
      </c>
      <c r="C347">
        <v>630</v>
      </c>
    </row>
    <row r="348" spans="1:3">
      <c r="A348">
        <v>437</v>
      </c>
      <c r="C348">
        <v>524</v>
      </c>
    </row>
    <row r="349" spans="1:3">
      <c r="A349">
        <v>437</v>
      </c>
      <c r="C349">
        <v>507</v>
      </c>
    </row>
    <row r="350" spans="1:3">
      <c r="A350">
        <v>438</v>
      </c>
      <c r="C350">
        <v>633</v>
      </c>
    </row>
    <row r="351" spans="1:3">
      <c r="A351">
        <v>438</v>
      </c>
      <c r="C351">
        <v>528</v>
      </c>
    </row>
    <row r="352" spans="1:3">
      <c r="A352">
        <v>438</v>
      </c>
      <c r="C352">
        <v>510</v>
      </c>
    </row>
    <row r="353" spans="1:3">
      <c r="A353">
        <v>439</v>
      </c>
      <c r="C353">
        <v>636</v>
      </c>
    </row>
    <row r="354" spans="1:3">
      <c r="A354">
        <v>439</v>
      </c>
      <c r="C354">
        <v>531</v>
      </c>
    </row>
    <row r="355" spans="1:3">
      <c r="A355">
        <v>439</v>
      </c>
      <c r="C355">
        <v>513</v>
      </c>
    </row>
    <row r="356" spans="1:3">
      <c r="A356">
        <v>440</v>
      </c>
      <c r="C356">
        <v>640</v>
      </c>
    </row>
    <row r="357" spans="1:3">
      <c r="A357">
        <v>440</v>
      </c>
      <c r="C357">
        <v>534</v>
      </c>
    </row>
    <row r="358" spans="1:3">
      <c r="A358">
        <v>440</v>
      </c>
      <c r="C358">
        <v>516</v>
      </c>
    </row>
    <row r="359" spans="1:3">
      <c r="A359">
        <v>441</v>
      </c>
      <c r="C359">
        <v>635</v>
      </c>
    </row>
    <row r="360" spans="1:3">
      <c r="A360">
        <v>441</v>
      </c>
      <c r="C360">
        <v>529</v>
      </c>
    </row>
    <row r="361" spans="1:3">
      <c r="A361">
        <v>441</v>
      </c>
      <c r="C361">
        <v>512</v>
      </c>
    </row>
    <row r="362" spans="1:3">
      <c r="A362">
        <v>442</v>
      </c>
      <c r="C362">
        <v>630</v>
      </c>
    </row>
    <row r="363" spans="1:3">
      <c r="A363">
        <v>442</v>
      </c>
      <c r="C363">
        <v>524</v>
      </c>
    </row>
    <row r="364" spans="1:3">
      <c r="A364">
        <v>442</v>
      </c>
      <c r="C364">
        <v>507</v>
      </c>
    </row>
    <row r="365" spans="1:3">
      <c r="A365">
        <v>443</v>
      </c>
      <c r="C365">
        <v>625</v>
      </c>
    </row>
    <row r="366" spans="1:3">
      <c r="A366">
        <v>443</v>
      </c>
      <c r="C366">
        <v>520</v>
      </c>
    </row>
    <row r="367" spans="1:3">
      <c r="A367">
        <v>443</v>
      </c>
      <c r="C367">
        <v>502</v>
      </c>
    </row>
    <row r="368" spans="1:3">
      <c r="A368">
        <v>444</v>
      </c>
      <c r="C368">
        <v>620</v>
      </c>
    </row>
    <row r="369" spans="1:3">
      <c r="A369">
        <v>444</v>
      </c>
      <c r="C369">
        <v>515</v>
      </c>
    </row>
    <row r="370" spans="1:3">
      <c r="A370">
        <v>444</v>
      </c>
      <c r="C370">
        <v>497</v>
      </c>
    </row>
    <row r="371" spans="1:3">
      <c r="A371">
        <v>445</v>
      </c>
      <c r="C371">
        <v>616</v>
      </c>
    </row>
    <row r="372" spans="1:3">
      <c r="A372">
        <v>445</v>
      </c>
      <c r="C372">
        <v>510</v>
      </c>
    </row>
    <row r="373" spans="1:3">
      <c r="A373">
        <v>445</v>
      </c>
      <c r="C373">
        <v>492</v>
      </c>
    </row>
    <row r="374" spans="1:3">
      <c r="A374">
        <v>446</v>
      </c>
      <c r="C374">
        <v>611</v>
      </c>
    </row>
    <row r="375" spans="1:3">
      <c r="A375">
        <v>446</v>
      </c>
      <c r="C375">
        <v>505</v>
      </c>
    </row>
    <row r="376" spans="1:3">
      <c r="A376">
        <v>446</v>
      </c>
      <c r="C376">
        <v>488</v>
      </c>
    </row>
    <row r="377" spans="1:3">
      <c r="A377">
        <v>447</v>
      </c>
      <c r="C377">
        <v>606</v>
      </c>
    </row>
    <row r="378" spans="1:3">
      <c r="A378">
        <v>447</v>
      </c>
      <c r="C378">
        <v>500</v>
      </c>
    </row>
    <row r="379" spans="1:3">
      <c r="A379">
        <v>447</v>
      </c>
      <c r="C379">
        <v>483</v>
      </c>
    </row>
    <row r="380" spans="1:3">
      <c r="A380">
        <v>448</v>
      </c>
      <c r="C380">
        <v>601</v>
      </c>
    </row>
    <row r="381" spans="1:3">
      <c r="A381">
        <v>448</v>
      </c>
      <c r="C381">
        <v>496</v>
      </c>
    </row>
    <row r="382" spans="1:3">
      <c r="A382">
        <v>448</v>
      </c>
      <c r="C382">
        <v>478</v>
      </c>
    </row>
    <row r="383" spans="1:3">
      <c r="A383">
        <v>449</v>
      </c>
      <c r="C383">
        <v>596</v>
      </c>
    </row>
    <row r="384" spans="1:3">
      <c r="A384">
        <v>449</v>
      </c>
      <c r="C384">
        <v>491</v>
      </c>
    </row>
    <row r="385" spans="1:3">
      <c r="A385">
        <v>449</v>
      </c>
      <c r="C385">
        <v>473</v>
      </c>
    </row>
    <row r="386" spans="1:3">
      <c r="A386">
        <v>450</v>
      </c>
      <c r="C386">
        <v>592</v>
      </c>
    </row>
    <row r="387" spans="1:3">
      <c r="A387">
        <v>450</v>
      </c>
      <c r="C387">
        <v>486</v>
      </c>
    </row>
    <row r="388" spans="1:3">
      <c r="A388">
        <v>450</v>
      </c>
      <c r="C388">
        <v>468</v>
      </c>
    </row>
    <row r="389" spans="1:3">
      <c r="A389">
        <v>451</v>
      </c>
      <c r="C389">
        <v>595</v>
      </c>
    </row>
    <row r="390" spans="1:3">
      <c r="A390">
        <v>451</v>
      </c>
      <c r="C390">
        <v>489</v>
      </c>
    </row>
    <row r="391" spans="1:3">
      <c r="A391">
        <v>451</v>
      </c>
      <c r="C391">
        <v>472</v>
      </c>
    </row>
    <row r="392" spans="1:3">
      <c r="A392">
        <v>452</v>
      </c>
      <c r="C392">
        <v>598</v>
      </c>
    </row>
    <row r="393" spans="1:3">
      <c r="A393">
        <v>452</v>
      </c>
      <c r="C393">
        <v>492</v>
      </c>
    </row>
    <row r="394" spans="1:3">
      <c r="A394">
        <v>452</v>
      </c>
      <c r="C394">
        <v>475</v>
      </c>
    </row>
    <row r="395" spans="1:3">
      <c r="A395">
        <v>453</v>
      </c>
      <c r="C395">
        <v>601</v>
      </c>
    </row>
    <row r="396" spans="1:3">
      <c r="A396">
        <v>453</v>
      </c>
      <c r="C396">
        <v>496</v>
      </c>
    </row>
    <row r="397" spans="1:3">
      <c r="A397">
        <v>453</v>
      </c>
      <c r="C397">
        <v>478</v>
      </c>
    </row>
    <row r="398" spans="1:3">
      <c r="A398">
        <v>454</v>
      </c>
      <c r="C398">
        <v>604</v>
      </c>
    </row>
    <row r="399" spans="1:3">
      <c r="A399">
        <v>454</v>
      </c>
      <c r="C399">
        <v>499</v>
      </c>
    </row>
    <row r="400" spans="1:3">
      <c r="A400">
        <v>454</v>
      </c>
      <c r="C400">
        <v>481</v>
      </c>
    </row>
    <row r="401" spans="1:3">
      <c r="A401">
        <v>455</v>
      </c>
      <c r="C401">
        <v>608</v>
      </c>
    </row>
    <row r="402" spans="1:3">
      <c r="A402">
        <v>455</v>
      </c>
      <c r="C402">
        <v>502</v>
      </c>
    </row>
    <row r="403" spans="1:3">
      <c r="A403">
        <v>455</v>
      </c>
      <c r="C403">
        <v>484</v>
      </c>
    </row>
    <row r="404" spans="1:3">
      <c r="A404">
        <v>456</v>
      </c>
      <c r="C404">
        <v>611</v>
      </c>
    </row>
    <row r="405" spans="1:3">
      <c r="A405">
        <v>456</v>
      </c>
      <c r="C405">
        <v>505</v>
      </c>
    </row>
    <row r="406" spans="1:3">
      <c r="A406">
        <v>456</v>
      </c>
      <c r="C406">
        <v>488</v>
      </c>
    </row>
    <row r="407" spans="1:3">
      <c r="A407">
        <v>457</v>
      </c>
      <c r="C407">
        <v>614</v>
      </c>
    </row>
    <row r="408" spans="1:3">
      <c r="A408">
        <v>457</v>
      </c>
      <c r="C408">
        <v>508</v>
      </c>
    </row>
    <row r="409" spans="1:3">
      <c r="A409">
        <v>457</v>
      </c>
      <c r="C409">
        <v>491</v>
      </c>
    </row>
    <row r="410" spans="1:3">
      <c r="A410">
        <v>458</v>
      </c>
      <c r="C410">
        <v>617</v>
      </c>
    </row>
    <row r="411" spans="1:3">
      <c r="A411">
        <v>458</v>
      </c>
      <c r="C411">
        <v>512</v>
      </c>
    </row>
    <row r="412" spans="1:3">
      <c r="A412">
        <v>458</v>
      </c>
      <c r="C412">
        <v>494</v>
      </c>
    </row>
    <row r="413" spans="1:3">
      <c r="A413">
        <v>459</v>
      </c>
      <c r="C413">
        <v>620</v>
      </c>
    </row>
    <row r="414" spans="1:3">
      <c r="A414">
        <v>459</v>
      </c>
      <c r="C414">
        <v>515</v>
      </c>
    </row>
    <row r="415" spans="1:3">
      <c r="A415">
        <v>459</v>
      </c>
      <c r="C415">
        <v>497</v>
      </c>
    </row>
    <row r="416" spans="1:3">
      <c r="A416">
        <v>460</v>
      </c>
      <c r="C416">
        <v>624</v>
      </c>
    </row>
    <row r="417" spans="1:3">
      <c r="A417">
        <v>460</v>
      </c>
      <c r="C417">
        <v>518</v>
      </c>
    </row>
    <row r="418" spans="1:3">
      <c r="A418">
        <v>460</v>
      </c>
      <c r="C418">
        <v>500</v>
      </c>
    </row>
    <row r="419" spans="1:3">
      <c r="A419">
        <v>461</v>
      </c>
      <c r="C419">
        <v>627</v>
      </c>
    </row>
    <row r="420" spans="1:3">
      <c r="A420">
        <v>461</v>
      </c>
      <c r="C420">
        <v>521</v>
      </c>
    </row>
    <row r="421" spans="1:3">
      <c r="A421">
        <v>461</v>
      </c>
      <c r="C421">
        <v>504</v>
      </c>
    </row>
    <row r="422" spans="1:3">
      <c r="A422">
        <v>462</v>
      </c>
      <c r="C422">
        <v>310</v>
      </c>
    </row>
    <row r="423" spans="1:3">
      <c r="A423">
        <v>462</v>
      </c>
      <c r="C423">
        <v>204</v>
      </c>
    </row>
    <row r="424" spans="1:3">
      <c r="A424">
        <v>462</v>
      </c>
      <c r="C424">
        <v>187</v>
      </c>
    </row>
    <row r="425" spans="1:3">
      <c r="A425">
        <v>463</v>
      </c>
      <c r="C425">
        <v>499</v>
      </c>
    </row>
    <row r="426" spans="1:3">
      <c r="A426">
        <v>463</v>
      </c>
      <c r="C426">
        <v>566</v>
      </c>
    </row>
    <row r="427" spans="1:3">
      <c r="A427">
        <v>463</v>
      </c>
      <c r="C427">
        <v>620</v>
      </c>
    </row>
    <row r="428" spans="1:3">
      <c r="A428">
        <v>464</v>
      </c>
      <c r="C428">
        <v>500</v>
      </c>
    </row>
    <row r="429" spans="1:3">
      <c r="A429">
        <v>464</v>
      </c>
      <c r="C429">
        <v>568</v>
      </c>
    </row>
    <row r="430" spans="1:3">
      <c r="A430">
        <v>464</v>
      </c>
      <c r="C430">
        <v>622</v>
      </c>
    </row>
    <row r="431" spans="1:3">
      <c r="A431">
        <v>465</v>
      </c>
      <c r="C431">
        <v>502</v>
      </c>
    </row>
    <row r="432" spans="1:3">
      <c r="A432">
        <v>465</v>
      </c>
      <c r="C432">
        <v>569</v>
      </c>
    </row>
    <row r="433" spans="1:3">
      <c r="A433">
        <v>465</v>
      </c>
      <c r="C433">
        <v>624</v>
      </c>
    </row>
    <row r="434" spans="1:3">
      <c r="A434">
        <v>466</v>
      </c>
      <c r="C434">
        <v>504</v>
      </c>
    </row>
    <row r="435" spans="1:3">
      <c r="A435">
        <v>466</v>
      </c>
      <c r="C435">
        <v>571</v>
      </c>
    </row>
    <row r="436" spans="1:3">
      <c r="A436">
        <v>466</v>
      </c>
      <c r="C436">
        <v>625</v>
      </c>
    </row>
    <row r="437" spans="1:3">
      <c r="A437">
        <v>467</v>
      </c>
      <c r="C437">
        <v>505</v>
      </c>
    </row>
    <row r="438" spans="1:3">
      <c r="A438">
        <v>467</v>
      </c>
      <c r="C438">
        <v>572</v>
      </c>
    </row>
    <row r="439" spans="1:3">
      <c r="A439">
        <v>467</v>
      </c>
      <c r="C439">
        <v>627</v>
      </c>
    </row>
    <row r="440" spans="1:3">
      <c r="A440">
        <v>468</v>
      </c>
      <c r="C440">
        <v>507</v>
      </c>
    </row>
    <row r="441" spans="1:3">
      <c r="A441">
        <v>468</v>
      </c>
      <c r="C441">
        <v>574</v>
      </c>
    </row>
    <row r="442" spans="1:3">
      <c r="A442">
        <v>468</v>
      </c>
      <c r="C442">
        <v>628</v>
      </c>
    </row>
    <row r="443" spans="1:3">
      <c r="A443">
        <v>469</v>
      </c>
      <c r="C443">
        <v>508</v>
      </c>
    </row>
    <row r="444" spans="1:3">
      <c r="A444">
        <v>469</v>
      </c>
      <c r="C444">
        <v>576</v>
      </c>
    </row>
    <row r="445" spans="1:3">
      <c r="A445">
        <v>469</v>
      </c>
      <c r="C445">
        <v>630</v>
      </c>
    </row>
    <row r="446" spans="1:3">
      <c r="A446">
        <v>470</v>
      </c>
      <c r="C446">
        <v>510</v>
      </c>
    </row>
    <row r="447" spans="1:3">
      <c r="A447">
        <v>470</v>
      </c>
      <c r="C447">
        <v>577</v>
      </c>
    </row>
    <row r="448" spans="1:3">
      <c r="A448">
        <v>470</v>
      </c>
      <c r="C448">
        <v>632</v>
      </c>
    </row>
    <row r="449" spans="1:3">
      <c r="A449">
        <v>471</v>
      </c>
      <c r="C449">
        <v>512</v>
      </c>
    </row>
    <row r="450" spans="1:3">
      <c r="A450">
        <v>471</v>
      </c>
      <c r="C450">
        <v>579</v>
      </c>
    </row>
    <row r="451" spans="1:3">
      <c r="A451">
        <v>471</v>
      </c>
      <c r="C451">
        <v>633</v>
      </c>
    </row>
    <row r="452" spans="1:3">
      <c r="A452">
        <v>472</v>
      </c>
      <c r="C452">
        <v>513</v>
      </c>
    </row>
    <row r="453" spans="1:3">
      <c r="A453">
        <v>472</v>
      </c>
      <c r="C453">
        <v>580</v>
      </c>
    </row>
    <row r="454" spans="1:3">
      <c r="A454">
        <v>472</v>
      </c>
      <c r="C454">
        <v>635</v>
      </c>
    </row>
    <row r="455" spans="1:3">
      <c r="A455">
        <v>473</v>
      </c>
      <c r="C455">
        <v>515</v>
      </c>
    </row>
    <row r="456" spans="1:3">
      <c r="A456">
        <v>473</v>
      </c>
      <c r="C456">
        <v>582</v>
      </c>
    </row>
    <row r="457" spans="1:3">
      <c r="A457">
        <v>473</v>
      </c>
      <c r="C457">
        <v>636</v>
      </c>
    </row>
    <row r="458" spans="1:3">
      <c r="A458">
        <v>474</v>
      </c>
      <c r="C458">
        <v>516</v>
      </c>
    </row>
    <row r="459" spans="1:3">
      <c r="A459">
        <v>474</v>
      </c>
      <c r="C459">
        <v>584</v>
      </c>
    </row>
    <row r="460" spans="1:3">
      <c r="A460">
        <v>474</v>
      </c>
      <c r="C460">
        <v>638</v>
      </c>
    </row>
    <row r="461" spans="1:3">
      <c r="A461">
        <v>475</v>
      </c>
      <c r="C461">
        <v>518</v>
      </c>
    </row>
    <row r="462" spans="1:3">
      <c r="A462">
        <v>475</v>
      </c>
      <c r="C462">
        <v>585</v>
      </c>
    </row>
    <row r="463" spans="1:3">
      <c r="A463">
        <v>475</v>
      </c>
      <c r="C463">
        <v>640</v>
      </c>
    </row>
    <row r="464" spans="1:3">
      <c r="A464">
        <v>476</v>
      </c>
      <c r="C464">
        <v>324</v>
      </c>
    </row>
    <row r="465" spans="1:3">
      <c r="A465">
        <v>476</v>
      </c>
      <c r="C465">
        <v>404</v>
      </c>
    </row>
    <row r="466" spans="1:3">
      <c r="A466">
        <v>476</v>
      </c>
      <c r="C466">
        <v>355</v>
      </c>
    </row>
    <row r="467" spans="1:3">
      <c r="A467">
        <v>477</v>
      </c>
      <c r="C467">
        <v>403</v>
      </c>
    </row>
    <row r="468" spans="1:3">
      <c r="A468">
        <v>477</v>
      </c>
      <c r="C468">
        <v>323</v>
      </c>
    </row>
    <row r="469" spans="1:3">
      <c r="A469">
        <v>477</v>
      </c>
      <c r="C469">
        <v>353</v>
      </c>
    </row>
    <row r="470" spans="1:3">
      <c r="A470">
        <v>478</v>
      </c>
      <c r="C470">
        <v>497</v>
      </c>
    </row>
    <row r="471" spans="1:3">
      <c r="A471">
        <v>478</v>
      </c>
      <c r="C471">
        <v>568</v>
      </c>
    </row>
    <row r="472" spans="1:3">
      <c r="A472">
        <v>478</v>
      </c>
      <c r="C472">
        <v>622</v>
      </c>
    </row>
    <row r="473" spans="1:3">
      <c r="A473">
        <v>479</v>
      </c>
      <c r="C473">
        <v>441</v>
      </c>
    </row>
    <row r="474" spans="1:3">
      <c r="A474">
        <v>479</v>
      </c>
      <c r="C474">
        <v>390</v>
      </c>
    </row>
    <row r="475" spans="1:3">
      <c r="A475">
        <v>479</v>
      </c>
      <c r="C475">
        <v>198</v>
      </c>
    </row>
    <row r="476" spans="1:3">
      <c r="A476">
        <v>480</v>
      </c>
      <c r="C476">
        <v>689</v>
      </c>
    </row>
    <row r="477" spans="1:3">
      <c r="A477">
        <v>480</v>
      </c>
      <c r="C477">
        <v>515</v>
      </c>
    </row>
    <row r="478" spans="1:3">
      <c r="A478">
        <v>480</v>
      </c>
      <c r="C478">
        <v>457</v>
      </c>
    </row>
    <row r="479" spans="1:3">
      <c r="A479">
        <v>481</v>
      </c>
      <c r="C479">
        <v>427</v>
      </c>
    </row>
    <row r="480" spans="1:3">
      <c r="A480">
        <v>481</v>
      </c>
      <c r="C480">
        <v>374</v>
      </c>
    </row>
    <row r="481" spans="1:3">
      <c r="A481">
        <v>481</v>
      </c>
      <c r="C481">
        <v>196</v>
      </c>
    </row>
    <row r="482" spans="1:3">
      <c r="A482">
        <v>482</v>
      </c>
      <c r="C482">
        <v>321</v>
      </c>
    </row>
    <row r="483" spans="1:3">
      <c r="A483">
        <v>482</v>
      </c>
      <c r="C483">
        <v>427</v>
      </c>
    </row>
    <row r="484" spans="1:3">
      <c r="A484">
        <v>482</v>
      </c>
      <c r="C484">
        <v>176</v>
      </c>
    </row>
    <row r="485" spans="1:3">
      <c r="A485">
        <v>483</v>
      </c>
      <c r="C485">
        <v>691</v>
      </c>
    </row>
    <row r="486" spans="1:3">
      <c r="A486">
        <v>483</v>
      </c>
      <c r="C486">
        <v>531</v>
      </c>
    </row>
    <row r="487" spans="1:3">
      <c r="A487">
        <v>483</v>
      </c>
      <c r="C487">
        <v>459</v>
      </c>
    </row>
    <row r="488" spans="1:3">
      <c r="A488">
        <v>484</v>
      </c>
      <c r="C488">
        <v>427</v>
      </c>
    </row>
    <row r="489" spans="1:3">
      <c r="A489">
        <v>484</v>
      </c>
      <c r="C489">
        <v>374</v>
      </c>
    </row>
    <row r="490" spans="1:3">
      <c r="A490">
        <v>484</v>
      </c>
      <c r="C490">
        <v>196</v>
      </c>
    </row>
    <row r="491" spans="1:3">
      <c r="A491">
        <v>485</v>
      </c>
      <c r="C491">
        <v>321</v>
      </c>
    </row>
    <row r="492" spans="1:3">
      <c r="A492">
        <v>485</v>
      </c>
      <c r="C492">
        <v>427</v>
      </c>
    </row>
    <row r="493" spans="1:3">
      <c r="A493">
        <v>485</v>
      </c>
      <c r="C493">
        <v>176</v>
      </c>
    </row>
    <row r="494" spans="1:3">
      <c r="A494">
        <v>486</v>
      </c>
      <c r="C494">
        <v>689</v>
      </c>
    </row>
    <row r="495" spans="1:3">
      <c r="A495">
        <v>486</v>
      </c>
      <c r="C495">
        <v>515</v>
      </c>
    </row>
    <row r="496" spans="1:3">
      <c r="A496">
        <v>486</v>
      </c>
      <c r="C496">
        <v>457</v>
      </c>
    </row>
    <row r="497" spans="1:3">
      <c r="A497">
        <v>487</v>
      </c>
      <c r="C497">
        <v>331</v>
      </c>
    </row>
    <row r="498" spans="1:3">
      <c r="A498">
        <v>487</v>
      </c>
      <c r="C498">
        <v>337</v>
      </c>
    </row>
    <row r="499" spans="1:3">
      <c r="A499">
        <v>487</v>
      </c>
      <c r="C499">
        <v>324</v>
      </c>
    </row>
    <row r="500" spans="1:3">
      <c r="A500">
        <v>488</v>
      </c>
      <c r="C500">
        <v>312</v>
      </c>
    </row>
    <row r="501" spans="1:3">
      <c r="A501">
        <v>488</v>
      </c>
      <c r="C501">
        <v>318</v>
      </c>
    </row>
    <row r="502" spans="1:3">
      <c r="A502">
        <v>488</v>
      </c>
      <c r="C502">
        <v>305</v>
      </c>
    </row>
    <row r="503" spans="1:3">
      <c r="A503">
        <v>489</v>
      </c>
      <c r="C503">
        <v>612</v>
      </c>
    </row>
    <row r="504" spans="1:3">
      <c r="A504">
        <v>489</v>
      </c>
      <c r="C504">
        <v>619</v>
      </c>
    </row>
    <row r="505" spans="1:3">
      <c r="A505">
        <v>489</v>
      </c>
      <c r="C505">
        <v>606</v>
      </c>
    </row>
    <row r="506" spans="1:3">
      <c r="A506">
        <v>490</v>
      </c>
      <c r="C506">
        <v>593</v>
      </c>
    </row>
    <row r="507" spans="1:3">
      <c r="A507">
        <v>490</v>
      </c>
      <c r="C507">
        <v>600</v>
      </c>
    </row>
    <row r="508" spans="1:3">
      <c r="A508">
        <v>490</v>
      </c>
      <c r="C508">
        <v>587</v>
      </c>
    </row>
    <row r="509" spans="1:3">
      <c r="A509">
        <v>491</v>
      </c>
      <c r="C509">
        <v>254</v>
      </c>
    </row>
    <row r="510" spans="1:3">
      <c r="A510">
        <v>491</v>
      </c>
      <c r="C510">
        <v>420</v>
      </c>
    </row>
    <row r="511" spans="1:3">
      <c r="A511">
        <v>491</v>
      </c>
      <c r="C511">
        <v>248</v>
      </c>
    </row>
    <row r="512" spans="1:3">
      <c r="A512">
        <v>492</v>
      </c>
      <c r="C512">
        <v>17</v>
      </c>
    </row>
    <row r="513" spans="1:3">
      <c r="A513">
        <v>492</v>
      </c>
      <c r="C513">
        <v>14</v>
      </c>
    </row>
    <row r="514" spans="1:3">
      <c r="A514">
        <v>492</v>
      </c>
      <c r="C514">
        <v>16</v>
      </c>
    </row>
    <row r="515" spans="1:3">
      <c r="A515">
        <v>493</v>
      </c>
      <c r="C515">
        <v>41</v>
      </c>
    </row>
    <row r="516" spans="1:3">
      <c r="A516">
        <v>493</v>
      </c>
      <c r="C516">
        <v>24</v>
      </c>
    </row>
    <row r="517" spans="1:3">
      <c r="A517">
        <v>493</v>
      </c>
      <c r="C517">
        <v>28</v>
      </c>
    </row>
    <row r="518" spans="1:3">
      <c r="A518">
        <v>494</v>
      </c>
      <c r="C518">
        <v>49</v>
      </c>
    </row>
    <row r="519" spans="1:3">
      <c r="A519">
        <v>494</v>
      </c>
      <c r="C519">
        <v>12</v>
      </c>
    </row>
    <row r="520" spans="1:3">
      <c r="A520">
        <v>494</v>
      </c>
      <c r="C520">
        <v>4</v>
      </c>
    </row>
    <row r="521" spans="1:3">
      <c r="A521">
        <v>495</v>
      </c>
      <c r="C521">
        <v>49</v>
      </c>
    </row>
    <row r="522" spans="1:3">
      <c r="A522">
        <v>495</v>
      </c>
      <c r="C522">
        <v>35</v>
      </c>
    </row>
    <row r="523" spans="1:3">
      <c r="A523">
        <v>495</v>
      </c>
      <c r="C523">
        <v>25</v>
      </c>
    </row>
    <row r="524" spans="1:3">
      <c r="A524">
        <v>496</v>
      </c>
      <c r="C524">
        <v>30</v>
      </c>
    </row>
    <row r="525" spans="1:3">
      <c r="A525">
        <v>496</v>
      </c>
      <c r="C525">
        <v>25</v>
      </c>
    </row>
    <row r="526" spans="1:3">
      <c r="A526">
        <v>496</v>
      </c>
      <c r="C526">
        <v>44</v>
      </c>
    </row>
    <row r="527" spans="1:3">
      <c r="A527">
        <v>497</v>
      </c>
      <c r="C527">
        <v>336</v>
      </c>
    </row>
    <row r="528" spans="1:3">
      <c r="A528">
        <v>497</v>
      </c>
      <c r="C528">
        <v>364</v>
      </c>
    </row>
    <row r="529" spans="1:3">
      <c r="A529">
        <v>497</v>
      </c>
      <c r="C529">
        <v>273</v>
      </c>
    </row>
    <row r="530" spans="1:3">
      <c r="A530">
        <v>504</v>
      </c>
      <c r="C530">
        <v>392</v>
      </c>
    </row>
    <row r="531" spans="1:3">
      <c r="A531">
        <v>504</v>
      </c>
      <c r="C531">
        <v>372</v>
      </c>
    </row>
    <row r="532" spans="1:3">
      <c r="A532">
        <v>504</v>
      </c>
      <c r="C532">
        <v>320</v>
      </c>
    </row>
    <row r="533" spans="1:3">
      <c r="A533">
        <v>505</v>
      </c>
      <c r="C533">
        <v>388</v>
      </c>
    </row>
    <row r="534" spans="1:3">
      <c r="A534">
        <v>505</v>
      </c>
      <c r="C534">
        <v>299</v>
      </c>
    </row>
    <row r="535" spans="1:3">
      <c r="A535">
        <v>505</v>
      </c>
      <c r="C535">
        <v>283</v>
      </c>
    </row>
    <row r="536" spans="1:3">
      <c r="A536">
        <v>506</v>
      </c>
      <c r="C536">
        <v>316</v>
      </c>
    </row>
    <row r="537" spans="1:3">
      <c r="A537">
        <v>506</v>
      </c>
      <c r="C537">
        <v>390</v>
      </c>
    </row>
    <row r="538" spans="1:3">
      <c r="A538">
        <v>506</v>
      </c>
      <c r="C538">
        <v>121</v>
      </c>
    </row>
    <row r="539" spans="1:3">
      <c r="A539">
        <v>507</v>
      </c>
      <c r="C539">
        <v>673</v>
      </c>
    </row>
    <row r="540" spans="1:3">
      <c r="A540">
        <v>507</v>
      </c>
      <c r="C540">
        <v>542</v>
      </c>
    </row>
    <row r="541" spans="1:3">
      <c r="A541">
        <v>508</v>
      </c>
      <c r="C541">
        <v>681</v>
      </c>
    </row>
    <row r="542" spans="1:3">
      <c r="A542">
        <v>508</v>
      </c>
      <c r="C542">
        <v>550</v>
      </c>
    </row>
    <row r="543" spans="1:3">
      <c r="A543">
        <v>509</v>
      </c>
      <c r="C543">
        <v>689</v>
      </c>
    </row>
    <row r="544" spans="1:3">
      <c r="A544">
        <v>509</v>
      </c>
      <c r="C544">
        <v>558</v>
      </c>
    </row>
    <row r="545" spans="1:3">
      <c r="A545">
        <v>510</v>
      </c>
      <c r="C545">
        <v>406</v>
      </c>
    </row>
    <row r="546" spans="1:3">
      <c r="A546">
        <v>510</v>
      </c>
      <c r="C546">
        <v>316</v>
      </c>
    </row>
    <row r="547" spans="1:3">
      <c r="A547">
        <v>511</v>
      </c>
      <c r="C547">
        <v>390</v>
      </c>
    </row>
    <row r="548" spans="1:3">
      <c r="A548">
        <v>511</v>
      </c>
      <c r="C548">
        <v>350</v>
      </c>
    </row>
    <row r="549" spans="1:3">
      <c r="A549">
        <v>512</v>
      </c>
      <c r="C549">
        <v>334</v>
      </c>
    </row>
    <row r="550" spans="1:3">
      <c r="A550">
        <v>512</v>
      </c>
      <c r="C550">
        <v>281</v>
      </c>
    </row>
    <row r="551" spans="1:3">
      <c r="A551">
        <v>513</v>
      </c>
      <c r="C551">
        <v>640</v>
      </c>
    </row>
    <row r="552" spans="1:3">
      <c r="A552">
        <v>513</v>
      </c>
      <c r="C552">
        <v>724</v>
      </c>
    </row>
    <row r="553" spans="1:3">
      <c r="A553">
        <v>514</v>
      </c>
      <c r="C553">
        <v>267</v>
      </c>
    </row>
    <row r="554" spans="1:3">
      <c r="A554">
        <v>514</v>
      </c>
      <c r="C554">
        <v>318</v>
      </c>
    </row>
    <row r="555" spans="1:3">
      <c r="A555">
        <v>514</v>
      </c>
      <c r="C555">
        <v>212</v>
      </c>
    </row>
    <row r="556" spans="1:3">
      <c r="A556">
        <v>515</v>
      </c>
      <c r="C556">
        <v>268</v>
      </c>
    </row>
    <row r="557" spans="1:3">
      <c r="A557">
        <v>515</v>
      </c>
      <c r="C557">
        <v>320</v>
      </c>
    </row>
    <row r="558" spans="1:3">
      <c r="A558">
        <v>515</v>
      </c>
      <c r="C558">
        <v>214</v>
      </c>
    </row>
    <row r="559" spans="1:3">
      <c r="A559">
        <v>516</v>
      </c>
      <c r="C559">
        <v>270</v>
      </c>
    </row>
    <row r="560" spans="1:3">
      <c r="A560">
        <v>516</v>
      </c>
      <c r="C560">
        <v>321</v>
      </c>
    </row>
    <row r="561" spans="1:3">
      <c r="A561">
        <v>516</v>
      </c>
      <c r="C561">
        <v>216</v>
      </c>
    </row>
    <row r="562" spans="1:3">
      <c r="A562">
        <v>517</v>
      </c>
      <c r="C562">
        <v>272</v>
      </c>
    </row>
    <row r="563" spans="1:3">
      <c r="A563">
        <v>517</v>
      </c>
      <c r="C563">
        <v>323</v>
      </c>
    </row>
    <row r="564" spans="1:3">
      <c r="A564">
        <v>517</v>
      </c>
      <c r="C564">
        <v>217</v>
      </c>
    </row>
    <row r="565" spans="1:3">
      <c r="A565">
        <v>518</v>
      </c>
      <c r="C565">
        <v>273</v>
      </c>
    </row>
    <row r="566" spans="1:3">
      <c r="A566">
        <v>518</v>
      </c>
      <c r="C566">
        <v>324</v>
      </c>
    </row>
    <row r="567" spans="1:3">
      <c r="A567">
        <v>518</v>
      </c>
      <c r="C567">
        <v>219</v>
      </c>
    </row>
    <row r="568" spans="1:3">
      <c r="A568">
        <v>519</v>
      </c>
      <c r="C568">
        <v>275</v>
      </c>
    </row>
    <row r="569" spans="1:3">
      <c r="A569">
        <v>519</v>
      </c>
      <c r="C569">
        <v>326</v>
      </c>
    </row>
    <row r="570" spans="1:3">
      <c r="A570">
        <v>519</v>
      </c>
      <c r="C570">
        <v>220</v>
      </c>
    </row>
    <row r="571" spans="1:3">
      <c r="A571">
        <v>520</v>
      </c>
      <c r="C571">
        <v>276</v>
      </c>
    </row>
    <row r="572" spans="1:3">
      <c r="A572">
        <v>520</v>
      </c>
      <c r="C572">
        <v>328</v>
      </c>
    </row>
    <row r="573" spans="1:3">
      <c r="A573">
        <v>520</v>
      </c>
      <c r="C573">
        <v>222</v>
      </c>
    </row>
    <row r="574" spans="1:3">
      <c r="A574">
        <v>521</v>
      </c>
      <c r="C574">
        <v>278</v>
      </c>
    </row>
    <row r="575" spans="1:3">
      <c r="A575">
        <v>521</v>
      </c>
      <c r="C575">
        <v>329</v>
      </c>
    </row>
    <row r="576" spans="1:3">
      <c r="A576">
        <v>521</v>
      </c>
      <c r="C576">
        <v>224</v>
      </c>
    </row>
    <row r="577" spans="1:3">
      <c r="A577">
        <v>522</v>
      </c>
      <c r="C577">
        <v>280</v>
      </c>
    </row>
    <row r="578" spans="1:3">
      <c r="A578">
        <v>522</v>
      </c>
      <c r="C578">
        <v>331</v>
      </c>
    </row>
    <row r="579" spans="1:3">
      <c r="A579">
        <v>522</v>
      </c>
      <c r="C579">
        <v>225</v>
      </c>
    </row>
    <row r="580" spans="1:3">
      <c r="A580">
        <v>523</v>
      </c>
      <c r="C580">
        <v>164</v>
      </c>
    </row>
    <row r="581" spans="1:3">
      <c r="A581">
        <v>523</v>
      </c>
      <c r="C581">
        <v>209</v>
      </c>
    </row>
    <row r="582" spans="1:3">
      <c r="A582">
        <v>523</v>
      </c>
      <c r="C582">
        <v>139</v>
      </c>
    </row>
    <row r="583" spans="1:3">
      <c r="A583">
        <v>524</v>
      </c>
      <c r="C583">
        <v>124</v>
      </c>
    </row>
    <row r="584" spans="1:3">
      <c r="A584">
        <v>524</v>
      </c>
      <c r="C584">
        <v>228</v>
      </c>
    </row>
    <row r="585" spans="1:3">
      <c r="A585">
        <v>524</v>
      </c>
      <c r="C585">
        <v>107</v>
      </c>
    </row>
    <row r="586" spans="1:3">
      <c r="A586">
        <v>525</v>
      </c>
      <c r="C586">
        <v>644</v>
      </c>
    </row>
    <row r="587" spans="1:3">
      <c r="A587">
        <v>525</v>
      </c>
      <c r="C587">
        <v>619</v>
      </c>
    </row>
    <row r="588" spans="1:3">
      <c r="A588">
        <v>526</v>
      </c>
      <c r="C588">
        <v>587</v>
      </c>
    </row>
    <row r="589" spans="1:3">
      <c r="A589">
        <v>526</v>
      </c>
      <c r="C589">
        <v>624</v>
      </c>
    </row>
    <row r="590" spans="1:3">
      <c r="A590">
        <v>527</v>
      </c>
      <c r="C590">
        <v>888</v>
      </c>
    </row>
    <row r="591" spans="1:3">
      <c r="A591">
        <v>527</v>
      </c>
      <c r="C591">
        <v>702</v>
      </c>
    </row>
    <row r="592" spans="1:3">
      <c r="A592">
        <v>528</v>
      </c>
      <c r="C592">
        <v>924</v>
      </c>
    </row>
    <row r="593" spans="1:3">
      <c r="A593">
        <v>528</v>
      </c>
      <c r="C593">
        <v>729</v>
      </c>
    </row>
    <row r="594" spans="1:3">
      <c r="A594">
        <v>529</v>
      </c>
      <c r="C594">
        <v>425</v>
      </c>
    </row>
    <row r="595" spans="1:3">
      <c r="A595">
        <v>529</v>
      </c>
      <c r="C595">
        <v>371</v>
      </c>
    </row>
    <row r="596" spans="1:3">
      <c r="A596">
        <v>530</v>
      </c>
      <c r="C596">
        <v>336</v>
      </c>
    </row>
    <row r="597" spans="1:3">
      <c r="A597">
        <v>530</v>
      </c>
      <c r="C597">
        <v>444</v>
      </c>
    </row>
    <row r="598" spans="1:3">
      <c r="A598">
        <v>531</v>
      </c>
      <c r="C598">
        <v>427</v>
      </c>
    </row>
    <row r="599" spans="1:3">
      <c r="A599">
        <v>531</v>
      </c>
      <c r="C599">
        <v>374</v>
      </c>
    </row>
    <row r="600" spans="1:3">
      <c r="A600">
        <v>532</v>
      </c>
      <c r="C600">
        <v>715</v>
      </c>
    </row>
    <row r="601" spans="1:3">
      <c r="A601">
        <v>532</v>
      </c>
      <c r="C601">
        <v>542</v>
      </c>
    </row>
    <row r="602" spans="1:3">
      <c r="A602">
        <v>533</v>
      </c>
      <c r="C602">
        <v>443</v>
      </c>
    </row>
    <row r="603" spans="1:3">
      <c r="A603">
        <v>533</v>
      </c>
      <c r="C603">
        <v>388</v>
      </c>
    </row>
    <row r="604" spans="1:3">
      <c r="A604">
        <v>534</v>
      </c>
      <c r="C604">
        <v>379</v>
      </c>
    </row>
    <row r="605" spans="1:3">
      <c r="A605">
        <v>534</v>
      </c>
      <c r="C605">
        <v>278</v>
      </c>
    </row>
    <row r="606" spans="1:3">
      <c r="A606">
        <v>535</v>
      </c>
      <c r="C606">
        <v>427</v>
      </c>
    </row>
    <row r="607" spans="1:3">
      <c r="A607">
        <v>535</v>
      </c>
      <c r="C607">
        <v>409</v>
      </c>
    </row>
    <row r="608" spans="1:3">
      <c r="A608">
        <v>679</v>
      </c>
      <c r="C608">
        <v>164</v>
      </c>
    </row>
    <row r="609" spans="1:3">
      <c r="A609">
        <v>679</v>
      </c>
      <c r="C609">
        <v>136</v>
      </c>
    </row>
    <row r="610" spans="1:3">
      <c r="A610">
        <v>679</v>
      </c>
      <c r="C610">
        <v>121</v>
      </c>
    </row>
    <row r="611" spans="1:3">
      <c r="A611">
        <v>707</v>
      </c>
      <c r="C611">
        <v>288</v>
      </c>
    </row>
    <row r="612" spans="1:3">
      <c r="A612">
        <v>708</v>
      </c>
      <c r="C612">
        <v>324</v>
      </c>
    </row>
    <row r="613" spans="1:3">
      <c r="A613">
        <v>709</v>
      </c>
      <c r="C613">
        <v>180</v>
      </c>
    </row>
    <row r="614" spans="1:3">
      <c r="A614">
        <v>710</v>
      </c>
      <c r="C614">
        <v>216</v>
      </c>
    </row>
    <row r="615" spans="1:3">
      <c r="A615">
        <v>711</v>
      </c>
      <c r="C615">
        <v>216</v>
      </c>
    </row>
    <row r="616" spans="1:3">
      <c r="A616">
        <v>712</v>
      </c>
      <c r="C616">
        <v>288</v>
      </c>
    </row>
    <row r="617" spans="1:3">
      <c r="A617">
        <v>713</v>
      </c>
      <c r="C617">
        <v>144</v>
      </c>
    </row>
    <row r="618" spans="1:3">
      <c r="A618">
        <v>714</v>
      </c>
      <c r="C618">
        <v>180</v>
      </c>
    </row>
    <row r="619" spans="1:3">
      <c r="A619">
        <v>715</v>
      </c>
      <c r="C619">
        <v>216</v>
      </c>
    </row>
    <row r="620" spans="1:3">
      <c r="A620">
        <v>716</v>
      </c>
      <c r="C620">
        <v>252</v>
      </c>
    </row>
    <row r="621" spans="1:3">
      <c r="A621">
        <v>747</v>
      </c>
      <c r="C621">
        <v>121</v>
      </c>
    </row>
    <row r="622" spans="1:3">
      <c r="A622">
        <v>747</v>
      </c>
      <c r="C622">
        <v>161</v>
      </c>
    </row>
    <row r="623" spans="1:3">
      <c r="A623">
        <v>747</v>
      </c>
      <c r="C623">
        <v>148</v>
      </c>
    </row>
    <row r="624" spans="1:3">
      <c r="A624">
        <v>747</v>
      </c>
      <c r="C624">
        <v>107</v>
      </c>
    </row>
    <row r="625" spans="1:3">
      <c r="A625">
        <v>747</v>
      </c>
      <c r="C625">
        <v>160</v>
      </c>
    </row>
    <row r="626" spans="1:3">
      <c r="A626">
        <v>747</v>
      </c>
      <c r="C626">
        <v>137</v>
      </c>
    </row>
    <row r="627" spans="1:3">
      <c r="A627">
        <v>748</v>
      </c>
      <c r="C627">
        <v>105</v>
      </c>
    </row>
    <row r="628" spans="1:3">
      <c r="A628">
        <v>748</v>
      </c>
      <c r="C628">
        <v>145</v>
      </c>
    </row>
    <row r="629" spans="1:3">
      <c r="A629">
        <v>748</v>
      </c>
      <c r="C629">
        <v>132</v>
      </c>
    </row>
    <row r="630" spans="1:3">
      <c r="A630">
        <v>748</v>
      </c>
      <c r="C630">
        <v>91</v>
      </c>
    </row>
    <row r="631" spans="1:3">
      <c r="A631">
        <v>748</v>
      </c>
      <c r="C631">
        <v>144</v>
      </c>
    </row>
    <row r="632" spans="1:3">
      <c r="A632">
        <v>748</v>
      </c>
      <c r="C632">
        <v>121</v>
      </c>
    </row>
    <row r="633" spans="1:3">
      <c r="A633">
        <v>749</v>
      </c>
      <c r="C633">
        <v>73</v>
      </c>
    </row>
    <row r="634" spans="1:3">
      <c r="A634">
        <v>749</v>
      </c>
      <c r="C634">
        <v>60</v>
      </c>
    </row>
    <row r="635" spans="1:3">
      <c r="A635">
        <v>750</v>
      </c>
      <c r="C635">
        <v>102</v>
      </c>
    </row>
    <row r="636" spans="1:3">
      <c r="A636">
        <v>750</v>
      </c>
      <c r="C636">
        <v>121</v>
      </c>
    </row>
    <row r="637" spans="1:3">
      <c r="A637">
        <v>751</v>
      </c>
      <c r="C637">
        <v>32</v>
      </c>
    </row>
    <row r="638" spans="1:3">
      <c r="A638">
        <v>751</v>
      </c>
      <c r="C638">
        <v>108</v>
      </c>
    </row>
    <row r="639" spans="1:3">
      <c r="A639">
        <v>752</v>
      </c>
      <c r="C639">
        <v>52</v>
      </c>
    </row>
    <row r="640" spans="1:3">
      <c r="A640">
        <v>752</v>
      </c>
      <c r="C640">
        <v>76</v>
      </c>
    </row>
    <row r="641" spans="1:3">
      <c r="A641">
        <v>753</v>
      </c>
      <c r="C641">
        <v>112</v>
      </c>
    </row>
    <row r="642" spans="1:3">
      <c r="A642">
        <v>753</v>
      </c>
      <c r="C642">
        <v>51</v>
      </c>
    </row>
    <row r="643" spans="1:3">
      <c r="A643">
        <v>754</v>
      </c>
      <c r="C643">
        <v>65</v>
      </c>
    </row>
    <row r="644" spans="1:3">
      <c r="A644">
        <v>754</v>
      </c>
      <c r="C644">
        <v>83</v>
      </c>
    </row>
    <row r="645" spans="1:3">
      <c r="A645">
        <v>755</v>
      </c>
      <c r="C645">
        <v>75</v>
      </c>
    </row>
    <row r="646" spans="1:3">
      <c r="A646">
        <v>755</v>
      </c>
      <c r="C646">
        <v>62</v>
      </c>
    </row>
    <row r="647" spans="1:3">
      <c r="A647">
        <v>756</v>
      </c>
      <c r="C647">
        <v>30</v>
      </c>
    </row>
    <row r="648" spans="1:3">
      <c r="A648">
        <v>756</v>
      </c>
      <c r="C648">
        <v>99</v>
      </c>
    </row>
    <row r="649" spans="1:3">
      <c r="A649">
        <v>757</v>
      </c>
      <c r="C649">
        <v>56</v>
      </c>
    </row>
    <row r="650" spans="1:3">
      <c r="A650">
        <v>757</v>
      </c>
      <c r="C650">
        <v>78</v>
      </c>
    </row>
    <row r="651" spans="1:3">
      <c r="A651">
        <v>758</v>
      </c>
      <c r="C651">
        <v>116</v>
      </c>
    </row>
    <row r="652" spans="1:3">
      <c r="A652">
        <v>758</v>
      </c>
      <c r="C652">
        <v>49</v>
      </c>
    </row>
    <row r="653" spans="1:3">
      <c r="A653">
        <v>759</v>
      </c>
      <c r="C653">
        <v>112</v>
      </c>
    </row>
    <row r="654" spans="1:3">
      <c r="A654">
        <v>759</v>
      </c>
      <c r="C654">
        <v>51</v>
      </c>
    </row>
    <row r="655" spans="1:3">
      <c r="A655">
        <v>760</v>
      </c>
      <c r="C655">
        <v>99</v>
      </c>
    </row>
    <row r="656" spans="1:3">
      <c r="A656">
        <v>760</v>
      </c>
      <c r="C656">
        <v>86</v>
      </c>
    </row>
    <row r="657" spans="1:3">
      <c r="A657">
        <v>761</v>
      </c>
      <c r="C657">
        <v>67</v>
      </c>
    </row>
    <row r="658" spans="1:3">
      <c r="A658">
        <v>761</v>
      </c>
      <c r="C658">
        <v>81</v>
      </c>
    </row>
    <row r="659" spans="1:3">
      <c r="A659">
        <v>762</v>
      </c>
      <c r="C659">
        <v>75</v>
      </c>
    </row>
    <row r="660" spans="1:3">
      <c r="A660">
        <v>762</v>
      </c>
      <c r="C660">
        <v>62</v>
      </c>
    </row>
    <row r="661" spans="1:3">
      <c r="A661">
        <v>763</v>
      </c>
      <c r="C661">
        <v>102</v>
      </c>
    </row>
    <row r="662" spans="1:3">
      <c r="A662">
        <v>763</v>
      </c>
      <c r="C662">
        <v>121</v>
      </c>
    </row>
    <row r="663" spans="1:3">
      <c r="A663">
        <v>764</v>
      </c>
      <c r="C663">
        <v>32</v>
      </c>
    </row>
    <row r="664" spans="1:3">
      <c r="A664">
        <v>764</v>
      </c>
      <c r="C664">
        <v>108</v>
      </c>
    </row>
    <row r="665" spans="1:3">
      <c r="A665">
        <v>765</v>
      </c>
      <c r="C665">
        <v>56</v>
      </c>
    </row>
    <row r="666" spans="1:3">
      <c r="A666">
        <v>765</v>
      </c>
      <c r="C666">
        <v>78</v>
      </c>
    </row>
    <row r="667" spans="1:3">
      <c r="A667">
        <v>766</v>
      </c>
      <c r="C667">
        <v>116</v>
      </c>
    </row>
    <row r="668" spans="1:3">
      <c r="A668">
        <v>766</v>
      </c>
      <c r="C668">
        <v>49</v>
      </c>
    </row>
    <row r="669" spans="1:3">
      <c r="A669">
        <v>767</v>
      </c>
      <c r="C669">
        <v>100</v>
      </c>
    </row>
    <row r="670" spans="1:3">
      <c r="A670">
        <v>767</v>
      </c>
      <c r="C670">
        <v>88</v>
      </c>
    </row>
    <row r="671" spans="1:3">
      <c r="A671">
        <v>768</v>
      </c>
      <c r="C671">
        <v>67</v>
      </c>
    </row>
    <row r="672" spans="1:3">
      <c r="A672">
        <v>768</v>
      </c>
      <c r="C672">
        <v>81</v>
      </c>
    </row>
    <row r="673" spans="1:3">
      <c r="A673">
        <v>769</v>
      </c>
      <c r="C673">
        <v>73</v>
      </c>
    </row>
    <row r="674" spans="1:3">
      <c r="A674">
        <v>769</v>
      </c>
      <c r="C674">
        <v>60</v>
      </c>
    </row>
    <row r="675" spans="1:3">
      <c r="A675">
        <v>770</v>
      </c>
      <c r="C675">
        <v>104</v>
      </c>
    </row>
    <row r="676" spans="1:3">
      <c r="A676">
        <v>770</v>
      </c>
      <c r="C676">
        <v>123</v>
      </c>
    </row>
    <row r="677" spans="1:3">
      <c r="A677">
        <v>771</v>
      </c>
      <c r="C677">
        <v>49</v>
      </c>
    </row>
    <row r="678" spans="1:3">
      <c r="A678">
        <v>771</v>
      </c>
      <c r="C678">
        <v>100</v>
      </c>
    </row>
    <row r="679" spans="1:3">
      <c r="A679">
        <v>772</v>
      </c>
      <c r="C679">
        <v>88</v>
      </c>
    </row>
    <row r="680" spans="1:3">
      <c r="A680">
        <v>772</v>
      </c>
      <c r="C680">
        <v>65</v>
      </c>
    </row>
    <row r="681" spans="1:3">
      <c r="A681">
        <v>773</v>
      </c>
      <c r="C681">
        <v>83</v>
      </c>
    </row>
    <row r="682" spans="1:3">
      <c r="A682">
        <v>773</v>
      </c>
      <c r="C682">
        <v>75</v>
      </c>
    </row>
    <row r="683" spans="1:3">
      <c r="A683">
        <v>774</v>
      </c>
      <c r="C683">
        <v>62</v>
      </c>
    </row>
    <row r="684" spans="1:3">
      <c r="A684">
        <v>774</v>
      </c>
      <c r="C684">
        <v>102</v>
      </c>
    </row>
    <row r="685" spans="1:3">
      <c r="A685">
        <v>775</v>
      </c>
      <c r="C685">
        <v>99</v>
      </c>
    </row>
    <row r="686" spans="1:3">
      <c r="A686">
        <v>775</v>
      </c>
      <c r="C686">
        <v>56</v>
      </c>
    </row>
    <row r="687" spans="1:3">
      <c r="A687">
        <v>776</v>
      </c>
      <c r="C687">
        <v>78</v>
      </c>
    </row>
    <row r="688" spans="1:3">
      <c r="A688">
        <v>776</v>
      </c>
      <c r="C688">
        <v>116</v>
      </c>
    </row>
    <row r="689" spans="1:3">
      <c r="A689">
        <v>777</v>
      </c>
      <c r="C689">
        <v>49</v>
      </c>
    </row>
    <row r="690" spans="1:3">
      <c r="A690">
        <v>777</v>
      </c>
      <c r="C690">
        <v>100</v>
      </c>
    </row>
    <row r="691" spans="1:3">
      <c r="A691">
        <v>778</v>
      </c>
      <c r="C691">
        <v>88</v>
      </c>
    </row>
    <row r="692" spans="1:3">
      <c r="A692">
        <v>778</v>
      </c>
      <c r="C692">
        <v>65</v>
      </c>
    </row>
    <row r="693" spans="1:3">
      <c r="A693">
        <v>779</v>
      </c>
      <c r="C693">
        <v>75</v>
      </c>
    </row>
    <row r="694" spans="1:3">
      <c r="A694">
        <v>779</v>
      </c>
      <c r="C694">
        <v>62</v>
      </c>
    </row>
    <row r="695" spans="1:3">
      <c r="A695">
        <v>780</v>
      </c>
      <c r="C695">
        <v>102</v>
      </c>
    </row>
    <row r="696" spans="1:3">
      <c r="A696">
        <v>780</v>
      </c>
      <c r="C696">
        <v>121</v>
      </c>
    </row>
    <row r="697" spans="1:3">
      <c r="A697">
        <v>781</v>
      </c>
      <c r="C697">
        <v>32</v>
      </c>
    </row>
    <row r="698" spans="1:3">
      <c r="A698">
        <v>781</v>
      </c>
      <c r="C698">
        <v>108</v>
      </c>
    </row>
    <row r="699" spans="1:3">
      <c r="A699">
        <v>782</v>
      </c>
      <c r="C699">
        <v>100</v>
      </c>
    </row>
    <row r="700" spans="1:3">
      <c r="A700">
        <v>782</v>
      </c>
      <c r="C700">
        <v>88</v>
      </c>
    </row>
    <row r="701" spans="1:3">
      <c r="A701">
        <v>783</v>
      </c>
      <c r="C701">
        <v>65</v>
      </c>
    </row>
    <row r="702" spans="1:3">
      <c r="A702">
        <v>783</v>
      </c>
      <c r="C702">
        <v>83</v>
      </c>
    </row>
    <row r="703" spans="1:3">
      <c r="A703">
        <v>784</v>
      </c>
      <c r="C703">
        <v>75</v>
      </c>
    </row>
    <row r="704" spans="1:3">
      <c r="A704">
        <v>784</v>
      </c>
      <c r="C704">
        <v>62</v>
      </c>
    </row>
    <row r="705" spans="1:3">
      <c r="A705">
        <v>785</v>
      </c>
      <c r="C705">
        <v>75</v>
      </c>
    </row>
    <row r="706" spans="1:3">
      <c r="A706">
        <v>785</v>
      </c>
      <c r="C706">
        <v>62</v>
      </c>
    </row>
    <row r="707" spans="1:3">
      <c r="A707">
        <v>786</v>
      </c>
      <c r="C707">
        <v>102</v>
      </c>
    </row>
    <row r="708" spans="1:3">
      <c r="A708">
        <v>786</v>
      </c>
      <c r="C708">
        <v>121</v>
      </c>
    </row>
    <row r="709" spans="1:3">
      <c r="A709">
        <v>787</v>
      </c>
      <c r="C709">
        <v>32</v>
      </c>
    </row>
    <row r="710" spans="1:3">
      <c r="A710">
        <v>787</v>
      </c>
      <c r="C710">
        <v>108</v>
      </c>
    </row>
    <row r="711" spans="1:3">
      <c r="A711">
        <v>788</v>
      </c>
      <c r="C711">
        <v>52</v>
      </c>
    </row>
    <row r="712" spans="1:3">
      <c r="A712">
        <v>788</v>
      </c>
      <c r="C712">
        <v>76</v>
      </c>
    </row>
    <row r="713" spans="1:3">
      <c r="A713">
        <v>789</v>
      </c>
      <c r="C713">
        <v>112</v>
      </c>
    </row>
    <row r="714" spans="1:3">
      <c r="A714">
        <v>789</v>
      </c>
      <c r="C714">
        <v>51</v>
      </c>
    </row>
    <row r="715" spans="1:3">
      <c r="A715">
        <v>790</v>
      </c>
      <c r="C715">
        <v>99</v>
      </c>
    </row>
    <row r="716" spans="1:3">
      <c r="A716">
        <v>790</v>
      </c>
      <c r="C716">
        <v>86</v>
      </c>
    </row>
    <row r="717" spans="1:3">
      <c r="A717">
        <v>791</v>
      </c>
      <c r="C717">
        <v>67</v>
      </c>
    </row>
    <row r="718" spans="1:3">
      <c r="A718">
        <v>791</v>
      </c>
      <c r="C718">
        <v>81</v>
      </c>
    </row>
    <row r="719" spans="1:3">
      <c r="A719">
        <v>792</v>
      </c>
      <c r="C719">
        <v>104</v>
      </c>
    </row>
    <row r="720" spans="1:3">
      <c r="A720">
        <v>792</v>
      </c>
      <c r="C720">
        <v>123</v>
      </c>
    </row>
    <row r="721" spans="1:3">
      <c r="A721">
        <v>793</v>
      </c>
      <c r="C721">
        <v>56</v>
      </c>
    </row>
    <row r="722" spans="1:3">
      <c r="A722">
        <v>793</v>
      </c>
      <c r="C722">
        <v>78</v>
      </c>
    </row>
    <row r="723" spans="1:3">
      <c r="A723">
        <v>794</v>
      </c>
      <c r="C723">
        <v>116</v>
      </c>
    </row>
    <row r="724" spans="1:3">
      <c r="A724">
        <v>794</v>
      </c>
      <c r="C724">
        <v>49</v>
      </c>
    </row>
    <row r="725" spans="1:3">
      <c r="A725">
        <v>795</v>
      </c>
      <c r="C725">
        <v>100</v>
      </c>
    </row>
    <row r="726" spans="1:3">
      <c r="A726">
        <v>795</v>
      </c>
      <c r="C726">
        <v>88</v>
      </c>
    </row>
    <row r="727" spans="1:3">
      <c r="A727">
        <v>796</v>
      </c>
      <c r="C727">
        <v>65</v>
      </c>
    </row>
    <row r="728" spans="1:3">
      <c r="A728">
        <v>796</v>
      </c>
      <c r="C728">
        <v>83</v>
      </c>
    </row>
    <row r="729" spans="1:3">
      <c r="A729">
        <v>797</v>
      </c>
      <c r="C729">
        <v>67</v>
      </c>
    </row>
    <row r="730" spans="1:3">
      <c r="A730">
        <v>797</v>
      </c>
      <c r="C730">
        <v>81</v>
      </c>
    </row>
    <row r="731" spans="1:3">
      <c r="A731">
        <v>798</v>
      </c>
      <c r="C731">
        <v>73</v>
      </c>
    </row>
    <row r="732" spans="1:3">
      <c r="A732">
        <v>798</v>
      </c>
      <c r="C732">
        <v>60</v>
      </c>
    </row>
    <row r="733" spans="1:3">
      <c r="A733">
        <v>799</v>
      </c>
      <c r="C733">
        <v>104</v>
      </c>
    </row>
    <row r="734" spans="1:3">
      <c r="A734">
        <v>799</v>
      </c>
      <c r="C734">
        <v>123</v>
      </c>
    </row>
    <row r="735" spans="1:3">
      <c r="A735">
        <v>800</v>
      </c>
      <c r="C735">
        <v>30</v>
      </c>
    </row>
    <row r="736" spans="1:3">
      <c r="A736">
        <v>800</v>
      </c>
      <c r="C736">
        <v>99</v>
      </c>
    </row>
    <row r="737" spans="1:3">
      <c r="A737">
        <v>801</v>
      </c>
      <c r="C737">
        <v>56</v>
      </c>
    </row>
    <row r="738" spans="1:3">
      <c r="A738">
        <v>801</v>
      </c>
      <c r="C738">
        <v>78</v>
      </c>
    </row>
    <row r="739" spans="1:3">
      <c r="A739">
        <v>802</v>
      </c>
      <c r="C739">
        <v>350</v>
      </c>
    </row>
    <row r="740" spans="1:3">
      <c r="A740">
        <v>802</v>
      </c>
      <c r="C740">
        <v>240</v>
      </c>
    </row>
    <row r="741" spans="1:3">
      <c r="A741">
        <v>802</v>
      </c>
      <c r="C741">
        <v>273</v>
      </c>
    </row>
    <row r="742" spans="1:3">
      <c r="A742">
        <v>803</v>
      </c>
      <c r="C742">
        <v>356</v>
      </c>
    </row>
    <row r="743" spans="1:3">
      <c r="A743">
        <v>803</v>
      </c>
      <c r="C743">
        <v>246</v>
      </c>
    </row>
    <row r="744" spans="1:3">
      <c r="A744">
        <v>803</v>
      </c>
      <c r="C744">
        <v>280</v>
      </c>
    </row>
    <row r="745" spans="1:3">
      <c r="A745">
        <v>804</v>
      </c>
      <c r="C745">
        <v>363</v>
      </c>
    </row>
    <row r="746" spans="1:3">
      <c r="A746">
        <v>804</v>
      </c>
      <c r="C746">
        <v>252</v>
      </c>
    </row>
    <row r="747" spans="1:3">
      <c r="A747">
        <v>804</v>
      </c>
      <c r="C747">
        <v>286</v>
      </c>
    </row>
    <row r="748" spans="1:3">
      <c r="A748">
        <v>805</v>
      </c>
      <c r="C748">
        <v>284</v>
      </c>
    </row>
    <row r="749" spans="1:3">
      <c r="A749">
        <v>805</v>
      </c>
      <c r="C749">
        <v>265</v>
      </c>
    </row>
    <row r="750" spans="1:3">
      <c r="A750">
        <v>805</v>
      </c>
      <c r="C750">
        <v>212</v>
      </c>
    </row>
    <row r="751" spans="1:3">
      <c r="A751">
        <v>806</v>
      </c>
      <c r="C751">
        <v>288</v>
      </c>
    </row>
    <row r="752" spans="1:3">
      <c r="A752">
        <v>806</v>
      </c>
      <c r="C752">
        <v>268</v>
      </c>
    </row>
    <row r="753" spans="1:3">
      <c r="A753">
        <v>806</v>
      </c>
      <c r="C753">
        <v>216</v>
      </c>
    </row>
    <row r="754" spans="1:3">
      <c r="A754">
        <v>807</v>
      </c>
      <c r="C754">
        <v>291</v>
      </c>
    </row>
    <row r="755" spans="1:3">
      <c r="A755">
        <v>807</v>
      </c>
      <c r="C755">
        <v>272</v>
      </c>
    </row>
    <row r="756" spans="1:3">
      <c r="A756">
        <v>807</v>
      </c>
      <c r="C756">
        <v>219</v>
      </c>
    </row>
    <row r="757" spans="1:3">
      <c r="A757">
        <v>808</v>
      </c>
      <c r="C757">
        <v>267</v>
      </c>
    </row>
    <row r="758" spans="1:3">
      <c r="A758">
        <v>808</v>
      </c>
      <c r="C758">
        <v>276</v>
      </c>
    </row>
    <row r="759" spans="1:3">
      <c r="A759">
        <v>808</v>
      </c>
      <c r="C759">
        <v>316</v>
      </c>
    </row>
    <row r="760" spans="1:3">
      <c r="A760">
        <v>809</v>
      </c>
      <c r="C760">
        <v>264</v>
      </c>
    </row>
    <row r="761" spans="1:3">
      <c r="A761">
        <v>809</v>
      </c>
      <c r="C761">
        <v>273</v>
      </c>
    </row>
    <row r="762" spans="1:3">
      <c r="A762">
        <v>809</v>
      </c>
      <c r="C762">
        <v>313</v>
      </c>
    </row>
    <row r="763" spans="1:3">
      <c r="A763">
        <v>810</v>
      </c>
      <c r="C763">
        <v>260</v>
      </c>
    </row>
    <row r="764" spans="1:3">
      <c r="A764">
        <v>810</v>
      </c>
      <c r="C764">
        <v>270</v>
      </c>
    </row>
    <row r="765" spans="1:3">
      <c r="A765">
        <v>810</v>
      </c>
      <c r="C765">
        <v>310</v>
      </c>
    </row>
    <row r="766" spans="1:3">
      <c r="A766">
        <v>811</v>
      </c>
      <c r="C766">
        <v>257</v>
      </c>
    </row>
    <row r="767" spans="1:3">
      <c r="A767">
        <v>811</v>
      </c>
      <c r="C767">
        <v>267</v>
      </c>
    </row>
    <row r="768" spans="1:3">
      <c r="A768">
        <v>811</v>
      </c>
      <c r="C768">
        <v>307</v>
      </c>
    </row>
    <row r="769" spans="1:3">
      <c r="A769">
        <v>812</v>
      </c>
      <c r="C769">
        <v>254</v>
      </c>
    </row>
    <row r="770" spans="1:3">
      <c r="A770">
        <v>812</v>
      </c>
      <c r="C770">
        <v>264</v>
      </c>
    </row>
    <row r="771" spans="1:3">
      <c r="A771">
        <v>812</v>
      </c>
      <c r="C771">
        <v>304</v>
      </c>
    </row>
    <row r="772" spans="1:3">
      <c r="A772">
        <v>813</v>
      </c>
      <c r="C772">
        <v>251</v>
      </c>
    </row>
    <row r="773" spans="1:3">
      <c r="A773">
        <v>813</v>
      </c>
      <c r="C773">
        <v>260</v>
      </c>
    </row>
    <row r="774" spans="1:3">
      <c r="A774">
        <v>813</v>
      </c>
      <c r="C774">
        <v>300</v>
      </c>
    </row>
    <row r="775" spans="1:3">
      <c r="A775">
        <v>814</v>
      </c>
      <c r="C775">
        <v>110</v>
      </c>
    </row>
    <row r="776" spans="1:3">
      <c r="A776">
        <v>814</v>
      </c>
      <c r="C776">
        <v>150</v>
      </c>
    </row>
    <row r="777" spans="1:3">
      <c r="A777">
        <v>814</v>
      </c>
      <c r="C777">
        <v>137</v>
      </c>
    </row>
    <row r="778" spans="1:3">
      <c r="A778">
        <v>814</v>
      </c>
      <c r="C778">
        <v>96</v>
      </c>
    </row>
    <row r="779" spans="1:3">
      <c r="A779">
        <v>814</v>
      </c>
      <c r="C779">
        <v>148</v>
      </c>
    </row>
    <row r="780" spans="1:3">
      <c r="A780">
        <v>814</v>
      </c>
      <c r="C780">
        <v>126</v>
      </c>
    </row>
    <row r="781" spans="1:3">
      <c r="A781">
        <v>815</v>
      </c>
      <c r="C781">
        <v>265</v>
      </c>
    </row>
    <row r="782" spans="1:3">
      <c r="A782">
        <v>815</v>
      </c>
      <c r="C782">
        <v>457</v>
      </c>
    </row>
    <row r="783" spans="1:3">
      <c r="A783">
        <v>816</v>
      </c>
      <c r="C783">
        <v>406</v>
      </c>
    </row>
    <row r="784" spans="1:3">
      <c r="A784">
        <v>816</v>
      </c>
      <c r="C784">
        <v>412</v>
      </c>
    </row>
    <row r="785" spans="1:3">
      <c r="A785">
        <v>817</v>
      </c>
      <c r="C785">
        <v>443</v>
      </c>
    </row>
    <row r="786" spans="1:3">
      <c r="A786">
        <v>817</v>
      </c>
      <c r="C786">
        <v>388</v>
      </c>
    </row>
    <row r="787" spans="1:3">
      <c r="A787">
        <v>818</v>
      </c>
      <c r="C787">
        <v>428</v>
      </c>
    </row>
    <row r="788" spans="1:3">
      <c r="A788">
        <v>818</v>
      </c>
      <c r="C788">
        <v>460</v>
      </c>
    </row>
    <row r="789" spans="1:3">
      <c r="A789">
        <v>819</v>
      </c>
      <c r="C789">
        <v>409</v>
      </c>
    </row>
    <row r="790" spans="1:3">
      <c r="A790">
        <v>819</v>
      </c>
      <c r="C790">
        <v>384</v>
      </c>
    </row>
    <row r="791" spans="1:3">
      <c r="A791">
        <v>820</v>
      </c>
      <c r="C791">
        <v>446</v>
      </c>
    </row>
    <row r="792" spans="1:3">
      <c r="A792">
        <v>820</v>
      </c>
      <c r="C792">
        <v>232</v>
      </c>
    </row>
    <row r="793" spans="1:3">
      <c r="A793">
        <v>821</v>
      </c>
      <c r="C793">
        <v>432</v>
      </c>
    </row>
    <row r="794" spans="1:3">
      <c r="A794">
        <v>821</v>
      </c>
      <c r="C794">
        <v>304</v>
      </c>
    </row>
    <row r="795" spans="1:3">
      <c r="A795">
        <v>822</v>
      </c>
      <c r="C795">
        <v>115</v>
      </c>
    </row>
    <row r="796" spans="1:3">
      <c r="A796">
        <v>822</v>
      </c>
      <c r="C796">
        <v>155</v>
      </c>
    </row>
    <row r="797" spans="1:3">
      <c r="A797">
        <v>822</v>
      </c>
      <c r="C797">
        <v>142</v>
      </c>
    </row>
    <row r="798" spans="1:3">
      <c r="A798">
        <v>822</v>
      </c>
      <c r="C798">
        <v>100</v>
      </c>
    </row>
    <row r="799" spans="1:3">
      <c r="A799">
        <v>822</v>
      </c>
      <c r="C799">
        <v>153</v>
      </c>
    </row>
    <row r="800" spans="1:3">
      <c r="A800">
        <v>822</v>
      </c>
      <c r="C800">
        <v>131</v>
      </c>
    </row>
    <row r="801" spans="1:3">
      <c r="A801">
        <v>823</v>
      </c>
      <c r="C801">
        <v>425</v>
      </c>
    </row>
    <row r="802" spans="1:3">
      <c r="A802">
        <v>823</v>
      </c>
      <c r="C802">
        <v>256</v>
      </c>
    </row>
    <row r="803" spans="1:3">
      <c r="A803">
        <v>824</v>
      </c>
      <c r="C803">
        <v>411</v>
      </c>
    </row>
    <row r="804" spans="1:3">
      <c r="A804">
        <v>824</v>
      </c>
      <c r="C804">
        <v>401</v>
      </c>
    </row>
    <row r="805" spans="1:3">
      <c r="A805">
        <v>825</v>
      </c>
      <c r="C805">
        <v>396</v>
      </c>
    </row>
    <row r="806" spans="1:3">
      <c r="A806">
        <v>825</v>
      </c>
      <c r="C806">
        <v>387</v>
      </c>
    </row>
    <row r="807" spans="1:3">
      <c r="A807">
        <v>826</v>
      </c>
      <c r="C807">
        <v>393</v>
      </c>
    </row>
    <row r="808" spans="1:3">
      <c r="A808">
        <v>826</v>
      </c>
      <c r="C808">
        <v>406</v>
      </c>
    </row>
    <row r="809" spans="1:3">
      <c r="A809">
        <v>827</v>
      </c>
      <c r="C809">
        <v>412</v>
      </c>
    </row>
    <row r="810" spans="1:3">
      <c r="A810">
        <v>827</v>
      </c>
      <c r="C810">
        <v>425</v>
      </c>
    </row>
    <row r="811" spans="1:3">
      <c r="A811">
        <v>828</v>
      </c>
      <c r="C811">
        <v>432</v>
      </c>
    </row>
    <row r="812" spans="1:3">
      <c r="A812">
        <v>828</v>
      </c>
      <c r="C812">
        <v>284</v>
      </c>
    </row>
    <row r="813" spans="1:3">
      <c r="A813">
        <v>829</v>
      </c>
      <c r="C813">
        <v>265</v>
      </c>
    </row>
    <row r="814" spans="1:3">
      <c r="A814">
        <v>829</v>
      </c>
      <c r="C814">
        <v>476</v>
      </c>
    </row>
    <row r="815" spans="1:3">
      <c r="A815">
        <v>841</v>
      </c>
      <c r="C815">
        <v>288</v>
      </c>
    </row>
    <row r="816" spans="1:3">
      <c r="A816">
        <v>842</v>
      </c>
      <c r="C816">
        <v>72</v>
      </c>
    </row>
    <row r="817" spans="1:3">
      <c r="A817">
        <v>843</v>
      </c>
      <c r="C817">
        <v>252</v>
      </c>
    </row>
    <row r="818" spans="1:3">
      <c r="A818">
        <v>844</v>
      </c>
      <c r="C818">
        <v>288</v>
      </c>
    </row>
    <row r="819" spans="1:3">
      <c r="A819">
        <v>845</v>
      </c>
      <c r="C819">
        <v>324</v>
      </c>
    </row>
    <row r="820" spans="1:3">
      <c r="A820">
        <v>846</v>
      </c>
      <c r="C820">
        <v>144</v>
      </c>
    </row>
    <row r="821" spans="1:3">
      <c r="A821">
        <v>847</v>
      </c>
      <c r="C821">
        <v>180</v>
      </c>
    </row>
    <row r="822" spans="1:3">
      <c r="A822">
        <v>848</v>
      </c>
      <c r="C822">
        <v>216</v>
      </c>
    </row>
    <row r="823" spans="1:3">
      <c r="A823">
        <v>849</v>
      </c>
      <c r="C823">
        <v>108</v>
      </c>
    </row>
    <row r="824" spans="1:3">
      <c r="A824">
        <v>850</v>
      </c>
      <c r="C824">
        <v>144</v>
      </c>
    </row>
    <row r="825" spans="1:3">
      <c r="A825">
        <v>851</v>
      </c>
      <c r="C825">
        <v>180</v>
      </c>
    </row>
    <row r="826" spans="1:3">
      <c r="A826">
        <v>852</v>
      </c>
      <c r="C826">
        <v>324</v>
      </c>
    </row>
    <row r="827" spans="1:3">
      <c r="A827">
        <v>853</v>
      </c>
      <c r="C827">
        <v>0</v>
      </c>
    </row>
    <row r="828" spans="1:3">
      <c r="A828">
        <v>854</v>
      </c>
      <c r="C828">
        <v>36</v>
      </c>
    </row>
    <row r="829" spans="1:3">
      <c r="A829">
        <v>855</v>
      </c>
      <c r="C829">
        <v>72</v>
      </c>
    </row>
    <row r="830" spans="1:3">
      <c r="A830">
        <v>856</v>
      </c>
      <c r="C830">
        <v>108</v>
      </c>
    </row>
    <row r="831" spans="1:3">
      <c r="A831">
        <v>857</v>
      </c>
      <c r="C831">
        <v>144</v>
      </c>
    </row>
    <row r="832" spans="1:3">
      <c r="A832">
        <v>858</v>
      </c>
      <c r="C832">
        <v>324</v>
      </c>
    </row>
    <row r="833" spans="1:3">
      <c r="A833">
        <v>859</v>
      </c>
      <c r="C833">
        <v>0</v>
      </c>
    </row>
    <row r="834" spans="1:3">
      <c r="A834">
        <v>860</v>
      </c>
      <c r="C834">
        <v>36</v>
      </c>
    </row>
    <row r="835" spans="1:3">
      <c r="A835">
        <v>861</v>
      </c>
      <c r="C835">
        <v>72</v>
      </c>
    </row>
    <row r="836" spans="1:3">
      <c r="A836">
        <v>862</v>
      </c>
      <c r="C836">
        <v>108</v>
      </c>
    </row>
    <row r="837" spans="1:3">
      <c r="A837">
        <v>863</v>
      </c>
      <c r="C837">
        <v>144</v>
      </c>
    </row>
    <row r="838" spans="1:3">
      <c r="A838">
        <v>864</v>
      </c>
      <c r="C838">
        <v>180</v>
      </c>
    </row>
    <row r="839" spans="1:3">
      <c r="A839">
        <v>865</v>
      </c>
      <c r="C839">
        <v>216</v>
      </c>
    </row>
    <row r="840" spans="1:3">
      <c r="A840">
        <v>866</v>
      </c>
      <c r="C840">
        <v>252</v>
      </c>
    </row>
    <row r="841" spans="1:3">
      <c r="A841">
        <v>867</v>
      </c>
      <c r="C841">
        <v>216</v>
      </c>
    </row>
    <row r="842" spans="1:3">
      <c r="A842">
        <v>868</v>
      </c>
      <c r="C842">
        <v>252</v>
      </c>
    </row>
    <row r="843" spans="1:3">
      <c r="A843">
        <v>869</v>
      </c>
      <c r="C843">
        <v>288</v>
      </c>
    </row>
    <row r="844" spans="1:3">
      <c r="A844">
        <v>870</v>
      </c>
      <c r="C844">
        <v>252</v>
      </c>
    </row>
    <row r="845" spans="1:3">
      <c r="A845">
        <v>871</v>
      </c>
      <c r="C845">
        <v>288</v>
      </c>
    </row>
    <row r="846" spans="1:3">
      <c r="A846">
        <v>872</v>
      </c>
      <c r="C846">
        <v>324</v>
      </c>
    </row>
    <row r="847" spans="1:3">
      <c r="A847">
        <v>873</v>
      </c>
      <c r="C847">
        <v>180</v>
      </c>
    </row>
    <row r="848" spans="1:3">
      <c r="A848">
        <v>874</v>
      </c>
      <c r="C848">
        <v>252</v>
      </c>
    </row>
    <row r="849" spans="1:3">
      <c r="A849">
        <v>875</v>
      </c>
      <c r="C849">
        <v>288</v>
      </c>
    </row>
    <row r="850" spans="1:3">
      <c r="A850">
        <v>876</v>
      </c>
      <c r="C850">
        <v>0</v>
      </c>
    </row>
    <row r="851" spans="1:3">
      <c r="A851">
        <v>877</v>
      </c>
      <c r="C851">
        <v>36</v>
      </c>
    </row>
    <row r="852" spans="1:3">
      <c r="A852">
        <v>878</v>
      </c>
      <c r="C852">
        <v>108</v>
      </c>
    </row>
    <row r="853" spans="1:3">
      <c r="A853">
        <v>879</v>
      </c>
      <c r="C853">
        <v>144</v>
      </c>
    </row>
    <row r="854" spans="1:3">
      <c r="A854">
        <v>880</v>
      </c>
      <c r="C854">
        <v>108</v>
      </c>
    </row>
    <row r="855" spans="1:3">
      <c r="A855">
        <v>881</v>
      </c>
      <c r="C855">
        <v>324</v>
      </c>
    </row>
    <row r="856" spans="1:3">
      <c r="A856">
        <v>882</v>
      </c>
      <c r="C856">
        <v>0</v>
      </c>
    </row>
    <row r="857" spans="1:3">
      <c r="A857">
        <v>883</v>
      </c>
      <c r="C857">
        <v>36</v>
      </c>
    </row>
    <row r="858" spans="1:3">
      <c r="A858">
        <v>884</v>
      </c>
      <c r="C858">
        <v>72</v>
      </c>
    </row>
    <row r="859" spans="1:3">
      <c r="A859">
        <v>894</v>
      </c>
      <c r="C859">
        <v>337</v>
      </c>
    </row>
    <row r="860" spans="1:3">
      <c r="A860">
        <v>894</v>
      </c>
      <c r="C860">
        <v>355</v>
      </c>
    </row>
    <row r="861" spans="1:3">
      <c r="A861">
        <v>894</v>
      </c>
      <c r="C861">
        <v>155</v>
      </c>
    </row>
    <row r="862" spans="1:3">
      <c r="A862">
        <v>907</v>
      </c>
      <c r="C862">
        <v>337</v>
      </c>
    </row>
    <row r="863" spans="1:3">
      <c r="A863">
        <v>907</v>
      </c>
      <c r="C863">
        <v>228</v>
      </c>
    </row>
    <row r="864" spans="1:3">
      <c r="A864">
        <v>907</v>
      </c>
      <c r="C864">
        <v>158</v>
      </c>
    </row>
    <row r="865" spans="1:3">
      <c r="A865">
        <v>908</v>
      </c>
      <c r="C865">
        <v>400</v>
      </c>
    </row>
    <row r="866" spans="1:3">
      <c r="A866">
        <v>908</v>
      </c>
      <c r="C866">
        <v>214</v>
      </c>
    </row>
    <row r="867" spans="1:3">
      <c r="A867">
        <v>908</v>
      </c>
      <c r="C867">
        <v>195</v>
      </c>
    </row>
    <row r="868" spans="1:3">
      <c r="A868">
        <v>909</v>
      </c>
      <c r="C868">
        <v>230</v>
      </c>
    </row>
    <row r="869" spans="1:3">
      <c r="A869">
        <v>909</v>
      </c>
      <c r="C869">
        <v>72</v>
      </c>
    </row>
    <row r="870" spans="1:3">
      <c r="A870">
        <v>909</v>
      </c>
      <c r="C870">
        <v>120</v>
      </c>
    </row>
    <row r="871" spans="1:3">
      <c r="A871">
        <v>910</v>
      </c>
      <c r="C871">
        <v>91</v>
      </c>
    </row>
    <row r="872" spans="1:3">
      <c r="A872">
        <v>910</v>
      </c>
      <c r="C872">
        <v>168</v>
      </c>
    </row>
    <row r="873" spans="1:3">
      <c r="A873">
        <v>910</v>
      </c>
      <c r="C873">
        <v>96</v>
      </c>
    </row>
    <row r="874" spans="1:3">
      <c r="A874">
        <v>911</v>
      </c>
      <c r="C874">
        <v>283</v>
      </c>
    </row>
    <row r="875" spans="1:3">
      <c r="A875">
        <v>911</v>
      </c>
      <c r="C875">
        <v>321</v>
      </c>
    </row>
    <row r="876" spans="1:3">
      <c r="A876">
        <v>911</v>
      </c>
      <c r="C876">
        <v>302</v>
      </c>
    </row>
    <row r="877" spans="1:3">
      <c r="A877">
        <v>912</v>
      </c>
      <c r="C877">
        <v>302</v>
      </c>
    </row>
    <row r="878" spans="1:3">
      <c r="A878">
        <v>912</v>
      </c>
      <c r="C878">
        <v>353</v>
      </c>
    </row>
    <row r="879" spans="1:3">
      <c r="A879">
        <v>912</v>
      </c>
      <c r="C879">
        <v>246</v>
      </c>
    </row>
    <row r="880" spans="1:3">
      <c r="A880">
        <v>913</v>
      </c>
      <c r="C880">
        <v>169</v>
      </c>
    </row>
    <row r="881" spans="1:3">
      <c r="A881">
        <v>913</v>
      </c>
      <c r="C881">
        <v>145</v>
      </c>
    </row>
    <row r="882" spans="1:3">
      <c r="A882">
        <v>913</v>
      </c>
      <c r="C882">
        <v>153</v>
      </c>
    </row>
    <row r="883" spans="1:3">
      <c r="A883">
        <v>914</v>
      </c>
      <c r="C883">
        <v>248</v>
      </c>
    </row>
    <row r="884" spans="1:3">
      <c r="A884">
        <v>914</v>
      </c>
      <c r="C884">
        <v>171</v>
      </c>
    </row>
    <row r="885" spans="1:3">
      <c r="A885">
        <v>914</v>
      </c>
      <c r="C885">
        <v>382</v>
      </c>
    </row>
    <row r="886" spans="1:3">
      <c r="A886">
        <v>915</v>
      </c>
      <c r="C886">
        <v>161</v>
      </c>
    </row>
    <row r="887" spans="1:3">
      <c r="A887">
        <v>915</v>
      </c>
      <c r="C887">
        <v>83</v>
      </c>
    </row>
    <row r="888" spans="1:3">
      <c r="A888">
        <v>915</v>
      </c>
      <c r="C888">
        <v>158</v>
      </c>
    </row>
    <row r="889" spans="1:3">
      <c r="A889">
        <v>916</v>
      </c>
      <c r="C889">
        <v>425</v>
      </c>
    </row>
    <row r="890" spans="1:3">
      <c r="A890">
        <v>916</v>
      </c>
      <c r="C890">
        <v>288</v>
      </c>
    </row>
    <row r="891" spans="1:3">
      <c r="A891">
        <v>916</v>
      </c>
      <c r="C891">
        <v>276</v>
      </c>
    </row>
    <row r="892" spans="1:3">
      <c r="A892">
        <v>921</v>
      </c>
      <c r="C892">
        <v>286</v>
      </c>
    </row>
    <row r="893" spans="1:3">
      <c r="A893">
        <v>921</v>
      </c>
      <c r="C893">
        <v>243</v>
      </c>
    </row>
    <row r="894" spans="1:3">
      <c r="A894">
        <v>922</v>
      </c>
      <c r="C894">
        <v>264</v>
      </c>
    </row>
    <row r="895" spans="1:3">
      <c r="A895">
        <v>922</v>
      </c>
      <c r="C895">
        <v>241</v>
      </c>
    </row>
    <row r="896" spans="1:3">
      <c r="A896">
        <v>923</v>
      </c>
      <c r="C896">
        <v>262</v>
      </c>
    </row>
    <row r="897" spans="1:3">
      <c r="A897">
        <v>923</v>
      </c>
      <c r="C897">
        <v>240</v>
      </c>
    </row>
    <row r="898" spans="1:3">
      <c r="A898">
        <v>928</v>
      </c>
      <c r="C898">
        <v>240</v>
      </c>
    </row>
    <row r="899" spans="1:3">
      <c r="A899">
        <v>928</v>
      </c>
      <c r="C899">
        <v>369</v>
      </c>
    </row>
    <row r="900" spans="1:3">
      <c r="A900">
        <v>929</v>
      </c>
      <c r="C900">
        <v>385</v>
      </c>
    </row>
    <row r="901" spans="1:3">
      <c r="A901">
        <v>929</v>
      </c>
      <c r="C901">
        <v>284</v>
      </c>
    </row>
    <row r="902" spans="1:3">
      <c r="A902">
        <v>930</v>
      </c>
      <c r="C902">
        <v>267</v>
      </c>
    </row>
    <row r="903" spans="1:3">
      <c r="A903">
        <v>930</v>
      </c>
      <c r="C903">
        <v>232</v>
      </c>
    </row>
    <row r="904" spans="1:3">
      <c r="A904">
        <v>931</v>
      </c>
      <c r="C904">
        <v>236</v>
      </c>
    </row>
    <row r="905" spans="1:3">
      <c r="A905">
        <v>931</v>
      </c>
      <c r="C905">
        <v>252</v>
      </c>
    </row>
    <row r="906" spans="1:3">
      <c r="A906">
        <v>932</v>
      </c>
      <c r="C906">
        <v>382</v>
      </c>
    </row>
    <row r="907" spans="1:3">
      <c r="A907">
        <v>932</v>
      </c>
      <c r="C907">
        <v>192</v>
      </c>
    </row>
    <row r="908" spans="1:3">
      <c r="A908">
        <v>933</v>
      </c>
      <c r="C908">
        <v>299</v>
      </c>
    </row>
    <row r="909" spans="1:3">
      <c r="A909">
        <v>933</v>
      </c>
      <c r="C909">
        <v>228</v>
      </c>
    </row>
    <row r="910" spans="1:3">
      <c r="A910">
        <v>934</v>
      </c>
      <c r="C910">
        <v>233</v>
      </c>
    </row>
    <row r="911" spans="1:3">
      <c r="A911">
        <v>934</v>
      </c>
      <c r="C911">
        <v>249</v>
      </c>
    </row>
    <row r="912" spans="1:3">
      <c r="A912">
        <v>935</v>
      </c>
      <c r="C912">
        <v>174</v>
      </c>
    </row>
    <row r="913" spans="1:3">
      <c r="A913">
        <v>935</v>
      </c>
      <c r="C913">
        <v>182</v>
      </c>
    </row>
    <row r="914" spans="1:3">
      <c r="A914">
        <v>935</v>
      </c>
      <c r="C914">
        <v>156</v>
      </c>
    </row>
    <row r="915" spans="1:3">
      <c r="A915">
        <v>936</v>
      </c>
      <c r="C915">
        <v>172</v>
      </c>
    </row>
    <row r="916" spans="1:3">
      <c r="A916">
        <v>936</v>
      </c>
      <c r="C916">
        <v>180</v>
      </c>
    </row>
    <row r="917" spans="1:3">
      <c r="A917">
        <v>936</v>
      </c>
      <c r="C917">
        <v>155</v>
      </c>
    </row>
    <row r="918" spans="1:3">
      <c r="A918">
        <v>937</v>
      </c>
      <c r="C918">
        <v>171</v>
      </c>
    </row>
    <row r="919" spans="1:3">
      <c r="A919">
        <v>937</v>
      </c>
      <c r="C919">
        <v>179</v>
      </c>
    </row>
    <row r="920" spans="1:3">
      <c r="A920">
        <v>937</v>
      </c>
      <c r="C920">
        <v>153</v>
      </c>
    </row>
    <row r="921" spans="1:3">
      <c r="A921">
        <v>938</v>
      </c>
      <c r="C921">
        <v>169</v>
      </c>
    </row>
    <row r="922" spans="1:3">
      <c r="A922">
        <v>938</v>
      </c>
      <c r="C922">
        <v>177</v>
      </c>
    </row>
    <row r="923" spans="1:3">
      <c r="A923">
        <v>938</v>
      </c>
      <c r="C923">
        <v>152</v>
      </c>
    </row>
    <row r="924" spans="1:3">
      <c r="A924">
        <v>939</v>
      </c>
      <c r="C924">
        <v>168</v>
      </c>
    </row>
    <row r="925" spans="1:3">
      <c r="A925">
        <v>939</v>
      </c>
      <c r="C925">
        <v>176</v>
      </c>
    </row>
    <row r="926" spans="1:3">
      <c r="A926">
        <v>939</v>
      </c>
      <c r="C926">
        <v>150</v>
      </c>
    </row>
    <row r="927" spans="1:3">
      <c r="A927">
        <v>940</v>
      </c>
      <c r="C927">
        <v>316</v>
      </c>
    </row>
    <row r="928" spans="1:3">
      <c r="A928">
        <v>940</v>
      </c>
      <c r="C928">
        <v>267</v>
      </c>
    </row>
    <row r="929" spans="1:3">
      <c r="A929">
        <v>940</v>
      </c>
      <c r="C929">
        <v>323</v>
      </c>
    </row>
    <row r="930" spans="1:3">
      <c r="A930">
        <v>941</v>
      </c>
      <c r="C930">
        <v>235</v>
      </c>
    </row>
    <row r="931" spans="1:3">
      <c r="A931">
        <v>941</v>
      </c>
      <c r="C931">
        <v>262</v>
      </c>
    </row>
    <row r="932" spans="1:3">
      <c r="A932">
        <v>941</v>
      </c>
      <c r="C932">
        <v>388</v>
      </c>
    </row>
    <row r="933" spans="1:3">
      <c r="A933">
        <v>942</v>
      </c>
      <c r="C933">
        <v>120</v>
      </c>
    </row>
    <row r="934" spans="1:3">
      <c r="A934">
        <v>942</v>
      </c>
      <c r="C934">
        <v>160</v>
      </c>
    </row>
    <row r="935" spans="1:3">
      <c r="A935">
        <v>942</v>
      </c>
      <c r="C935">
        <v>147</v>
      </c>
    </row>
    <row r="936" spans="1:3">
      <c r="A936">
        <v>942</v>
      </c>
      <c r="C936">
        <v>105</v>
      </c>
    </row>
    <row r="937" spans="1:3">
      <c r="A937">
        <v>942</v>
      </c>
      <c r="C937">
        <v>158</v>
      </c>
    </row>
    <row r="938" spans="1:3">
      <c r="A938">
        <v>942</v>
      </c>
      <c r="C938">
        <v>136</v>
      </c>
    </row>
    <row r="939" spans="1:3">
      <c r="A939">
        <v>943</v>
      </c>
      <c r="C939">
        <v>102</v>
      </c>
    </row>
    <row r="940" spans="1:3">
      <c r="A940">
        <v>943</v>
      </c>
      <c r="C940">
        <v>142</v>
      </c>
    </row>
    <row r="941" spans="1:3">
      <c r="A941">
        <v>943</v>
      </c>
      <c r="C941">
        <v>129</v>
      </c>
    </row>
    <row r="942" spans="1:3">
      <c r="A942">
        <v>943</v>
      </c>
      <c r="C942">
        <v>88</v>
      </c>
    </row>
    <row r="943" spans="1:3">
      <c r="A943">
        <v>943</v>
      </c>
      <c r="C943">
        <v>140</v>
      </c>
    </row>
    <row r="944" spans="1:3">
      <c r="A944">
        <v>943</v>
      </c>
      <c r="C944">
        <v>118</v>
      </c>
    </row>
    <row r="945" spans="1:3">
      <c r="A945">
        <v>944</v>
      </c>
      <c r="C945">
        <v>112</v>
      </c>
    </row>
    <row r="946" spans="1:3">
      <c r="A946">
        <v>944</v>
      </c>
      <c r="C946">
        <v>96</v>
      </c>
    </row>
    <row r="947" spans="1:3">
      <c r="A947">
        <v>944</v>
      </c>
      <c r="C947">
        <v>123</v>
      </c>
    </row>
    <row r="948" spans="1:3">
      <c r="A948">
        <v>944</v>
      </c>
      <c r="C948">
        <v>136</v>
      </c>
    </row>
    <row r="949" spans="1:3">
      <c r="A949">
        <v>944</v>
      </c>
      <c r="C949">
        <v>81</v>
      </c>
    </row>
    <row r="950" spans="1:3">
      <c r="A950">
        <v>944</v>
      </c>
      <c r="C950">
        <v>134</v>
      </c>
    </row>
    <row r="951" spans="1:3">
      <c r="A951">
        <v>945</v>
      </c>
      <c r="C951">
        <v>347</v>
      </c>
    </row>
    <row r="952" spans="1:3">
      <c r="A952">
        <v>945</v>
      </c>
      <c r="C952">
        <v>236</v>
      </c>
    </row>
    <row r="953" spans="1:3">
      <c r="A953">
        <v>945</v>
      </c>
      <c r="C953">
        <v>270</v>
      </c>
    </row>
    <row r="954" spans="1:3">
      <c r="A954">
        <v>946</v>
      </c>
      <c r="C954">
        <v>248</v>
      </c>
    </row>
    <row r="955" spans="1:3">
      <c r="A955">
        <v>946</v>
      </c>
      <c r="C955">
        <v>257</v>
      </c>
    </row>
    <row r="956" spans="1:3">
      <c r="A956">
        <v>946</v>
      </c>
      <c r="C956">
        <v>297</v>
      </c>
    </row>
    <row r="957" spans="1:3">
      <c r="A957">
        <v>947</v>
      </c>
      <c r="C957">
        <v>244</v>
      </c>
    </row>
    <row r="958" spans="1:3">
      <c r="A958">
        <v>947</v>
      </c>
      <c r="C958">
        <v>254</v>
      </c>
    </row>
    <row r="959" spans="1:3">
      <c r="A959">
        <v>947</v>
      </c>
      <c r="C959">
        <v>294</v>
      </c>
    </row>
    <row r="960" spans="1:3">
      <c r="A960">
        <v>948</v>
      </c>
      <c r="C960">
        <v>347</v>
      </c>
    </row>
    <row r="961" spans="1:3">
      <c r="A961">
        <v>948</v>
      </c>
      <c r="C961">
        <v>420</v>
      </c>
    </row>
    <row r="962" spans="1:3">
      <c r="A962">
        <v>949</v>
      </c>
      <c r="C962">
        <v>265</v>
      </c>
    </row>
    <row r="963" spans="1:3">
      <c r="A963">
        <v>949</v>
      </c>
      <c r="C963">
        <v>336</v>
      </c>
    </row>
    <row r="964" spans="1:3">
      <c r="A964">
        <v>949</v>
      </c>
      <c r="C964">
        <v>284</v>
      </c>
    </row>
    <row r="965" spans="1:3">
      <c r="A965">
        <v>950</v>
      </c>
      <c r="C965">
        <v>272</v>
      </c>
    </row>
    <row r="966" spans="1:3">
      <c r="A966">
        <v>950</v>
      </c>
      <c r="C966">
        <v>342</v>
      </c>
    </row>
    <row r="967" spans="1:3">
      <c r="A967">
        <v>950</v>
      </c>
      <c r="C967">
        <v>291</v>
      </c>
    </row>
    <row r="968" spans="1:3">
      <c r="A968">
        <v>951</v>
      </c>
      <c r="C968">
        <v>278</v>
      </c>
    </row>
    <row r="969" spans="1:3">
      <c r="A969">
        <v>951</v>
      </c>
      <c r="C969">
        <v>348</v>
      </c>
    </row>
    <row r="970" spans="1:3">
      <c r="A970">
        <v>951</v>
      </c>
      <c r="C970">
        <v>297</v>
      </c>
    </row>
    <row r="971" spans="1:3">
      <c r="A971">
        <v>952</v>
      </c>
      <c r="C971">
        <v>236</v>
      </c>
    </row>
    <row r="972" spans="1:3">
      <c r="A972">
        <v>952</v>
      </c>
      <c r="C972">
        <v>192</v>
      </c>
    </row>
    <row r="973" spans="1:3">
      <c r="A973">
        <v>952</v>
      </c>
      <c r="C973">
        <v>161</v>
      </c>
    </row>
    <row r="974" spans="1:3">
      <c r="A974">
        <v>953</v>
      </c>
      <c r="C974">
        <v>116</v>
      </c>
    </row>
    <row r="975" spans="1:3">
      <c r="A975">
        <v>953</v>
      </c>
      <c r="C975">
        <v>49</v>
      </c>
    </row>
    <row r="976" spans="1:3">
      <c r="A976">
        <v>954</v>
      </c>
      <c r="C976">
        <v>65</v>
      </c>
    </row>
    <row r="977" spans="1:3">
      <c r="A977">
        <v>954</v>
      </c>
      <c r="C977">
        <v>83</v>
      </c>
    </row>
    <row r="978" spans="1:3">
      <c r="A978">
        <v>955</v>
      </c>
      <c r="C978">
        <v>75</v>
      </c>
    </row>
    <row r="979" spans="1:3">
      <c r="A979">
        <v>955</v>
      </c>
      <c r="C979">
        <v>62</v>
      </c>
    </row>
    <row r="980" spans="1:3">
      <c r="A980">
        <v>956</v>
      </c>
      <c r="C980">
        <v>35</v>
      </c>
    </row>
    <row r="981" spans="1:3">
      <c r="A981">
        <v>956</v>
      </c>
      <c r="C981">
        <v>40</v>
      </c>
    </row>
    <row r="982" spans="1:3">
      <c r="A982">
        <v>957</v>
      </c>
      <c r="C982">
        <v>51</v>
      </c>
    </row>
    <row r="983" spans="1:3">
      <c r="A983">
        <v>957</v>
      </c>
      <c r="C983">
        <v>100</v>
      </c>
    </row>
    <row r="984" spans="1:3">
      <c r="A984">
        <v>958</v>
      </c>
      <c r="C984">
        <v>128</v>
      </c>
    </row>
    <row r="985" spans="1:3">
      <c r="A985">
        <v>958</v>
      </c>
      <c r="C985">
        <v>35</v>
      </c>
    </row>
    <row r="986" spans="1:3">
      <c r="A986">
        <v>959</v>
      </c>
      <c r="C986">
        <v>83</v>
      </c>
    </row>
    <row r="987" spans="1:3">
      <c r="A987">
        <v>959</v>
      </c>
      <c r="C987">
        <v>121</v>
      </c>
    </row>
    <row r="988" spans="1:3">
      <c r="A988">
        <v>960</v>
      </c>
      <c r="C988">
        <v>54</v>
      </c>
    </row>
    <row r="989" spans="1:3">
      <c r="A989">
        <v>960</v>
      </c>
      <c r="C989">
        <v>105</v>
      </c>
    </row>
    <row r="990" spans="1:3">
      <c r="A990">
        <v>961</v>
      </c>
      <c r="C990">
        <v>88</v>
      </c>
    </row>
    <row r="991" spans="1:3">
      <c r="A991">
        <v>961</v>
      </c>
      <c r="C991">
        <v>80</v>
      </c>
    </row>
    <row r="992" spans="1:3">
      <c r="A992">
        <v>962</v>
      </c>
      <c r="C992">
        <v>67</v>
      </c>
    </row>
    <row r="993" spans="1:3">
      <c r="A993">
        <v>962</v>
      </c>
      <c r="C993">
        <v>107</v>
      </c>
    </row>
    <row r="994" spans="1:3">
      <c r="A994">
        <v>963</v>
      </c>
      <c r="C994">
        <v>126</v>
      </c>
    </row>
    <row r="995" spans="1:3">
      <c r="A995">
        <v>963</v>
      </c>
      <c r="C995">
        <v>36</v>
      </c>
    </row>
    <row r="996" spans="1:3">
      <c r="A996">
        <v>964</v>
      </c>
      <c r="C996">
        <v>81</v>
      </c>
    </row>
    <row r="997" spans="1:3">
      <c r="A997">
        <v>964</v>
      </c>
      <c r="C997">
        <v>116</v>
      </c>
    </row>
    <row r="998" spans="1:3">
      <c r="A998">
        <v>965</v>
      </c>
      <c r="C998">
        <v>91</v>
      </c>
    </row>
    <row r="999" spans="1:3">
      <c r="A999">
        <v>965</v>
      </c>
      <c r="C999">
        <v>72</v>
      </c>
    </row>
    <row r="1000" spans="1:3">
      <c r="A1000">
        <v>966</v>
      </c>
      <c r="C1000">
        <v>99</v>
      </c>
    </row>
    <row r="1001" spans="1:3">
      <c r="A1001">
        <v>966</v>
      </c>
      <c r="C1001">
        <v>86</v>
      </c>
    </row>
    <row r="1002" spans="1:3">
      <c r="A1002">
        <v>967</v>
      </c>
      <c r="C1002">
        <v>67</v>
      </c>
    </row>
    <row r="1003" spans="1:3">
      <c r="A1003">
        <v>967</v>
      </c>
      <c r="C1003">
        <v>81</v>
      </c>
    </row>
    <row r="1004" spans="1:3">
      <c r="A1004">
        <v>968</v>
      </c>
      <c r="C1004">
        <v>73</v>
      </c>
    </row>
    <row r="1005" spans="1:3">
      <c r="A1005">
        <v>968</v>
      </c>
      <c r="C1005">
        <v>60</v>
      </c>
    </row>
    <row r="1006" spans="1:3">
      <c r="A1006">
        <v>969</v>
      </c>
      <c r="C1006">
        <v>30</v>
      </c>
    </row>
    <row r="1007" spans="1:3">
      <c r="A1007">
        <v>969</v>
      </c>
      <c r="C1007">
        <v>99</v>
      </c>
    </row>
    <row r="1008" spans="1:3">
      <c r="A1008">
        <v>970</v>
      </c>
      <c r="C1008">
        <v>73</v>
      </c>
    </row>
    <row r="1009" spans="1:3">
      <c r="A1009">
        <v>970</v>
      </c>
      <c r="C1009">
        <v>60</v>
      </c>
    </row>
    <row r="1010" spans="1:3">
      <c r="A1010">
        <v>971</v>
      </c>
      <c r="C1010">
        <v>104</v>
      </c>
    </row>
    <row r="1011" spans="1:3">
      <c r="A1011">
        <v>971</v>
      </c>
      <c r="C1011">
        <v>123</v>
      </c>
    </row>
    <row r="1012" spans="1:3">
      <c r="A1012">
        <v>972</v>
      </c>
      <c r="C1012">
        <v>30</v>
      </c>
    </row>
    <row r="1013" spans="1:3">
      <c r="A1013">
        <v>972</v>
      </c>
      <c r="C1013">
        <v>99</v>
      </c>
    </row>
    <row r="1014" spans="1:3">
      <c r="A1014">
        <v>973</v>
      </c>
      <c r="C1014">
        <v>99</v>
      </c>
    </row>
    <row r="1015" spans="1:3">
      <c r="A1015">
        <v>973</v>
      </c>
      <c r="C1015">
        <v>86</v>
      </c>
    </row>
    <row r="1016" spans="1:3">
      <c r="A1016">
        <v>974</v>
      </c>
      <c r="C1016">
        <v>67</v>
      </c>
    </row>
    <row r="1017" spans="1:3">
      <c r="A1017">
        <v>974</v>
      </c>
      <c r="C1017">
        <v>81</v>
      </c>
    </row>
    <row r="1018" spans="1:3">
      <c r="A1018">
        <v>975</v>
      </c>
      <c r="C1018">
        <v>73</v>
      </c>
    </row>
    <row r="1019" spans="1:3">
      <c r="A1019">
        <v>975</v>
      </c>
      <c r="C1019">
        <v>60</v>
      </c>
    </row>
    <row r="1020" spans="1:3">
      <c r="A1020">
        <v>976</v>
      </c>
      <c r="C1020">
        <v>104</v>
      </c>
    </row>
    <row r="1021" spans="1:3">
      <c r="A1021">
        <v>976</v>
      </c>
      <c r="C1021">
        <v>123</v>
      </c>
    </row>
    <row r="1022" spans="1:3">
      <c r="A1022">
        <v>977</v>
      </c>
      <c r="C1022">
        <v>88</v>
      </c>
    </row>
    <row r="1023" spans="1:3">
      <c r="A1023">
        <v>977</v>
      </c>
      <c r="C1023">
        <v>65</v>
      </c>
    </row>
    <row r="1024" spans="1:3">
      <c r="A1024">
        <v>978</v>
      </c>
      <c r="C1024">
        <v>91</v>
      </c>
    </row>
    <row r="1025" spans="1:3">
      <c r="A1025">
        <v>978</v>
      </c>
      <c r="C1025">
        <v>72</v>
      </c>
    </row>
    <row r="1026" spans="1:3">
      <c r="A1026">
        <v>979</v>
      </c>
      <c r="C1026">
        <v>86</v>
      </c>
    </row>
    <row r="1027" spans="1:3">
      <c r="A1027">
        <v>979</v>
      </c>
      <c r="C1027">
        <v>78</v>
      </c>
    </row>
    <row r="1028" spans="1:3">
      <c r="A1028">
        <v>980</v>
      </c>
      <c r="C1028">
        <v>51</v>
      </c>
    </row>
    <row r="1029" spans="1:3">
      <c r="A1029">
        <v>980</v>
      </c>
      <c r="C1029">
        <v>99</v>
      </c>
    </row>
    <row r="1030" spans="1:3">
      <c r="A1030">
        <v>981</v>
      </c>
      <c r="C1030">
        <v>86</v>
      </c>
    </row>
    <row r="1031" spans="1:3">
      <c r="A1031">
        <v>981</v>
      </c>
      <c r="C1031">
        <v>67</v>
      </c>
    </row>
    <row r="1032" spans="1:3">
      <c r="A1032">
        <v>982</v>
      </c>
      <c r="C1032">
        <v>81</v>
      </c>
    </row>
    <row r="1033" spans="1:3">
      <c r="A1033">
        <v>982</v>
      </c>
      <c r="C1033">
        <v>73</v>
      </c>
    </row>
    <row r="1034" spans="1:3">
      <c r="A1034">
        <v>983</v>
      </c>
      <c r="C1034">
        <v>60</v>
      </c>
    </row>
    <row r="1035" spans="1:3">
      <c r="A1035">
        <v>983</v>
      </c>
      <c r="C1035">
        <v>104</v>
      </c>
    </row>
    <row r="1036" spans="1:3">
      <c r="A1036">
        <v>984</v>
      </c>
      <c r="C1036">
        <v>81</v>
      </c>
    </row>
    <row r="1037" spans="1:3">
      <c r="A1037">
        <v>984</v>
      </c>
      <c r="C1037">
        <v>73</v>
      </c>
    </row>
    <row r="1038" spans="1:3">
      <c r="A1038">
        <v>985</v>
      </c>
      <c r="C1038">
        <v>60</v>
      </c>
    </row>
    <row r="1039" spans="1:3">
      <c r="A1039">
        <v>985</v>
      </c>
      <c r="C1039">
        <v>104</v>
      </c>
    </row>
    <row r="1040" spans="1:3">
      <c r="A1040">
        <v>986</v>
      </c>
      <c r="C1040">
        <v>123</v>
      </c>
    </row>
    <row r="1041" spans="1:3">
      <c r="A1041">
        <v>986</v>
      </c>
      <c r="C1041">
        <v>30</v>
      </c>
    </row>
    <row r="1042" spans="1:3">
      <c r="A1042">
        <v>987</v>
      </c>
      <c r="C1042">
        <v>99</v>
      </c>
    </row>
    <row r="1043" spans="1:3">
      <c r="A1043">
        <v>987</v>
      </c>
      <c r="C1043">
        <v>56</v>
      </c>
    </row>
    <row r="1044" spans="1:3">
      <c r="A1044">
        <v>988</v>
      </c>
      <c r="C1044">
        <v>78</v>
      </c>
    </row>
    <row r="1045" spans="1:3">
      <c r="A1045">
        <v>988</v>
      </c>
      <c r="C1045">
        <v>116</v>
      </c>
    </row>
    <row r="1046" spans="1:3">
      <c r="A1046">
        <v>989</v>
      </c>
      <c r="C1046">
        <v>51</v>
      </c>
    </row>
    <row r="1047" spans="1:3">
      <c r="A1047">
        <v>989</v>
      </c>
      <c r="C1047">
        <v>99</v>
      </c>
    </row>
    <row r="1048" spans="1:3">
      <c r="A1048">
        <v>990</v>
      </c>
      <c r="C1048">
        <v>86</v>
      </c>
    </row>
    <row r="1049" spans="1:3">
      <c r="A1049">
        <v>990</v>
      </c>
      <c r="C1049">
        <v>67</v>
      </c>
    </row>
    <row r="1050" spans="1:3">
      <c r="A1050">
        <v>991</v>
      </c>
      <c r="C1050">
        <v>81</v>
      </c>
    </row>
    <row r="1051" spans="1:3">
      <c r="A1051">
        <v>991</v>
      </c>
      <c r="C1051">
        <v>73</v>
      </c>
    </row>
    <row r="1052" spans="1:3">
      <c r="A1052">
        <v>992</v>
      </c>
      <c r="C1052">
        <v>60</v>
      </c>
    </row>
    <row r="1053" spans="1:3">
      <c r="A1053">
        <v>992</v>
      </c>
      <c r="C1053">
        <v>104</v>
      </c>
    </row>
    <row r="1054" spans="1:3">
      <c r="A1054">
        <v>993</v>
      </c>
      <c r="C1054">
        <v>123</v>
      </c>
    </row>
    <row r="1055" spans="1:3">
      <c r="A1055">
        <v>993</v>
      </c>
      <c r="C1055">
        <v>30</v>
      </c>
    </row>
    <row r="1056" spans="1:3">
      <c r="A1056">
        <v>994</v>
      </c>
      <c r="C1056">
        <v>244</v>
      </c>
    </row>
    <row r="1057" spans="1:3">
      <c r="A1057">
        <v>994</v>
      </c>
      <c r="C1057">
        <v>358</v>
      </c>
    </row>
    <row r="1058" spans="1:3">
      <c r="A1058">
        <v>994</v>
      </c>
      <c r="C1058">
        <v>212</v>
      </c>
    </row>
    <row r="1059" spans="1:3">
      <c r="A1059">
        <v>995</v>
      </c>
      <c r="C1059">
        <v>230</v>
      </c>
    </row>
    <row r="1060" spans="1:3">
      <c r="A1060">
        <v>995</v>
      </c>
      <c r="C1060">
        <v>321</v>
      </c>
    </row>
    <row r="1061" spans="1:3">
      <c r="A1061">
        <v>995</v>
      </c>
      <c r="C1061">
        <v>265</v>
      </c>
    </row>
    <row r="1062" spans="1:3">
      <c r="A1062">
        <v>996</v>
      </c>
      <c r="C1062">
        <v>321</v>
      </c>
    </row>
    <row r="1063" spans="1:3">
      <c r="A1063">
        <v>996</v>
      </c>
      <c r="C1063">
        <v>475</v>
      </c>
    </row>
    <row r="1064" spans="1:3">
      <c r="A1064">
        <v>996</v>
      </c>
      <c r="C1064">
        <v>174</v>
      </c>
    </row>
    <row r="1065" spans="1:3">
      <c r="A1065">
        <v>997</v>
      </c>
      <c r="C1065">
        <v>123</v>
      </c>
    </row>
    <row r="1066" spans="1:3">
      <c r="A1066">
        <v>997</v>
      </c>
      <c r="C1066">
        <v>30</v>
      </c>
    </row>
    <row r="1067" spans="1:3">
      <c r="A1067">
        <v>998</v>
      </c>
      <c r="C1067">
        <v>99</v>
      </c>
    </row>
    <row r="1068" spans="1:3">
      <c r="A1068">
        <v>998</v>
      </c>
      <c r="C1068">
        <v>56</v>
      </c>
    </row>
    <row r="1069" spans="1:3">
      <c r="A1069">
        <v>999</v>
      </c>
      <c r="C1069">
        <v>78</v>
      </c>
    </row>
    <row r="1070" spans="1:3">
      <c r="A1070">
        <v>999</v>
      </c>
      <c r="C1070">
        <v>116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40949-10DE-4C4A-B1FE-6037D8C09ED6}">
  <dimension ref="A1:C505"/>
  <sheetViews>
    <sheetView workbookViewId="0">
      <selection activeCell="C1" sqref="C1"/>
    </sheetView>
  </sheetViews>
  <sheetFormatPr defaultRowHeight="14.5"/>
  <cols>
    <col min="1" max="1" width="10.54296875" bestFit="1" customWidth="1"/>
    <col min="2" max="2" width="29.54296875" bestFit="1" customWidth="1"/>
    <col min="3" max="3" width="16.6328125" bestFit="1" customWidth="1"/>
  </cols>
  <sheetData>
    <row r="1" spans="1:3">
      <c r="A1" t="s">
        <v>1022</v>
      </c>
      <c r="B1" t="s">
        <v>1025</v>
      </c>
      <c r="C1" t="s">
        <v>1026</v>
      </c>
    </row>
    <row r="2" spans="1:3">
      <c r="A2">
        <v>1</v>
      </c>
      <c r="B2" s="1" t="s">
        <v>14</v>
      </c>
      <c r="C2" s="1" t="s">
        <v>15</v>
      </c>
    </row>
    <row r="3" spans="1:3">
      <c r="A3">
        <v>2</v>
      </c>
      <c r="B3" s="1" t="s">
        <v>16</v>
      </c>
      <c r="C3" s="1" t="s">
        <v>17</v>
      </c>
    </row>
    <row r="4" spans="1:3">
      <c r="A4">
        <v>3</v>
      </c>
      <c r="B4" s="1" t="s">
        <v>18</v>
      </c>
      <c r="C4" s="1" t="s">
        <v>19</v>
      </c>
    </row>
    <row r="5" spans="1:3">
      <c r="A5">
        <v>4</v>
      </c>
      <c r="B5" s="1" t="s">
        <v>20</v>
      </c>
      <c r="C5" s="1" t="s">
        <v>21</v>
      </c>
    </row>
    <row r="6" spans="1:3">
      <c r="A6">
        <v>316</v>
      </c>
      <c r="B6" s="1" t="s">
        <v>22</v>
      </c>
      <c r="C6" s="1" t="s">
        <v>23</v>
      </c>
    </row>
    <row r="7" spans="1:3">
      <c r="A7">
        <v>317</v>
      </c>
      <c r="B7" s="1" t="s">
        <v>24</v>
      </c>
      <c r="C7" s="1" t="s">
        <v>25</v>
      </c>
    </row>
    <row r="8" spans="1:3">
      <c r="A8">
        <v>318</v>
      </c>
      <c r="B8" s="1" t="s">
        <v>26</v>
      </c>
      <c r="C8" s="1" t="s">
        <v>27</v>
      </c>
    </row>
    <row r="9" spans="1:3">
      <c r="A9">
        <v>319</v>
      </c>
      <c r="B9" s="1" t="s">
        <v>28</v>
      </c>
      <c r="C9" s="1" t="s">
        <v>29</v>
      </c>
    </row>
    <row r="10" spans="1:3">
      <c r="A10">
        <v>320</v>
      </c>
      <c r="B10" s="1" t="s">
        <v>30</v>
      </c>
      <c r="C10" s="1" t="s">
        <v>31</v>
      </c>
    </row>
    <row r="11" spans="1:3">
      <c r="A11">
        <v>321</v>
      </c>
      <c r="B11" s="1" t="s">
        <v>32</v>
      </c>
      <c r="C11" s="1" t="s">
        <v>33</v>
      </c>
    </row>
    <row r="12" spans="1:3">
      <c r="A12">
        <v>322</v>
      </c>
      <c r="B12" s="1" t="s">
        <v>34</v>
      </c>
      <c r="C12" s="1" t="s">
        <v>35</v>
      </c>
    </row>
    <row r="13" spans="1:3">
      <c r="A13">
        <v>323</v>
      </c>
      <c r="B13" s="1" t="s">
        <v>36</v>
      </c>
      <c r="C13" s="1" t="s">
        <v>37</v>
      </c>
    </row>
    <row r="14" spans="1:3">
      <c r="A14">
        <v>324</v>
      </c>
      <c r="B14" s="1" t="s">
        <v>38</v>
      </c>
      <c r="C14" s="1" t="s">
        <v>39</v>
      </c>
    </row>
    <row r="15" spans="1:3">
      <c r="A15">
        <v>325</v>
      </c>
      <c r="B15" s="1" t="s">
        <v>40</v>
      </c>
      <c r="C15" s="1" t="s">
        <v>41</v>
      </c>
    </row>
    <row r="16" spans="1:3">
      <c r="A16">
        <v>326</v>
      </c>
      <c r="B16" s="1" t="s">
        <v>42</v>
      </c>
      <c r="C16" s="1" t="s">
        <v>43</v>
      </c>
    </row>
    <row r="17" spans="1:3">
      <c r="A17">
        <v>327</v>
      </c>
      <c r="B17" s="1" t="s">
        <v>44</v>
      </c>
      <c r="C17" s="1" t="s">
        <v>45</v>
      </c>
    </row>
    <row r="18" spans="1:3">
      <c r="A18">
        <v>328</v>
      </c>
      <c r="B18" s="1" t="s">
        <v>46</v>
      </c>
      <c r="C18" s="1" t="s">
        <v>47</v>
      </c>
    </row>
    <row r="19" spans="1:3">
      <c r="A19">
        <v>329</v>
      </c>
      <c r="B19" s="1" t="s">
        <v>48</v>
      </c>
      <c r="C19" s="1" t="s">
        <v>49</v>
      </c>
    </row>
    <row r="20" spans="1:3">
      <c r="A20">
        <v>330</v>
      </c>
      <c r="B20" s="1" t="s">
        <v>50</v>
      </c>
      <c r="C20" s="1" t="s">
        <v>51</v>
      </c>
    </row>
    <row r="21" spans="1:3">
      <c r="A21">
        <v>331</v>
      </c>
      <c r="B21" s="1" t="s">
        <v>52</v>
      </c>
      <c r="C21" s="1" t="s">
        <v>53</v>
      </c>
    </row>
    <row r="22" spans="1:3">
      <c r="A22">
        <v>332</v>
      </c>
      <c r="B22" s="1" t="s">
        <v>54</v>
      </c>
      <c r="C22" s="1" t="s">
        <v>55</v>
      </c>
    </row>
    <row r="23" spans="1:3">
      <c r="A23">
        <v>341</v>
      </c>
      <c r="B23" s="1" t="s">
        <v>56</v>
      </c>
      <c r="C23" s="1" t="s">
        <v>57</v>
      </c>
    </row>
    <row r="24" spans="1:3">
      <c r="A24">
        <v>342</v>
      </c>
      <c r="B24" s="1" t="s">
        <v>58</v>
      </c>
      <c r="C24" s="1" t="s">
        <v>59</v>
      </c>
    </row>
    <row r="25" spans="1:3">
      <c r="A25">
        <v>343</v>
      </c>
      <c r="B25" s="1" t="s">
        <v>60</v>
      </c>
      <c r="C25" s="1" t="s">
        <v>61</v>
      </c>
    </row>
    <row r="26" spans="1:3">
      <c r="A26">
        <v>344</v>
      </c>
      <c r="B26" s="1" t="s">
        <v>62</v>
      </c>
      <c r="C26" s="1" t="s">
        <v>63</v>
      </c>
    </row>
    <row r="27" spans="1:3">
      <c r="A27">
        <v>345</v>
      </c>
      <c r="B27" s="1" t="s">
        <v>64</v>
      </c>
      <c r="C27" s="1" t="s">
        <v>65</v>
      </c>
    </row>
    <row r="28" spans="1:3">
      <c r="A28">
        <v>346</v>
      </c>
      <c r="B28" s="1" t="s">
        <v>66</v>
      </c>
      <c r="C28" s="1" t="s">
        <v>67</v>
      </c>
    </row>
    <row r="29" spans="1:3">
      <c r="A29">
        <v>347</v>
      </c>
      <c r="B29" s="1" t="s">
        <v>68</v>
      </c>
      <c r="C29" s="1" t="s">
        <v>69</v>
      </c>
    </row>
    <row r="30" spans="1:3">
      <c r="A30">
        <v>348</v>
      </c>
      <c r="B30" s="1" t="s">
        <v>70</v>
      </c>
      <c r="C30" s="1" t="s">
        <v>71</v>
      </c>
    </row>
    <row r="31" spans="1:3">
      <c r="A31">
        <v>349</v>
      </c>
      <c r="B31" s="1" t="s">
        <v>72</v>
      </c>
      <c r="C31" s="1" t="s">
        <v>73</v>
      </c>
    </row>
    <row r="32" spans="1:3">
      <c r="A32">
        <v>350</v>
      </c>
      <c r="B32" s="1" t="s">
        <v>74</v>
      </c>
      <c r="C32" s="1" t="s">
        <v>75</v>
      </c>
    </row>
    <row r="33" spans="1:3">
      <c r="A33">
        <v>351</v>
      </c>
      <c r="B33" s="1" t="s">
        <v>76</v>
      </c>
      <c r="C33" s="1" t="s">
        <v>77</v>
      </c>
    </row>
    <row r="34" spans="1:3">
      <c r="A34">
        <v>352</v>
      </c>
      <c r="B34" s="1" t="s">
        <v>78</v>
      </c>
      <c r="C34" s="1" t="s">
        <v>79</v>
      </c>
    </row>
    <row r="35" spans="1:3">
      <c r="A35">
        <v>355</v>
      </c>
      <c r="B35" s="1" t="s">
        <v>80</v>
      </c>
      <c r="C35" s="1" t="s">
        <v>81</v>
      </c>
    </row>
    <row r="36" spans="1:3">
      <c r="A36">
        <v>356</v>
      </c>
      <c r="B36" s="1" t="s">
        <v>82</v>
      </c>
      <c r="C36" s="1" t="s">
        <v>83</v>
      </c>
    </row>
    <row r="37" spans="1:3">
      <c r="A37">
        <v>357</v>
      </c>
      <c r="B37" s="1" t="s">
        <v>84</v>
      </c>
      <c r="C37" s="1" t="s">
        <v>85</v>
      </c>
    </row>
    <row r="38" spans="1:3">
      <c r="A38">
        <v>358</v>
      </c>
      <c r="B38" s="1" t="s">
        <v>86</v>
      </c>
      <c r="C38" s="1" t="s">
        <v>87</v>
      </c>
    </row>
    <row r="39" spans="1:3">
      <c r="A39">
        <v>359</v>
      </c>
      <c r="B39" s="1" t="s">
        <v>88</v>
      </c>
      <c r="C39" s="1" t="s">
        <v>89</v>
      </c>
    </row>
    <row r="40" spans="1:3">
      <c r="A40">
        <v>360</v>
      </c>
      <c r="B40" s="1" t="s">
        <v>90</v>
      </c>
      <c r="C40" s="1" t="s">
        <v>91</v>
      </c>
    </row>
    <row r="41" spans="1:3">
      <c r="A41">
        <v>361</v>
      </c>
      <c r="B41" s="1" t="s">
        <v>92</v>
      </c>
      <c r="C41" s="1" t="s">
        <v>93</v>
      </c>
    </row>
    <row r="42" spans="1:3">
      <c r="A42">
        <v>362</v>
      </c>
      <c r="B42" s="1" t="s">
        <v>94</v>
      </c>
      <c r="C42" s="1" t="s">
        <v>95</v>
      </c>
    </row>
    <row r="43" spans="1:3">
      <c r="A43">
        <v>363</v>
      </c>
      <c r="B43" s="1" t="s">
        <v>96</v>
      </c>
      <c r="C43" s="1" t="s">
        <v>97</v>
      </c>
    </row>
    <row r="44" spans="1:3">
      <c r="A44">
        <v>364</v>
      </c>
      <c r="B44" s="1" t="s">
        <v>98</v>
      </c>
      <c r="C44" s="1" t="s">
        <v>99</v>
      </c>
    </row>
    <row r="45" spans="1:3">
      <c r="A45">
        <v>365</v>
      </c>
      <c r="B45" s="1" t="s">
        <v>100</v>
      </c>
      <c r="C45" s="1" t="s">
        <v>101</v>
      </c>
    </row>
    <row r="46" spans="1:3">
      <c r="A46">
        <v>366</v>
      </c>
      <c r="B46" s="1" t="s">
        <v>102</v>
      </c>
      <c r="C46" s="1" t="s">
        <v>103</v>
      </c>
    </row>
    <row r="47" spans="1:3">
      <c r="A47">
        <v>367</v>
      </c>
      <c r="B47" s="1" t="s">
        <v>104</v>
      </c>
      <c r="C47" s="1" t="s">
        <v>105</v>
      </c>
    </row>
    <row r="48" spans="1:3">
      <c r="A48">
        <v>368</v>
      </c>
      <c r="B48" s="1" t="s">
        <v>106</v>
      </c>
      <c r="C48" s="1" t="s">
        <v>107</v>
      </c>
    </row>
    <row r="49" spans="1:3">
      <c r="A49">
        <v>369</v>
      </c>
      <c r="B49" s="1" t="s">
        <v>108</v>
      </c>
      <c r="C49" s="1" t="s">
        <v>109</v>
      </c>
    </row>
    <row r="50" spans="1:3">
      <c r="A50">
        <v>370</v>
      </c>
      <c r="B50" s="1" t="s">
        <v>110</v>
      </c>
      <c r="C50" s="1" t="s">
        <v>111</v>
      </c>
    </row>
    <row r="51" spans="1:3">
      <c r="A51">
        <v>371</v>
      </c>
      <c r="B51" s="1" t="s">
        <v>112</v>
      </c>
      <c r="C51" s="1" t="s">
        <v>113</v>
      </c>
    </row>
    <row r="52" spans="1:3">
      <c r="A52">
        <v>372</v>
      </c>
      <c r="B52" s="1" t="s">
        <v>114</v>
      </c>
      <c r="C52" s="1" t="s">
        <v>115</v>
      </c>
    </row>
    <row r="53" spans="1:3">
      <c r="A53">
        <v>373</v>
      </c>
      <c r="B53" s="1" t="s">
        <v>116</v>
      </c>
      <c r="C53" s="1" t="s">
        <v>117</v>
      </c>
    </row>
    <row r="54" spans="1:3">
      <c r="A54">
        <v>374</v>
      </c>
      <c r="B54" s="1" t="s">
        <v>118</v>
      </c>
      <c r="C54" s="1" t="s">
        <v>119</v>
      </c>
    </row>
    <row r="55" spans="1:3">
      <c r="A55">
        <v>375</v>
      </c>
      <c r="B55" s="1" t="s">
        <v>120</v>
      </c>
      <c r="C55" s="1" t="s">
        <v>121</v>
      </c>
    </row>
    <row r="56" spans="1:3">
      <c r="A56">
        <v>376</v>
      </c>
      <c r="B56" s="1" t="s">
        <v>122</v>
      </c>
      <c r="C56" s="1" t="s">
        <v>123</v>
      </c>
    </row>
    <row r="57" spans="1:3">
      <c r="A57">
        <v>377</v>
      </c>
      <c r="B57" s="1" t="s">
        <v>124</v>
      </c>
      <c r="C57" s="1" t="s">
        <v>125</v>
      </c>
    </row>
    <row r="58" spans="1:3">
      <c r="A58">
        <v>378</v>
      </c>
      <c r="B58" s="1" t="s">
        <v>126</v>
      </c>
      <c r="C58" s="1" t="s">
        <v>127</v>
      </c>
    </row>
    <row r="59" spans="1:3">
      <c r="A59">
        <v>379</v>
      </c>
      <c r="B59" s="1" t="s">
        <v>128</v>
      </c>
      <c r="C59" s="1" t="s">
        <v>129</v>
      </c>
    </row>
    <row r="60" spans="1:3">
      <c r="A60">
        <v>380</v>
      </c>
      <c r="B60" s="1" t="s">
        <v>130</v>
      </c>
      <c r="C60" s="1" t="s">
        <v>131</v>
      </c>
    </row>
    <row r="61" spans="1:3">
      <c r="A61">
        <v>381</v>
      </c>
      <c r="B61" s="1" t="s">
        <v>132</v>
      </c>
      <c r="C61" s="1" t="s">
        <v>133</v>
      </c>
    </row>
    <row r="62" spans="1:3">
      <c r="A62">
        <v>382</v>
      </c>
      <c r="B62" s="1" t="s">
        <v>134</v>
      </c>
      <c r="C62" s="1" t="s">
        <v>135</v>
      </c>
    </row>
    <row r="63" spans="1:3">
      <c r="A63">
        <v>383</v>
      </c>
      <c r="B63" s="1" t="s">
        <v>136</v>
      </c>
      <c r="C63" s="1" t="s">
        <v>137</v>
      </c>
    </row>
    <row r="64" spans="1:3">
      <c r="A64">
        <v>384</v>
      </c>
      <c r="B64" s="1" t="s">
        <v>138</v>
      </c>
      <c r="C64" s="1" t="s">
        <v>139</v>
      </c>
    </row>
    <row r="65" spans="1:3">
      <c r="A65">
        <v>385</v>
      </c>
      <c r="B65" s="1" t="s">
        <v>140</v>
      </c>
      <c r="C65" s="1" t="s">
        <v>141</v>
      </c>
    </row>
    <row r="66" spans="1:3">
      <c r="A66">
        <v>386</v>
      </c>
      <c r="B66" s="1" t="s">
        <v>142</v>
      </c>
      <c r="C66" s="1" t="s">
        <v>143</v>
      </c>
    </row>
    <row r="67" spans="1:3">
      <c r="A67">
        <v>387</v>
      </c>
      <c r="B67" s="1" t="s">
        <v>144</v>
      </c>
      <c r="C67" s="1" t="s">
        <v>145</v>
      </c>
    </row>
    <row r="68" spans="1:3">
      <c r="A68">
        <v>388</v>
      </c>
      <c r="B68" s="1" t="s">
        <v>146</v>
      </c>
      <c r="C68" s="1" t="s">
        <v>147</v>
      </c>
    </row>
    <row r="69" spans="1:3">
      <c r="A69">
        <v>389</v>
      </c>
      <c r="B69" s="1" t="s">
        <v>148</v>
      </c>
      <c r="C69" s="1" t="s">
        <v>149</v>
      </c>
    </row>
    <row r="70" spans="1:3">
      <c r="A70">
        <v>390</v>
      </c>
      <c r="B70" s="1" t="s">
        <v>150</v>
      </c>
      <c r="C70" s="1" t="s">
        <v>151</v>
      </c>
    </row>
    <row r="71" spans="1:3">
      <c r="A71">
        <v>391</v>
      </c>
      <c r="B71" s="1" t="s">
        <v>152</v>
      </c>
      <c r="C71" s="1" t="s">
        <v>153</v>
      </c>
    </row>
    <row r="72" spans="1:3">
      <c r="A72">
        <v>392</v>
      </c>
      <c r="B72" s="1" t="s">
        <v>154</v>
      </c>
      <c r="C72" s="1" t="s">
        <v>155</v>
      </c>
    </row>
    <row r="73" spans="1:3">
      <c r="A73">
        <v>393</v>
      </c>
      <c r="B73" s="1" t="s">
        <v>156</v>
      </c>
      <c r="C73" s="1" t="s">
        <v>157</v>
      </c>
    </row>
    <row r="74" spans="1:3">
      <c r="A74">
        <v>394</v>
      </c>
      <c r="B74" s="1" t="s">
        <v>158</v>
      </c>
      <c r="C74" s="1" t="s">
        <v>159</v>
      </c>
    </row>
    <row r="75" spans="1:3">
      <c r="A75">
        <v>395</v>
      </c>
      <c r="B75" s="1" t="s">
        <v>160</v>
      </c>
      <c r="C75" s="1" t="s">
        <v>161</v>
      </c>
    </row>
    <row r="76" spans="1:3">
      <c r="A76">
        <v>396</v>
      </c>
      <c r="B76" s="1" t="s">
        <v>162</v>
      </c>
      <c r="C76" s="1" t="s">
        <v>163</v>
      </c>
    </row>
    <row r="77" spans="1:3">
      <c r="A77">
        <v>397</v>
      </c>
      <c r="B77" s="1" t="s">
        <v>164</v>
      </c>
      <c r="C77" s="1" t="s">
        <v>165</v>
      </c>
    </row>
    <row r="78" spans="1:3">
      <c r="A78">
        <v>398</v>
      </c>
      <c r="B78" s="1" t="s">
        <v>166</v>
      </c>
      <c r="C78" s="1" t="s">
        <v>167</v>
      </c>
    </row>
    <row r="79" spans="1:3">
      <c r="A79">
        <v>399</v>
      </c>
      <c r="B79" s="1" t="s">
        <v>168</v>
      </c>
      <c r="C79" s="1" t="s">
        <v>169</v>
      </c>
    </row>
    <row r="80" spans="1:3">
      <c r="A80">
        <v>400</v>
      </c>
      <c r="B80" s="1" t="s">
        <v>170</v>
      </c>
      <c r="C80" s="1" t="s">
        <v>171</v>
      </c>
    </row>
    <row r="81" spans="1:3">
      <c r="A81">
        <v>401</v>
      </c>
      <c r="B81" s="1" t="s">
        <v>172</v>
      </c>
      <c r="C81" s="1" t="s">
        <v>173</v>
      </c>
    </row>
    <row r="82" spans="1:3">
      <c r="A82">
        <v>402</v>
      </c>
      <c r="B82" s="1" t="s">
        <v>174</v>
      </c>
      <c r="C82" s="1" t="s">
        <v>175</v>
      </c>
    </row>
    <row r="83" spans="1:3">
      <c r="A83">
        <v>403</v>
      </c>
      <c r="B83" s="1" t="s">
        <v>176</v>
      </c>
      <c r="C83" s="1" t="s">
        <v>177</v>
      </c>
    </row>
    <row r="84" spans="1:3">
      <c r="A84">
        <v>404</v>
      </c>
      <c r="B84" s="1" t="s">
        <v>178</v>
      </c>
      <c r="C84" s="1" t="s">
        <v>179</v>
      </c>
    </row>
    <row r="85" spans="1:3">
      <c r="A85">
        <v>405</v>
      </c>
      <c r="B85" s="1" t="s">
        <v>180</v>
      </c>
      <c r="C85" s="1" t="s">
        <v>181</v>
      </c>
    </row>
    <row r="86" spans="1:3">
      <c r="A86">
        <v>406</v>
      </c>
      <c r="B86" s="1" t="s">
        <v>182</v>
      </c>
      <c r="C86" s="1" t="s">
        <v>183</v>
      </c>
    </row>
    <row r="87" spans="1:3">
      <c r="A87">
        <v>407</v>
      </c>
      <c r="B87" s="1" t="s">
        <v>184</v>
      </c>
      <c r="C87" s="1" t="s">
        <v>185</v>
      </c>
    </row>
    <row r="88" spans="1:3">
      <c r="A88">
        <v>408</v>
      </c>
      <c r="B88" s="1" t="s">
        <v>186</v>
      </c>
      <c r="C88" s="1" t="s">
        <v>187</v>
      </c>
    </row>
    <row r="89" spans="1:3">
      <c r="A89">
        <v>409</v>
      </c>
      <c r="B89" s="1" t="s">
        <v>188</v>
      </c>
      <c r="C89" s="1" t="s">
        <v>189</v>
      </c>
    </row>
    <row r="90" spans="1:3">
      <c r="A90">
        <v>410</v>
      </c>
      <c r="B90" s="1" t="s">
        <v>190</v>
      </c>
      <c r="C90" s="1" t="s">
        <v>191</v>
      </c>
    </row>
    <row r="91" spans="1:3">
      <c r="A91">
        <v>411</v>
      </c>
      <c r="B91" s="1" t="s">
        <v>192</v>
      </c>
      <c r="C91" s="1" t="s">
        <v>193</v>
      </c>
    </row>
    <row r="92" spans="1:3">
      <c r="A92">
        <v>412</v>
      </c>
      <c r="B92" s="1" t="s">
        <v>194</v>
      </c>
      <c r="C92" s="1" t="s">
        <v>195</v>
      </c>
    </row>
    <row r="93" spans="1:3">
      <c r="A93">
        <v>413</v>
      </c>
      <c r="B93" s="1" t="s">
        <v>196</v>
      </c>
      <c r="C93" s="1" t="s">
        <v>197</v>
      </c>
    </row>
    <row r="94" spans="1:3">
      <c r="A94">
        <v>414</v>
      </c>
      <c r="B94" s="1" t="s">
        <v>198</v>
      </c>
      <c r="C94" s="1" t="s">
        <v>199</v>
      </c>
    </row>
    <row r="95" spans="1:3">
      <c r="A95">
        <v>415</v>
      </c>
      <c r="B95" s="1" t="s">
        <v>200</v>
      </c>
      <c r="C95" s="1" t="s">
        <v>201</v>
      </c>
    </row>
    <row r="96" spans="1:3">
      <c r="A96">
        <v>416</v>
      </c>
      <c r="B96" s="1" t="s">
        <v>202</v>
      </c>
      <c r="C96" s="1" t="s">
        <v>203</v>
      </c>
    </row>
    <row r="97" spans="1:3">
      <c r="A97">
        <v>417</v>
      </c>
      <c r="B97" s="1" t="s">
        <v>204</v>
      </c>
      <c r="C97" s="1" t="s">
        <v>205</v>
      </c>
    </row>
    <row r="98" spans="1:3">
      <c r="A98">
        <v>418</v>
      </c>
      <c r="B98" s="1" t="s">
        <v>206</v>
      </c>
      <c r="C98" s="1" t="s">
        <v>207</v>
      </c>
    </row>
    <row r="99" spans="1:3">
      <c r="A99">
        <v>419</v>
      </c>
      <c r="B99" s="1" t="s">
        <v>208</v>
      </c>
      <c r="C99" s="1" t="s">
        <v>209</v>
      </c>
    </row>
    <row r="100" spans="1:3">
      <c r="A100">
        <v>420</v>
      </c>
      <c r="B100" s="1" t="s">
        <v>210</v>
      </c>
      <c r="C100" s="1" t="s">
        <v>211</v>
      </c>
    </row>
    <row r="101" spans="1:3">
      <c r="A101">
        <v>421</v>
      </c>
      <c r="B101" s="1" t="s">
        <v>212</v>
      </c>
      <c r="C101" s="1" t="s">
        <v>213</v>
      </c>
    </row>
    <row r="102" spans="1:3">
      <c r="A102">
        <v>422</v>
      </c>
      <c r="B102" s="1" t="s">
        <v>214</v>
      </c>
      <c r="C102" s="1" t="s">
        <v>215</v>
      </c>
    </row>
    <row r="103" spans="1:3">
      <c r="A103">
        <v>423</v>
      </c>
      <c r="B103" s="1" t="s">
        <v>216</v>
      </c>
      <c r="C103" s="1" t="s">
        <v>217</v>
      </c>
    </row>
    <row r="104" spans="1:3">
      <c r="A104">
        <v>424</v>
      </c>
      <c r="B104" s="1" t="s">
        <v>218</v>
      </c>
      <c r="C104" s="1" t="s">
        <v>219</v>
      </c>
    </row>
    <row r="105" spans="1:3">
      <c r="A105">
        <v>425</v>
      </c>
      <c r="B105" s="1" t="s">
        <v>220</v>
      </c>
      <c r="C105" s="1" t="s">
        <v>221</v>
      </c>
    </row>
    <row r="106" spans="1:3">
      <c r="A106">
        <v>426</v>
      </c>
      <c r="B106" s="1" t="s">
        <v>222</v>
      </c>
      <c r="C106" s="1" t="s">
        <v>223</v>
      </c>
    </row>
    <row r="107" spans="1:3">
      <c r="A107">
        <v>427</v>
      </c>
      <c r="B107" s="1" t="s">
        <v>224</v>
      </c>
      <c r="C107" s="1" t="s">
        <v>225</v>
      </c>
    </row>
    <row r="108" spans="1:3">
      <c r="A108">
        <v>428</v>
      </c>
      <c r="B108" s="1" t="s">
        <v>226</v>
      </c>
      <c r="C108" s="1" t="s">
        <v>227</v>
      </c>
    </row>
    <row r="109" spans="1:3">
      <c r="A109">
        <v>429</v>
      </c>
      <c r="B109" s="1" t="s">
        <v>228</v>
      </c>
      <c r="C109" s="1" t="s">
        <v>229</v>
      </c>
    </row>
    <row r="110" spans="1:3">
      <c r="A110">
        <v>430</v>
      </c>
      <c r="B110" s="1" t="s">
        <v>230</v>
      </c>
      <c r="C110" s="1" t="s">
        <v>231</v>
      </c>
    </row>
    <row r="111" spans="1:3">
      <c r="A111">
        <v>431</v>
      </c>
      <c r="B111" s="1" t="s">
        <v>232</v>
      </c>
      <c r="C111" s="1" t="s">
        <v>233</v>
      </c>
    </row>
    <row r="112" spans="1:3">
      <c r="A112">
        <v>432</v>
      </c>
      <c r="B112" s="1" t="s">
        <v>234</v>
      </c>
      <c r="C112" s="1" t="s">
        <v>235</v>
      </c>
    </row>
    <row r="113" spans="1:3">
      <c r="A113">
        <v>433</v>
      </c>
      <c r="B113" s="1" t="s">
        <v>236</v>
      </c>
      <c r="C113" s="1" t="s">
        <v>237</v>
      </c>
    </row>
    <row r="114" spans="1:3">
      <c r="A114">
        <v>434</v>
      </c>
      <c r="B114" s="1" t="s">
        <v>238</v>
      </c>
      <c r="C114" s="1" t="s">
        <v>239</v>
      </c>
    </row>
    <row r="115" spans="1:3">
      <c r="A115">
        <v>435</v>
      </c>
      <c r="B115" s="1" t="s">
        <v>240</v>
      </c>
      <c r="C115" s="1" t="s">
        <v>241</v>
      </c>
    </row>
    <row r="116" spans="1:3">
      <c r="A116">
        <v>436</v>
      </c>
      <c r="B116" s="1" t="s">
        <v>242</v>
      </c>
      <c r="C116" s="1" t="s">
        <v>243</v>
      </c>
    </row>
    <row r="117" spans="1:3">
      <c r="A117">
        <v>437</v>
      </c>
      <c r="B117" s="1" t="s">
        <v>244</v>
      </c>
      <c r="C117" s="1" t="s">
        <v>245</v>
      </c>
    </row>
    <row r="118" spans="1:3">
      <c r="A118">
        <v>438</v>
      </c>
      <c r="B118" s="1" t="s">
        <v>246</v>
      </c>
      <c r="C118" s="1" t="s">
        <v>247</v>
      </c>
    </row>
    <row r="119" spans="1:3">
      <c r="A119">
        <v>439</v>
      </c>
      <c r="B119" s="1" t="s">
        <v>248</v>
      </c>
      <c r="C119" s="1" t="s">
        <v>249</v>
      </c>
    </row>
    <row r="120" spans="1:3">
      <c r="A120">
        <v>440</v>
      </c>
      <c r="B120" s="1" t="s">
        <v>250</v>
      </c>
      <c r="C120" s="1" t="s">
        <v>251</v>
      </c>
    </row>
    <row r="121" spans="1:3">
      <c r="A121">
        <v>441</v>
      </c>
      <c r="B121" s="1" t="s">
        <v>252</v>
      </c>
      <c r="C121" s="1" t="s">
        <v>253</v>
      </c>
    </row>
    <row r="122" spans="1:3">
      <c r="A122">
        <v>442</v>
      </c>
      <c r="B122" s="1" t="s">
        <v>254</v>
      </c>
      <c r="C122" s="1" t="s">
        <v>255</v>
      </c>
    </row>
    <row r="123" spans="1:3">
      <c r="A123">
        <v>443</v>
      </c>
      <c r="B123" s="1" t="s">
        <v>256</v>
      </c>
      <c r="C123" s="1" t="s">
        <v>257</v>
      </c>
    </row>
    <row r="124" spans="1:3">
      <c r="A124">
        <v>444</v>
      </c>
      <c r="B124" s="1" t="s">
        <v>258</v>
      </c>
      <c r="C124" s="1" t="s">
        <v>259</v>
      </c>
    </row>
    <row r="125" spans="1:3">
      <c r="A125">
        <v>445</v>
      </c>
      <c r="B125" s="1" t="s">
        <v>260</v>
      </c>
      <c r="C125" s="1" t="s">
        <v>261</v>
      </c>
    </row>
    <row r="126" spans="1:3">
      <c r="A126">
        <v>446</v>
      </c>
      <c r="B126" s="1" t="s">
        <v>262</v>
      </c>
      <c r="C126" s="1" t="s">
        <v>263</v>
      </c>
    </row>
    <row r="127" spans="1:3">
      <c r="A127">
        <v>447</v>
      </c>
      <c r="B127" s="1" t="s">
        <v>264</v>
      </c>
      <c r="C127" s="1" t="s">
        <v>265</v>
      </c>
    </row>
    <row r="128" spans="1:3">
      <c r="A128">
        <v>448</v>
      </c>
      <c r="B128" s="1" t="s">
        <v>266</v>
      </c>
      <c r="C128" s="1" t="s">
        <v>267</v>
      </c>
    </row>
    <row r="129" spans="1:3">
      <c r="A129">
        <v>449</v>
      </c>
      <c r="B129" s="1" t="s">
        <v>268</v>
      </c>
      <c r="C129" s="1" t="s">
        <v>269</v>
      </c>
    </row>
    <row r="130" spans="1:3">
      <c r="A130">
        <v>450</v>
      </c>
      <c r="B130" s="1" t="s">
        <v>270</v>
      </c>
      <c r="C130" s="1" t="s">
        <v>271</v>
      </c>
    </row>
    <row r="131" spans="1:3">
      <c r="A131">
        <v>451</v>
      </c>
      <c r="B131" s="1" t="s">
        <v>272</v>
      </c>
      <c r="C131" s="1" t="s">
        <v>273</v>
      </c>
    </row>
    <row r="132" spans="1:3">
      <c r="A132">
        <v>452</v>
      </c>
      <c r="B132" s="1" t="s">
        <v>274</v>
      </c>
      <c r="C132" s="1" t="s">
        <v>275</v>
      </c>
    </row>
    <row r="133" spans="1:3">
      <c r="A133">
        <v>453</v>
      </c>
      <c r="B133" s="1" t="s">
        <v>276</v>
      </c>
      <c r="C133" s="1" t="s">
        <v>277</v>
      </c>
    </row>
    <row r="134" spans="1:3">
      <c r="A134">
        <v>454</v>
      </c>
      <c r="B134" s="1" t="s">
        <v>278</v>
      </c>
      <c r="C134" s="1" t="s">
        <v>279</v>
      </c>
    </row>
    <row r="135" spans="1:3">
      <c r="A135">
        <v>455</v>
      </c>
      <c r="B135" s="1" t="s">
        <v>280</v>
      </c>
      <c r="C135" s="1" t="s">
        <v>281</v>
      </c>
    </row>
    <row r="136" spans="1:3">
      <c r="A136">
        <v>456</v>
      </c>
      <c r="B136" s="1" t="s">
        <v>282</v>
      </c>
      <c r="C136" s="1" t="s">
        <v>283</v>
      </c>
    </row>
    <row r="137" spans="1:3">
      <c r="A137">
        <v>457</v>
      </c>
      <c r="B137" s="1" t="s">
        <v>284</v>
      </c>
      <c r="C137" s="1" t="s">
        <v>285</v>
      </c>
    </row>
    <row r="138" spans="1:3">
      <c r="A138">
        <v>458</v>
      </c>
      <c r="B138" s="1" t="s">
        <v>286</v>
      </c>
      <c r="C138" s="1" t="s">
        <v>287</v>
      </c>
    </row>
    <row r="139" spans="1:3">
      <c r="A139">
        <v>459</v>
      </c>
      <c r="B139" s="1" t="s">
        <v>288</v>
      </c>
      <c r="C139" s="1" t="s">
        <v>289</v>
      </c>
    </row>
    <row r="140" spans="1:3">
      <c r="A140">
        <v>460</v>
      </c>
      <c r="B140" s="1" t="s">
        <v>290</v>
      </c>
      <c r="C140" s="1" t="s">
        <v>291</v>
      </c>
    </row>
    <row r="141" spans="1:3">
      <c r="A141">
        <v>461</v>
      </c>
      <c r="B141" s="1" t="s">
        <v>292</v>
      </c>
      <c r="C141" s="1" t="s">
        <v>293</v>
      </c>
    </row>
    <row r="142" spans="1:3">
      <c r="A142">
        <v>462</v>
      </c>
      <c r="B142" s="1" t="s">
        <v>294</v>
      </c>
      <c r="C142" s="1" t="s">
        <v>295</v>
      </c>
    </row>
    <row r="143" spans="1:3">
      <c r="A143">
        <v>463</v>
      </c>
      <c r="B143" s="1" t="s">
        <v>296</v>
      </c>
      <c r="C143" s="1" t="s">
        <v>297</v>
      </c>
    </row>
    <row r="144" spans="1:3">
      <c r="A144">
        <v>464</v>
      </c>
      <c r="B144" s="1" t="s">
        <v>298</v>
      </c>
      <c r="C144" s="1" t="s">
        <v>299</v>
      </c>
    </row>
    <row r="145" spans="1:3">
      <c r="A145">
        <v>465</v>
      </c>
      <c r="B145" s="1" t="s">
        <v>300</v>
      </c>
      <c r="C145" s="1" t="s">
        <v>301</v>
      </c>
    </row>
    <row r="146" spans="1:3">
      <c r="A146">
        <v>466</v>
      </c>
      <c r="B146" s="1" t="s">
        <v>302</v>
      </c>
      <c r="C146" s="1" t="s">
        <v>303</v>
      </c>
    </row>
    <row r="147" spans="1:3">
      <c r="A147">
        <v>467</v>
      </c>
      <c r="B147" s="1" t="s">
        <v>304</v>
      </c>
      <c r="C147" s="1" t="s">
        <v>305</v>
      </c>
    </row>
    <row r="148" spans="1:3">
      <c r="A148">
        <v>468</v>
      </c>
      <c r="B148" s="1" t="s">
        <v>306</v>
      </c>
      <c r="C148" s="1" t="s">
        <v>307</v>
      </c>
    </row>
    <row r="149" spans="1:3">
      <c r="A149">
        <v>469</v>
      </c>
      <c r="B149" s="1" t="s">
        <v>308</v>
      </c>
      <c r="C149" s="1" t="s">
        <v>309</v>
      </c>
    </row>
    <row r="150" spans="1:3">
      <c r="A150">
        <v>470</v>
      </c>
      <c r="B150" s="1" t="s">
        <v>310</v>
      </c>
      <c r="C150" s="1" t="s">
        <v>311</v>
      </c>
    </row>
    <row r="151" spans="1:3">
      <c r="A151">
        <v>471</v>
      </c>
      <c r="B151" s="1" t="s">
        <v>312</v>
      </c>
      <c r="C151" s="1" t="s">
        <v>313</v>
      </c>
    </row>
    <row r="152" spans="1:3">
      <c r="A152">
        <v>472</v>
      </c>
      <c r="B152" s="1" t="s">
        <v>314</v>
      </c>
      <c r="C152" s="1" t="s">
        <v>315</v>
      </c>
    </row>
    <row r="153" spans="1:3">
      <c r="A153">
        <v>473</v>
      </c>
      <c r="B153" s="1" t="s">
        <v>316</v>
      </c>
      <c r="C153" s="1" t="s">
        <v>317</v>
      </c>
    </row>
    <row r="154" spans="1:3">
      <c r="A154">
        <v>474</v>
      </c>
      <c r="B154" s="1" t="s">
        <v>318</v>
      </c>
      <c r="C154" s="1" t="s">
        <v>319</v>
      </c>
    </row>
    <row r="155" spans="1:3">
      <c r="A155">
        <v>475</v>
      </c>
      <c r="B155" s="1" t="s">
        <v>320</v>
      </c>
      <c r="C155" s="1" t="s">
        <v>321</v>
      </c>
    </row>
    <row r="156" spans="1:3">
      <c r="A156">
        <v>476</v>
      </c>
      <c r="B156" s="1" t="s">
        <v>322</v>
      </c>
      <c r="C156" s="1" t="s">
        <v>323</v>
      </c>
    </row>
    <row r="157" spans="1:3">
      <c r="A157">
        <v>477</v>
      </c>
      <c r="B157" s="1" t="s">
        <v>324</v>
      </c>
      <c r="C157" s="1" t="s">
        <v>325</v>
      </c>
    </row>
    <row r="158" spans="1:3">
      <c r="A158">
        <v>478</v>
      </c>
      <c r="B158" s="1" t="s">
        <v>326</v>
      </c>
      <c r="C158" s="1" t="s">
        <v>327</v>
      </c>
    </row>
    <row r="159" spans="1:3">
      <c r="A159">
        <v>479</v>
      </c>
      <c r="B159" s="1" t="s">
        <v>328</v>
      </c>
      <c r="C159" s="1" t="s">
        <v>329</v>
      </c>
    </row>
    <row r="160" spans="1:3">
      <c r="A160">
        <v>480</v>
      </c>
      <c r="B160" s="1" t="s">
        <v>330</v>
      </c>
      <c r="C160" s="1" t="s">
        <v>331</v>
      </c>
    </row>
    <row r="161" spans="1:3">
      <c r="A161">
        <v>481</v>
      </c>
      <c r="B161" s="1" t="s">
        <v>332</v>
      </c>
      <c r="C161" s="1" t="s">
        <v>333</v>
      </c>
    </row>
    <row r="162" spans="1:3">
      <c r="A162">
        <v>482</v>
      </c>
      <c r="B162" s="1" t="s">
        <v>334</v>
      </c>
      <c r="C162" s="1" t="s">
        <v>335</v>
      </c>
    </row>
    <row r="163" spans="1:3">
      <c r="A163">
        <v>483</v>
      </c>
      <c r="B163" s="1" t="s">
        <v>336</v>
      </c>
      <c r="C163" s="1" t="s">
        <v>337</v>
      </c>
    </row>
    <row r="164" spans="1:3">
      <c r="A164">
        <v>484</v>
      </c>
      <c r="B164" s="1" t="s">
        <v>338</v>
      </c>
      <c r="C164" s="1" t="s">
        <v>339</v>
      </c>
    </row>
    <row r="165" spans="1:3">
      <c r="A165">
        <v>485</v>
      </c>
      <c r="B165" s="1" t="s">
        <v>340</v>
      </c>
      <c r="C165" s="1" t="s">
        <v>341</v>
      </c>
    </row>
    <row r="166" spans="1:3">
      <c r="A166">
        <v>486</v>
      </c>
      <c r="B166" s="1" t="s">
        <v>342</v>
      </c>
      <c r="C166" s="1" t="s">
        <v>343</v>
      </c>
    </row>
    <row r="167" spans="1:3">
      <c r="A167">
        <v>487</v>
      </c>
      <c r="B167" s="1" t="s">
        <v>344</v>
      </c>
      <c r="C167" s="1" t="s">
        <v>345</v>
      </c>
    </row>
    <row r="168" spans="1:3">
      <c r="A168">
        <v>488</v>
      </c>
      <c r="B168" s="1" t="s">
        <v>346</v>
      </c>
      <c r="C168" s="1" t="s">
        <v>347</v>
      </c>
    </row>
    <row r="169" spans="1:3">
      <c r="A169">
        <v>489</v>
      </c>
      <c r="B169" s="1" t="s">
        <v>348</v>
      </c>
      <c r="C169" s="1" t="s">
        <v>349</v>
      </c>
    </row>
    <row r="170" spans="1:3">
      <c r="A170">
        <v>490</v>
      </c>
      <c r="B170" s="1" t="s">
        <v>350</v>
      </c>
      <c r="C170" s="1" t="s">
        <v>351</v>
      </c>
    </row>
    <row r="171" spans="1:3">
      <c r="A171">
        <v>491</v>
      </c>
      <c r="B171" s="1" t="s">
        <v>352</v>
      </c>
      <c r="C171" s="1" t="s">
        <v>353</v>
      </c>
    </row>
    <row r="172" spans="1:3">
      <c r="A172">
        <v>492</v>
      </c>
      <c r="B172" s="1" t="s">
        <v>354</v>
      </c>
      <c r="C172" s="1" t="s">
        <v>355</v>
      </c>
    </row>
    <row r="173" spans="1:3">
      <c r="A173">
        <v>493</v>
      </c>
      <c r="B173" s="1" t="s">
        <v>356</v>
      </c>
      <c r="C173" s="1" t="s">
        <v>357</v>
      </c>
    </row>
    <row r="174" spans="1:3">
      <c r="A174">
        <v>494</v>
      </c>
      <c r="B174" s="1" t="s">
        <v>358</v>
      </c>
      <c r="C174" s="1" t="s">
        <v>359</v>
      </c>
    </row>
    <row r="175" spans="1:3">
      <c r="A175">
        <v>495</v>
      </c>
      <c r="B175" s="1" t="s">
        <v>360</v>
      </c>
      <c r="C175" s="1" t="s">
        <v>361</v>
      </c>
    </row>
    <row r="176" spans="1:3">
      <c r="A176">
        <v>496</v>
      </c>
      <c r="B176" s="1" t="s">
        <v>362</v>
      </c>
      <c r="C176" s="1" t="s">
        <v>363</v>
      </c>
    </row>
    <row r="177" spans="1:3">
      <c r="A177">
        <v>497</v>
      </c>
      <c r="B177" s="1" t="s">
        <v>364</v>
      </c>
      <c r="C177" s="1" t="s">
        <v>365</v>
      </c>
    </row>
    <row r="178" spans="1:3">
      <c r="A178">
        <v>504</v>
      </c>
      <c r="B178" s="1" t="s">
        <v>366</v>
      </c>
      <c r="C178" s="1" t="s">
        <v>367</v>
      </c>
    </row>
    <row r="179" spans="1:3">
      <c r="A179">
        <v>505</v>
      </c>
      <c r="B179" s="1" t="s">
        <v>368</v>
      </c>
      <c r="C179" s="1" t="s">
        <v>369</v>
      </c>
    </row>
    <row r="180" spans="1:3">
      <c r="A180">
        <v>506</v>
      </c>
      <c r="B180" s="1" t="s">
        <v>370</v>
      </c>
      <c r="C180" s="1" t="s">
        <v>371</v>
      </c>
    </row>
    <row r="181" spans="1:3">
      <c r="A181">
        <v>507</v>
      </c>
      <c r="B181" s="1" t="s">
        <v>372</v>
      </c>
      <c r="C181" s="1" t="s">
        <v>373</v>
      </c>
    </row>
    <row r="182" spans="1:3">
      <c r="A182">
        <v>508</v>
      </c>
      <c r="B182" s="1" t="s">
        <v>374</v>
      </c>
      <c r="C182" s="1" t="s">
        <v>375</v>
      </c>
    </row>
    <row r="183" spans="1:3">
      <c r="A183">
        <v>509</v>
      </c>
      <c r="B183" s="1" t="s">
        <v>376</v>
      </c>
      <c r="C183" s="1" t="s">
        <v>377</v>
      </c>
    </row>
    <row r="184" spans="1:3">
      <c r="A184">
        <v>510</v>
      </c>
      <c r="B184" s="1" t="s">
        <v>378</v>
      </c>
      <c r="C184" s="1" t="s">
        <v>379</v>
      </c>
    </row>
    <row r="185" spans="1:3">
      <c r="A185">
        <v>511</v>
      </c>
      <c r="B185" s="1" t="s">
        <v>380</v>
      </c>
      <c r="C185" s="1" t="s">
        <v>381</v>
      </c>
    </row>
    <row r="186" spans="1:3">
      <c r="A186">
        <v>512</v>
      </c>
      <c r="B186" s="1" t="s">
        <v>382</v>
      </c>
      <c r="C186" s="1" t="s">
        <v>383</v>
      </c>
    </row>
    <row r="187" spans="1:3">
      <c r="A187">
        <v>513</v>
      </c>
      <c r="B187" s="1" t="s">
        <v>384</v>
      </c>
      <c r="C187" s="1" t="s">
        <v>385</v>
      </c>
    </row>
    <row r="188" spans="1:3">
      <c r="A188">
        <v>514</v>
      </c>
      <c r="B188" s="1" t="s">
        <v>386</v>
      </c>
      <c r="C188" s="1" t="s">
        <v>387</v>
      </c>
    </row>
    <row r="189" spans="1:3">
      <c r="A189">
        <v>515</v>
      </c>
      <c r="B189" s="1" t="s">
        <v>388</v>
      </c>
      <c r="C189" s="1" t="s">
        <v>389</v>
      </c>
    </row>
    <row r="190" spans="1:3">
      <c r="A190">
        <v>516</v>
      </c>
      <c r="B190" s="1" t="s">
        <v>390</v>
      </c>
      <c r="C190" s="1" t="s">
        <v>391</v>
      </c>
    </row>
    <row r="191" spans="1:3">
      <c r="A191">
        <v>517</v>
      </c>
      <c r="B191" s="1" t="s">
        <v>392</v>
      </c>
      <c r="C191" s="1" t="s">
        <v>393</v>
      </c>
    </row>
    <row r="192" spans="1:3">
      <c r="A192">
        <v>518</v>
      </c>
      <c r="B192" s="1" t="s">
        <v>394</v>
      </c>
      <c r="C192" s="1" t="s">
        <v>395</v>
      </c>
    </row>
    <row r="193" spans="1:3">
      <c r="A193">
        <v>519</v>
      </c>
      <c r="B193" s="1" t="s">
        <v>396</v>
      </c>
      <c r="C193" s="1" t="s">
        <v>397</v>
      </c>
    </row>
    <row r="194" spans="1:3">
      <c r="A194">
        <v>520</v>
      </c>
      <c r="B194" s="1" t="s">
        <v>398</v>
      </c>
      <c r="C194" s="1" t="s">
        <v>399</v>
      </c>
    </row>
    <row r="195" spans="1:3">
      <c r="A195">
        <v>521</v>
      </c>
      <c r="B195" s="1" t="s">
        <v>400</v>
      </c>
      <c r="C195" s="1" t="s">
        <v>401</v>
      </c>
    </row>
    <row r="196" spans="1:3">
      <c r="A196">
        <v>522</v>
      </c>
      <c r="B196" s="1" t="s">
        <v>402</v>
      </c>
      <c r="C196" s="1" t="s">
        <v>403</v>
      </c>
    </row>
    <row r="197" spans="1:3">
      <c r="A197">
        <v>523</v>
      </c>
      <c r="B197" s="1" t="s">
        <v>404</v>
      </c>
      <c r="C197" s="1" t="s">
        <v>405</v>
      </c>
    </row>
    <row r="198" spans="1:3">
      <c r="A198">
        <v>524</v>
      </c>
      <c r="B198" s="1" t="s">
        <v>406</v>
      </c>
      <c r="C198" s="1" t="s">
        <v>407</v>
      </c>
    </row>
    <row r="199" spans="1:3">
      <c r="A199">
        <v>525</v>
      </c>
      <c r="B199" s="1" t="s">
        <v>408</v>
      </c>
      <c r="C199" s="1" t="s">
        <v>409</v>
      </c>
    </row>
    <row r="200" spans="1:3">
      <c r="A200">
        <v>526</v>
      </c>
      <c r="B200" s="1" t="s">
        <v>410</v>
      </c>
      <c r="C200" s="1" t="s">
        <v>411</v>
      </c>
    </row>
    <row r="201" spans="1:3">
      <c r="A201">
        <v>527</v>
      </c>
      <c r="B201" s="1" t="s">
        <v>412</v>
      </c>
      <c r="C201" s="1" t="s">
        <v>413</v>
      </c>
    </row>
    <row r="202" spans="1:3">
      <c r="A202">
        <v>528</v>
      </c>
      <c r="B202" s="1" t="s">
        <v>414</v>
      </c>
      <c r="C202" s="1" t="s">
        <v>415</v>
      </c>
    </row>
    <row r="203" spans="1:3">
      <c r="A203">
        <v>529</v>
      </c>
      <c r="B203" s="1" t="s">
        <v>416</v>
      </c>
      <c r="C203" s="1" t="s">
        <v>417</v>
      </c>
    </row>
    <row r="204" spans="1:3">
      <c r="A204">
        <v>530</v>
      </c>
      <c r="B204" s="1" t="s">
        <v>418</v>
      </c>
      <c r="C204" s="1" t="s">
        <v>419</v>
      </c>
    </row>
    <row r="205" spans="1:3">
      <c r="A205">
        <v>531</v>
      </c>
      <c r="B205" s="1" t="s">
        <v>420</v>
      </c>
      <c r="C205" s="1" t="s">
        <v>421</v>
      </c>
    </row>
    <row r="206" spans="1:3">
      <c r="A206">
        <v>532</v>
      </c>
      <c r="B206" s="1" t="s">
        <v>422</v>
      </c>
      <c r="C206" s="1" t="s">
        <v>423</v>
      </c>
    </row>
    <row r="207" spans="1:3">
      <c r="A207">
        <v>533</v>
      </c>
      <c r="B207" s="1" t="s">
        <v>424</v>
      </c>
      <c r="C207" s="1" t="s">
        <v>425</v>
      </c>
    </row>
    <row r="208" spans="1:3">
      <c r="A208">
        <v>534</v>
      </c>
      <c r="B208" s="1" t="s">
        <v>426</v>
      </c>
      <c r="C208" s="1" t="s">
        <v>427</v>
      </c>
    </row>
    <row r="209" spans="1:3">
      <c r="A209">
        <v>535</v>
      </c>
      <c r="B209" s="1" t="s">
        <v>428</v>
      </c>
      <c r="C209" s="1" t="s">
        <v>429</v>
      </c>
    </row>
    <row r="210" spans="1:3">
      <c r="A210">
        <v>679</v>
      </c>
      <c r="B210" s="1" t="s">
        <v>430</v>
      </c>
      <c r="C210" s="1" t="s">
        <v>431</v>
      </c>
    </row>
    <row r="211" spans="1:3">
      <c r="A211">
        <v>680</v>
      </c>
      <c r="B211" s="1" t="s">
        <v>432</v>
      </c>
      <c r="C211" s="1" t="s">
        <v>433</v>
      </c>
    </row>
    <row r="212" spans="1:3">
      <c r="A212">
        <v>706</v>
      </c>
      <c r="B212" s="1" t="s">
        <v>434</v>
      </c>
      <c r="C212" s="1" t="s">
        <v>435</v>
      </c>
    </row>
    <row r="213" spans="1:3">
      <c r="A213">
        <v>707</v>
      </c>
      <c r="B213" s="1" t="s">
        <v>436</v>
      </c>
      <c r="C213" s="1" t="s">
        <v>437</v>
      </c>
    </row>
    <row r="214" spans="1:3">
      <c r="A214">
        <v>708</v>
      </c>
      <c r="B214" s="1" t="s">
        <v>438</v>
      </c>
      <c r="C214" s="1" t="s">
        <v>439</v>
      </c>
    </row>
    <row r="215" spans="1:3">
      <c r="A215">
        <v>709</v>
      </c>
      <c r="B215" s="1" t="s">
        <v>440</v>
      </c>
      <c r="C215" s="1" t="s">
        <v>441</v>
      </c>
    </row>
    <row r="216" spans="1:3">
      <c r="A216">
        <v>710</v>
      </c>
      <c r="B216" s="1" t="s">
        <v>442</v>
      </c>
      <c r="C216" s="1" t="s">
        <v>443</v>
      </c>
    </row>
    <row r="217" spans="1:3">
      <c r="A217">
        <v>711</v>
      </c>
      <c r="B217" s="1" t="s">
        <v>444</v>
      </c>
      <c r="C217" s="1" t="s">
        <v>445</v>
      </c>
    </row>
    <row r="218" spans="1:3">
      <c r="A218">
        <v>712</v>
      </c>
      <c r="B218" s="1" t="s">
        <v>446</v>
      </c>
      <c r="C218" s="1" t="s">
        <v>447</v>
      </c>
    </row>
    <row r="219" spans="1:3">
      <c r="A219">
        <v>713</v>
      </c>
      <c r="B219" s="1" t="s">
        <v>448</v>
      </c>
      <c r="C219" s="1" t="s">
        <v>449</v>
      </c>
    </row>
    <row r="220" spans="1:3">
      <c r="A220">
        <v>714</v>
      </c>
      <c r="B220" s="1" t="s">
        <v>450</v>
      </c>
      <c r="C220" s="1" t="s">
        <v>451</v>
      </c>
    </row>
    <row r="221" spans="1:3">
      <c r="A221">
        <v>715</v>
      </c>
      <c r="B221" s="1" t="s">
        <v>452</v>
      </c>
      <c r="C221" s="1" t="s">
        <v>453</v>
      </c>
    </row>
    <row r="222" spans="1:3">
      <c r="A222">
        <v>716</v>
      </c>
      <c r="B222" s="1" t="s">
        <v>454</v>
      </c>
      <c r="C222" s="1" t="s">
        <v>455</v>
      </c>
    </row>
    <row r="223" spans="1:3">
      <c r="A223">
        <v>717</v>
      </c>
      <c r="B223" s="1" t="s">
        <v>456</v>
      </c>
      <c r="C223" s="1" t="s">
        <v>457</v>
      </c>
    </row>
    <row r="224" spans="1:3">
      <c r="A224">
        <v>718</v>
      </c>
      <c r="B224" s="1" t="s">
        <v>458</v>
      </c>
      <c r="C224" s="1" t="s">
        <v>459</v>
      </c>
    </row>
    <row r="225" spans="1:3">
      <c r="A225">
        <v>719</v>
      </c>
      <c r="B225" s="1" t="s">
        <v>460</v>
      </c>
      <c r="C225" s="1" t="s">
        <v>461</v>
      </c>
    </row>
    <row r="226" spans="1:3">
      <c r="A226">
        <v>720</v>
      </c>
      <c r="B226" s="1" t="s">
        <v>462</v>
      </c>
      <c r="C226" s="1" t="s">
        <v>463</v>
      </c>
    </row>
    <row r="227" spans="1:3">
      <c r="A227">
        <v>721</v>
      </c>
      <c r="B227" s="1" t="s">
        <v>464</v>
      </c>
      <c r="C227" s="1" t="s">
        <v>465</v>
      </c>
    </row>
    <row r="228" spans="1:3">
      <c r="A228">
        <v>722</v>
      </c>
      <c r="B228" s="1" t="s">
        <v>466</v>
      </c>
      <c r="C228" s="1" t="s">
        <v>467</v>
      </c>
    </row>
    <row r="229" spans="1:3">
      <c r="A229">
        <v>723</v>
      </c>
      <c r="B229" s="1" t="s">
        <v>468</v>
      </c>
      <c r="C229" s="1" t="s">
        <v>469</v>
      </c>
    </row>
    <row r="230" spans="1:3">
      <c r="A230">
        <v>724</v>
      </c>
      <c r="B230" s="1" t="s">
        <v>470</v>
      </c>
      <c r="C230" s="1" t="s">
        <v>471</v>
      </c>
    </row>
    <row r="231" spans="1:3">
      <c r="A231">
        <v>725</v>
      </c>
      <c r="B231" s="1" t="s">
        <v>472</v>
      </c>
      <c r="C231" s="1" t="s">
        <v>473</v>
      </c>
    </row>
    <row r="232" spans="1:3">
      <c r="A232">
        <v>726</v>
      </c>
      <c r="B232" s="1" t="s">
        <v>474</v>
      </c>
      <c r="C232" s="1" t="s">
        <v>475</v>
      </c>
    </row>
    <row r="233" spans="1:3">
      <c r="A233">
        <v>727</v>
      </c>
      <c r="B233" s="1" t="s">
        <v>476</v>
      </c>
      <c r="C233" s="1" t="s">
        <v>477</v>
      </c>
    </row>
    <row r="234" spans="1:3">
      <c r="A234">
        <v>728</v>
      </c>
      <c r="B234" s="1" t="s">
        <v>478</v>
      </c>
      <c r="C234" s="1" t="s">
        <v>479</v>
      </c>
    </row>
    <row r="235" spans="1:3">
      <c r="A235">
        <v>729</v>
      </c>
      <c r="B235" s="1" t="s">
        <v>480</v>
      </c>
      <c r="C235" s="1" t="s">
        <v>481</v>
      </c>
    </row>
    <row r="236" spans="1:3">
      <c r="A236">
        <v>730</v>
      </c>
      <c r="B236" s="1" t="s">
        <v>482</v>
      </c>
      <c r="C236" s="1" t="s">
        <v>483</v>
      </c>
    </row>
    <row r="237" spans="1:3">
      <c r="A237">
        <v>731</v>
      </c>
      <c r="B237" s="1" t="s">
        <v>484</v>
      </c>
      <c r="C237" s="1" t="s">
        <v>485</v>
      </c>
    </row>
    <row r="238" spans="1:3">
      <c r="A238">
        <v>732</v>
      </c>
      <c r="B238" s="1" t="s">
        <v>486</v>
      </c>
      <c r="C238" s="1" t="s">
        <v>487</v>
      </c>
    </row>
    <row r="239" spans="1:3">
      <c r="A239">
        <v>733</v>
      </c>
      <c r="B239" s="1" t="s">
        <v>488</v>
      </c>
      <c r="C239" s="1" t="s">
        <v>489</v>
      </c>
    </row>
    <row r="240" spans="1:3">
      <c r="A240">
        <v>734</v>
      </c>
      <c r="B240" s="1" t="s">
        <v>490</v>
      </c>
      <c r="C240" s="1" t="s">
        <v>491</v>
      </c>
    </row>
    <row r="241" spans="1:3">
      <c r="A241">
        <v>735</v>
      </c>
      <c r="B241" s="1" t="s">
        <v>492</v>
      </c>
      <c r="C241" s="1" t="s">
        <v>493</v>
      </c>
    </row>
    <row r="242" spans="1:3">
      <c r="A242">
        <v>736</v>
      </c>
      <c r="B242" s="1" t="s">
        <v>494</v>
      </c>
      <c r="C242" s="1" t="s">
        <v>495</v>
      </c>
    </row>
    <row r="243" spans="1:3">
      <c r="A243">
        <v>737</v>
      </c>
      <c r="B243" s="1" t="s">
        <v>496</v>
      </c>
      <c r="C243" s="1" t="s">
        <v>497</v>
      </c>
    </row>
    <row r="244" spans="1:3">
      <c r="A244">
        <v>738</v>
      </c>
      <c r="B244" s="1" t="s">
        <v>498</v>
      </c>
      <c r="C244" s="1" t="s">
        <v>499</v>
      </c>
    </row>
    <row r="245" spans="1:3">
      <c r="A245">
        <v>739</v>
      </c>
      <c r="B245" s="1" t="s">
        <v>500</v>
      </c>
      <c r="C245" s="1" t="s">
        <v>501</v>
      </c>
    </row>
    <row r="246" spans="1:3">
      <c r="A246">
        <v>740</v>
      </c>
      <c r="B246" s="1" t="s">
        <v>502</v>
      </c>
      <c r="C246" s="1" t="s">
        <v>503</v>
      </c>
    </row>
    <row r="247" spans="1:3">
      <c r="A247">
        <v>741</v>
      </c>
      <c r="B247" s="1" t="s">
        <v>504</v>
      </c>
      <c r="C247" s="1" t="s">
        <v>505</v>
      </c>
    </row>
    <row r="248" spans="1:3">
      <c r="A248">
        <v>742</v>
      </c>
      <c r="B248" s="1" t="s">
        <v>506</v>
      </c>
      <c r="C248" s="1" t="s">
        <v>507</v>
      </c>
    </row>
    <row r="249" spans="1:3">
      <c r="A249">
        <v>743</v>
      </c>
      <c r="B249" s="1" t="s">
        <v>508</v>
      </c>
      <c r="C249" s="1" t="s">
        <v>509</v>
      </c>
    </row>
    <row r="250" spans="1:3">
      <c r="A250">
        <v>744</v>
      </c>
      <c r="B250" s="1" t="s">
        <v>510</v>
      </c>
      <c r="C250" s="1" t="s">
        <v>511</v>
      </c>
    </row>
    <row r="251" spans="1:3">
      <c r="A251">
        <v>745</v>
      </c>
      <c r="B251" s="1" t="s">
        <v>512</v>
      </c>
      <c r="C251" s="1" t="s">
        <v>513</v>
      </c>
    </row>
    <row r="252" spans="1:3">
      <c r="A252">
        <v>746</v>
      </c>
      <c r="B252" s="1" t="s">
        <v>514</v>
      </c>
      <c r="C252" s="1" t="s">
        <v>515</v>
      </c>
    </row>
    <row r="253" spans="1:3">
      <c r="A253">
        <v>747</v>
      </c>
      <c r="B253" s="1" t="s">
        <v>516</v>
      </c>
      <c r="C253" s="1" t="s">
        <v>517</v>
      </c>
    </row>
    <row r="254" spans="1:3">
      <c r="A254">
        <v>748</v>
      </c>
      <c r="B254" s="1" t="s">
        <v>518</v>
      </c>
      <c r="C254" s="1" t="s">
        <v>519</v>
      </c>
    </row>
    <row r="255" spans="1:3">
      <c r="A255">
        <v>749</v>
      </c>
      <c r="B255" s="1" t="s">
        <v>520</v>
      </c>
      <c r="C255" s="1" t="s">
        <v>521</v>
      </c>
    </row>
    <row r="256" spans="1:3">
      <c r="A256">
        <v>750</v>
      </c>
      <c r="B256" s="1" t="s">
        <v>522</v>
      </c>
      <c r="C256" s="1" t="s">
        <v>523</v>
      </c>
    </row>
    <row r="257" spans="1:3">
      <c r="A257">
        <v>751</v>
      </c>
      <c r="B257" s="1" t="s">
        <v>524</v>
      </c>
      <c r="C257" s="1" t="s">
        <v>525</v>
      </c>
    </row>
    <row r="258" spans="1:3">
      <c r="A258">
        <v>752</v>
      </c>
      <c r="B258" s="1" t="s">
        <v>526</v>
      </c>
      <c r="C258" s="1" t="s">
        <v>527</v>
      </c>
    </row>
    <row r="259" spans="1:3">
      <c r="A259">
        <v>753</v>
      </c>
      <c r="B259" s="1" t="s">
        <v>528</v>
      </c>
      <c r="C259" s="1" t="s">
        <v>529</v>
      </c>
    </row>
    <row r="260" spans="1:3">
      <c r="A260">
        <v>754</v>
      </c>
      <c r="B260" s="1" t="s">
        <v>530</v>
      </c>
      <c r="C260" s="1" t="s">
        <v>531</v>
      </c>
    </row>
    <row r="261" spans="1:3">
      <c r="A261">
        <v>755</v>
      </c>
      <c r="B261" s="1" t="s">
        <v>532</v>
      </c>
      <c r="C261" s="1" t="s">
        <v>533</v>
      </c>
    </row>
    <row r="262" spans="1:3">
      <c r="A262">
        <v>756</v>
      </c>
      <c r="B262" s="1" t="s">
        <v>534</v>
      </c>
      <c r="C262" s="1" t="s">
        <v>535</v>
      </c>
    </row>
    <row r="263" spans="1:3">
      <c r="A263">
        <v>757</v>
      </c>
      <c r="B263" s="1" t="s">
        <v>536</v>
      </c>
      <c r="C263" s="1" t="s">
        <v>537</v>
      </c>
    </row>
    <row r="264" spans="1:3">
      <c r="A264">
        <v>758</v>
      </c>
      <c r="B264" s="1" t="s">
        <v>538</v>
      </c>
      <c r="C264" s="1" t="s">
        <v>539</v>
      </c>
    </row>
    <row r="265" spans="1:3">
      <c r="A265">
        <v>759</v>
      </c>
      <c r="B265" s="1" t="s">
        <v>540</v>
      </c>
      <c r="C265" s="1" t="s">
        <v>541</v>
      </c>
    </row>
    <row r="266" spans="1:3">
      <c r="A266">
        <v>760</v>
      </c>
      <c r="B266" s="1" t="s">
        <v>542</v>
      </c>
      <c r="C266" s="1" t="s">
        <v>543</v>
      </c>
    </row>
    <row r="267" spans="1:3">
      <c r="A267">
        <v>761</v>
      </c>
      <c r="B267" s="1" t="s">
        <v>544</v>
      </c>
      <c r="C267" s="1" t="s">
        <v>545</v>
      </c>
    </row>
    <row r="268" spans="1:3">
      <c r="A268">
        <v>762</v>
      </c>
      <c r="B268" s="1" t="s">
        <v>546</v>
      </c>
      <c r="C268" s="1" t="s">
        <v>547</v>
      </c>
    </row>
    <row r="269" spans="1:3">
      <c r="A269">
        <v>763</v>
      </c>
      <c r="B269" s="1" t="s">
        <v>548</v>
      </c>
      <c r="C269" s="1" t="s">
        <v>549</v>
      </c>
    </row>
    <row r="270" spans="1:3">
      <c r="A270">
        <v>764</v>
      </c>
      <c r="B270" s="1" t="s">
        <v>550</v>
      </c>
      <c r="C270" s="1" t="s">
        <v>551</v>
      </c>
    </row>
    <row r="271" spans="1:3">
      <c r="A271">
        <v>765</v>
      </c>
      <c r="B271" s="1" t="s">
        <v>552</v>
      </c>
      <c r="C271" s="1" t="s">
        <v>553</v>
      </c>
    </row>
    <row r="272" spans="1:3">
      <c r="A272">
        <v>766</v>
      </c>
      <c r="B272" s="1" t="s">
        <v>554</v>
      </c>
      <c r="C272" s="1" t="s">
        <v>555</v>
      </c>
    </row>
    <row r="273" spans="1:3">
      <c r="A273">
        <v>767</v>
      </c>
      <c r="B273" s="1" t="s">
        <v>556</v>
      </c>
      <c r="C273" s="1" t="s">
        <v>557</v>
      </c>
    </row>
    <row r="274" spans="1:3">
      <c r="A274">
        <v>768</v>
      </c>
      <c r="B274" s="1" t="s">
        <v>558</v>
      </c>
      <c r="C274" s="1" t="s">
        <v>559</v>
      </c>
    </row>
    <row r="275" spans="1:3">
      <c r="A275">
        <v>769</v>
      </c>
      <c r="B275" s="1" t="s">
        <v>560</v>
      </c>
      <c r="C275" s="1" t="s">
        <v>561</v>
      </c>
    </row>
    <row r="276" spans="1:3">
      <c r="A276">
        <v>770</v>
      </c>
      <c r="B276" s="1" t="s">
        <v>562</v>
      </c>
      <c r="C276" s="1" t="s">
        <v>563</v>
      </c>
    </row>
    <row r="277" spans="1:3">
      <c r="A277">
        <v>771</v>
      </c>
      <c r="B277" s="1" t="s">
        <v>564</v>
      </c>
      <c r="C277" s="1" t="s">
        <v>565</v>
      </c>
    </row>
    <row r="278" spans="1:3">
      <c r="A278">
        <v>772</v>
      </c>
      <c r="B278" s="1" t="s">
        <v>566</v>
      </c>
      <c r="C278" s="1" t="s">
        <v>567</v>
      </c>
    </row>
    <row r="279" spans="1:3">
      <c r="A279">
        <v>773</v>
      </c>
      <c r="B279" s="1" t="s">
        <v>568</v>
      </c>
      <c r="C279" s="1" t="s">
        <v>569</v>
      </c>
    </row>
    <row r="280" spans="1:3">
      <c r="A280">
        <v>774</v>
      </c>
      <c r="B280" s="1" t="s">
        <v>570</v>
      </c>
      <c r="C280" s="1" t="s">
        <v>571</v>
      </c>
    </row>
    <row r="281" spans="1:3">
      <c r="A281">
        <v>775</v>
      </c>
      <c r="B281" s="1" t="s">
        <v>572</v>
      </c>
      <c r="C281" s="1" t="s">
        <v>573</v>
      </c>
    </row>
    <row r="282" spans="1:3">
      <c r="A282">
        <v>776</v>
      </c>
      <c r="B282" s="1" t="s">
        <v>574</v>
      </c>
      <c r="C282" s="1" t="s">
        <v>575</v>
      </c>
    </row>
    <row r="283" spans="1:3">
      <c r="A283">
        <v>777</v>
      </c>
      <c r="B283" s="1" t="s">
        <v>576</v>
      </c>
      <c r="C283" s="1" t="s">
        <v>577</v>
      </c>
    </row>
    <row r="284" spans="1:3">
      <c r="A284">
        <v>778</v>
      </c>
      <c r="B284" s="1" t="s">
        <v>578</v>
      </c>
      <c r="C284" s="1" t="s">
        <v>579</v>
      </c>
    </row>
    <row r="285" spans="1:3">
      <c r="A285">
        <v>779</v>
      </c>
      <c r="B285" s="1" t="s">
        <v>580</v>
      </c>
      <c r="C285" s="1" t="s">
        <v>581</v>
      </c>
    </row>
    <row r="286" spans="1:3">
      <c r="A286">
        <v>780</v>
      </c>
      <c r="B286" s="1" t="s">
        <v>582</v>
      </c>
      <c r="C286" s="1" t="s">
        <v>583</v>
      </c>
    </row>
    <row r="287" spans="1:3">
      <c r="A287">
        <v>781</v>
      </c>
      <c r="B287" s="1" t="s">
        <v>584</v>
      </c>
      <c r="C287" s="1" t="s">
        <v>585</v>
      </c>
    </row>
    <row r="288" spans="1:3">
      <c r="A288">
        <v>782</v>
      </c>
      <c r="B288" s="1" t="s">
        <v>586</v>
      </c>
      <c r="C288" s="1" t="s">
        <v>587</v>
      </c>
    </row>
    <row r="289" spans="1:3">
      <c r="A289">
        <v>783</v>
      </c>
      <c r="B289" s="1" t="s">
        <v>588</v>
      </c>
      <c r="C289" s="1" t="s">
        <v>589</v>
      </c>
    </row>
    <row r="290" spans="1:3">
      <c r="A290">
        <v>784</v>
      </c>
      <c r="B290" s="1" t="s">
        <v>590</v>
      </c>
      <c r="C290" s="1" t="s">
        <v>591</v>
      </c>
    </row>
    <row r="291" spans="1:3">
      <c r="A291">
        <v>785</v>
      </c>
      <c r="B291" s="1" t="s">
        <v>592</v>
      </c>
      <c r="C291" s="1" t="s">
        <v>593</v>
      </c>
    </row>
    <row r="292" spans="1:3">
      <c r="A292">
        <v>786</v>
      </c>
      <c r="B292" s="1" t="s">
        <v>594</v>
      </c>
      <c r="C292" s="1" t="s">
        <v>595</v>
      </c>
    </row>
    <row r="293" spans="1:3">
      <c r="A293">
        <v>787</v>
      </c>
      <c r="B293" s="1" t="s">
        <v>596</v>
      </c>
      <c r="C293" s="1" t="s">
        <v>597</v>
      </c>
    </row>
    <row r="294" spans="1:3">
      <c r="A294">
        <v>788</v>
      </c>
      <c r="B294" s="1" t="s">
        <v>598</v>
      </c>
      <c r="C294" s="1" t="s">
        <v>599</v>
      </c>
    </row>
    <row r="295" spans="1:3">
      <c r="A295">
        <v>789</v>
      </c>
      <c r="B295" s="1" t="s">
        <v>600</v>
      </c>
      <c r="C295" s="1" t="s">
        <v>601</v>
      </c>
    </row>
    <row r="296" spans="1:3">
      <c r="A296">
        <v>790</v>
      </c>
      <c r="B296" s="1" t="s">
        <v>602</v>
      </c>
      <c r="C296" s="1" t="s">
        <v>603</v>
      </c>
    </row>
    <row r="297" spans="1:3">
      <c r="A297">
        <v>791</v>
      </c>
      <c r="B297" s="1" t="s">
        <v>604</v>
      </c>
      <c r="C297" s="1" t="s">
        <v>605</v>
      </c>
    </row>
    <row r="298" spans="1:3">
      <c r="A298">
        <v>792</v>
      </c>
      <c r="B298" s="1" t="s">
        <v>606</v>
      </c>
      <c r="C298" s="1" t="s">
        <v>607</v>
      </c>
    </row>
    <row r="299" spans="1:3">
      <c r="A299">
        <v>793</v>
      </c>
      <c r="B299" s="1" t="s">
        <v>608</v>
      </c>
      <c r="C299" s="1" t="s">
        <v>609</v>
      </c>
    </row>
    <row r="300" spans="1:3">
      <c r="A300">
        <v>794</v>
      </c>
      <c r="B300" s="1" t="s">
        <v>610</v>
      </c>
      <c r="C300" s="1" t="s">
        <v>611</v>
      </c>
    </row>
    <row r="301" spans="1:3">
      <c r="A301">
        <v>795</v>
      </c>
      <c r="B301" s="1" t="s">
        <v>612</v>
      </c>
      <c r="C301" s="1" t="s">
        <v>613</v>
      </c>
    </row>
    <row r="302" spans="1:3">
      <c r="A302">
        <v>796</v>
      </c>
      <c r="B302" s="1" t="s">
        <v>614</v>
      </c>
      <c r="C302" s="1" t="s">
        <v>615</v>
      </c>
    </row>
    <row r="303" spans="1:3">
      <c r="A303">
        <v>797</v>
      </c>
      <c r="B303" s="1" t="s">
        <v>616</v>
      </c>
      <c r="C303" s="1" t="s">
        <v>617</v>
      </c>
    </row>
    <row r="304" spans="1:3">
      <c r="A304">
        <v>798</v>
      </c>
      <c r="B304" s="1" t="s">
        <v>618</v>
      </c>
      <c r="C304" s="1" t="s">
        <v>619</v>
      </c>
    </row>
    <row r="305" spans="1:3">
      <c r="A305">
        <v>799</v>
      </c>
      <c r="B305" s="1" t="s">
        <v>620</v>
      </c>
      <c r="C305" s="1" t="s">
        <v>621</v>
      </c>
    </row>
    <row r="306" spans="1:3">
      <c r="A306">
        <v>800</v>
      </c>
      <c r="B306" s="1" t="s">
        <v>622</v>
      </c>
      <c r="C306" s="1" t="s">
        <v>623</v>
      </c>
    </row>
    <row r="307" spans="1:3">
      <c r="A307">
        <v>801</v>
      </c>
      <c r="B307" s="1" t="s">
        <v>624</v>
      </c>
      <c r="C307" s="1" t="s">
        <v>625</v>
      </c>
    </row>
    <row r="308" spans="1:3">
      <c r="A308">
        <v>802</v>
      </c>
      <c r="B308" s="1" t="s">
        <v>626</v>
      </c>
      <c r="C308" s="1" t="s">
        <v>627</v>
      </c>
    </row>
    <row r="309" spans="1:3">
      <c r="A309">
        <v>803</v>
      </c>
      <c r="B309" s="1" t="s">
        <v>628</v>
      </c>
      <c r="C309" s="1" t="s">
        <v>629</v>
      </c>
    </row>
    <row r="310" spans="1:3">
      <c r="A310">
        <v>804</v>
      </c>
      <c r="B310" s="1" t="s">
        <v>630</v>
      </c>
      <c r="C310" s="1" t="s">
        <v>631</v>
      </c>
    </row>
    <row r="311" spans="1:3">
      <c r="A311">
        <v>805</v>
      </c>
      <c r="B311" s="1" t="s">
        <v>632</v>
      </c>
      <c r="C311" s="1" t="s">
        <v>633</v>
      </c>
    </row>
    <row r="312" spans="1:3">
      <c r="A312">
        <v>806</v>
      </c>
      <c r="B312" s="1" t="s">
        <v>634</v>
      </c>
      <c r="C312" s="1" t="s">
        <v>635</v>
      </c>
    </row>
    <row r="313" spans="1:3">
      <c r="A313">
        <v>807</v>
      </c>
      <c r="B313" s="1" t="s">
        <v>636</v>
      </c>
      <c r="C313" s="1" t="s">
        <v>637</v>
      </c>
    </row>
    <row r="314" spans="1:3">
      <c r="A314">
        <v>808</v>
      </c>
      <c r="B314" s="1" t="s">
        <v>638</v>
      </c>
      <c r="C314" s="1" t="s">
        <v>639</v>
      </c>
    </row>
    <row r="315" spans="1:3">
      <c r="A315">
        <v>809</v>
      </c>
      <c r="B315" s="1" t="s">
        <v>640</v>
      </c>
      <c r="C315" s="1" t="s">
        <v>641</v>
      </c>
    </row>
    <row r="316" spans="1:3">
      <c r="A316">
        <v>810</v>
      </c>
      <c r="B316" s="1" t="s">
        <v>642</v>
      </c>
      <c r="C316" s="1" t="s">
        <v>643</v>
      </c>
    </row>
    <row r="317" spans="1:3">
      <c r="A317">
        <v>811</v>
      </c>
      <c r="B317" s="1" t="s">
        <v>644</v>
      </c>
      <c r="C317" s="1" t="s">
        <v>645</v>
      </c>
    </row>
    <row r="318" spans="1:3">
      <c r="A318">
        <v>812</v>
      </c>
      <c r="B318" s="1" t="s">
        <v>646</v>
      </c>
      <c r="C318" s="1" t="s">
        <v>647</v>
      </c>
    </row>
    <row r="319" spans="1:3">
      <c r="A319">
        <v>813</v>
      </c>
      <c r="B319" s="1" t="s">
        <v>648</v>
      </c>
      <c r="C319" s="1" t="s">
        <v>649</v>
      </c>
    </row>
    <row r="320" spans="1:3">
      <c r="A320">
        <v>814</v>
      </c>
      <c r="B320" s="1" t="s">
        <v>650</v>
      </c>
      <c r="C320" s="1" t="s">
        <v>651</v>
      </c>
    </row>
    <row r="321" spans="1:3">
      <c r="A321">
        <v>815</v>
      </c>
      <c r="B321" s="1" t="s">
        <v>652</v>
      </c>
      <c r="C321" s="1" t="s">
        <v>653</v>
      </c>
    </row>
    <row r="322" spans="1:3">
      <c r="A322">
        <v>816</v>
      </c>
      <c r="B322" s="1" t="s">
        <v>654</v>
      </c>
      <c r="C322" s="1" t="s">
        <v>655</v>
      </c>
    </row>
    <row r="323" spans="1:3">
      <c r="A323">
        <v>817</v>
      </c>
      <c r="B323" s="1" t="s">
        <v>656</v>
      </c>
      <c r="C323" s="1" t="s">
        <v>657</v>
      </c>
    </row>
    <row r="324" spans="1:3">
      <c r="A324">
        <v>818</v>
      </c>
      <c r="B324" s="1" t="s">
        <v>658</v>
      </c>
      <c r="C324" s="1" t="s">
        <v>659</v>
      </c>
    </row>
    <row r="325" spans="1:3">
      <c r="A325">
        <v>819</v>
      </c>
      <c r="B325" s="1" t="s">
        <v>660</v>
      </c>
      <c r="C325" s="1" t="s">
        <v>661</v>
      </c>
    </row>
    <row r="326" spans="1:3">
      <c r="A326">
        <v>820</v>
      </c>
      <c r="B326" s="1" t="s">
        <v>662</v>
      </c>
      <c r="C326" s="1" t="s">
        <v>663</v>
      </c>
    </row>
    <row r="327" spans="1:3">
      <c r="A327">
        <v>821</v>
      </c>
      <c r="B327" s="1" t="s">
        <v>664</v>
      </c>
      <c r="C327" s="1" t="s">
        <v>665</v>
      </c>
    </row>
    <row r="328" spans="1:3">
      <c r="A328">
        <v>822</v>
      </c>
      <c r="B328" s="1" t="s">
        <v>666</v>
      </c>
      <c r="C328" s="1" t="s">
        <v>667</v>
      </c>
    </row>
    <row r="329" spans="1:3">
      <c r="A329">
        <v>823</v>
      </c>
      <c r="B329" s="1" t="s">
        <v>668</v>
      </c>
      <c r="C329" s="1" t="s">
        <v>669</v>
      </c>
    </row>
    <row r="330" spans="1:3">
      <c r="A330">
        <v>824</v>
      </c>
      <c r="B330" s="1" t="s">
        <v>670</v>
      </c>
      <c r="C330" s="1" t="s">
        <v>671</v>
      </c>
    </row>
    <row r="331" spans="1:3">
      <c r="A331">
        <v>825</v>
      </c>
      <c r="B331" s="1" t="s">
        <v>672</v>
      </c>
      <c r="C331" s="1" t="s">
        <v>673</v>
      </c>
    </row>
    <row r="332" spans="1:3">
      <c r="A332">
        <v>826</v>
      </c>
      <c r="B332" s="1" t="s">
        <v>674</v>
      </c>
      <c r="C332" s="1" t="s">
        <v>675</v>
      </c>
    </row>
    <row r="333" spans="1:3">
      <c r="A333">
        <v>827</v>
      </c>
      <c r="B333" s="1" t="s">
        <v>676</v>
      </c>
      <c r="C333" s="1" t="s">
        <v>677</v>
      </c>
    </row>
    <row r="334" spans="1:3">
      <c r="A334">
        <v>828</v>
      </c>
      <c r="B334" s="1" t="s">
        <v>678</v>
      </c>
      <c r="C334" s="1" t="s">
        <v>679</v>
      </c>
    </row>
    <row r="335" spans="1:3">
      <c r="A335">
        <v>829</v>
      </c>
      <c r="B335" s="1" t="s">
        <v>680</v>
      </c>
      <c r="C335" s="1" t="s">
        <v>681</v>
      </c>
    </row>
    <row r="336" spans="1:3">
      <c r="A336">
        <v>830</v>
      </c>
      <c r="B336" s="1" t="s">
        <v>682</v>
      </c>
      <c r="C336" s="1" t="s">
        <v>683</v>
      </c>
    </row>
    <row r="337" spans="1:3">
      <c r="A337">
        <v>831</v>
      </c>
      <c r="B337" s="1" t="s">
        <v>684</v>
      </c>
      <c r="C337" s="1" t="s">
        <v>685</v>
      </c>
    </row>
    <row r="338" spans="1:3">
      <c r="A338">
        <v>832</v>
      </c>
      <c r="B338" s="1" t="s">
        <v>686</v>
      </c>
      <c r="C338" s="1" t="s">
        <v>687</v>
      </c>
    </row>
    <row r="339" spans="1:3">
      <c r="A339">
        <v>833</v>
      </c>
      <c r="B339" s="1" t="s">
        <v>688</v>
      </c>
      <c r="C339" s="1" t="s">
        <v>689</v>
      </c>
    </row>
    <row r="340" spans="1:3">
      <c r="A340">
        <v>834</v>
      </c>
      <c r="B340" s="1" t="s">
        <v>690</v>
      </c>
      <c r="C340" s="1" t="s">
        <v>691</v>
      </c>
    </row>
    <row r="341" spans="1:3">
      <c r="A341">
        <v>835</v>
      </c>
      <c r="B341" s="1" t="s">
        <v>692</v>
      </c>
      <c r="C341" s="1" t="s">
        <v>693</v>
      </c>
    </row>
    <row r="342" spans="1:3">
      <c r="A342">
        <v>836</v>
      </c>
      <c r="B342" s="1" t="s">
        <v>694</v>
      </c>
      <c r="C342" s="1" t="s">
        <v>695</v>
      </c>
    </row>
    <row r="343" spans="1:3">
      <c r="A343">
        <v>837</v>
      </c>
      <c r="B343" s="1" t="s">
        <v>696</v>
      </c>
      <c r="C343" s="1" t="s">
        <v>697</v>
      </c>
    </row>
    <row r="344" spans="1:3">
      <c r="A344">
        <v>838</v>
      </c>
      <c r="B344" s="1" t="s">
        <v>698</v>
      </c>
      <c r="C344" s="1" t="s">
        <v>699</v>
      </c>
    </row>
    <row r="345" spans="1:3">
      <c r="A345">
        <v>839</v>
      </c>
      <c r="B345" s="1" t="s">
        <v>700</v>
      </c>
      <c r="C345" s="1" t="s">
        <v>701</v>
      </c>
    </row>
    <row r="346" spans="1:3">
      <c r="A346">
        <v>840</v>
      </c>
      <c r="B346" s="1" t="s">
        <v>702</v>
      </c>
      <c r="C346" s="1" t="s">
        <v>703</v>
      </c>
    </row>
    <row r="347" spans="1:3">
      <c r="A347">
        <v>841</v>
      </c>
      <c r="B347" s="1" t="s">
        <v>704</v>
      </c>
      <c r="C347" s="1" t="s">
        <v>705</v>
      </c>
    </row>
    <row r="348" spans="1:3">
      <c r="A348">
        <v>842</v>
      </c>
      <c r="B348" s="1" t="s">
        <v>706</v>
      </c>
      <c r="C348" s="1" t="s">
        <v>707</v>
      </c>
    </row>
    <row r="349" spans="1:3">
      <c r="A349">
        <v>843</v>
      </c>
      <c r="B349" s="1" t="s">
        <v>708</v>
      </c>
      <c r="C349" s="1" t="s">
        <v>709</v>
      </c>
    </row>
    <row r="350" spans="1:3">
      <c r="A350">
        <v>844</v>
      </c>
      <c r="B350" s="1" t="s">
        <v>710</v>
      </c>
      <c r="C350" s="1" t="s">
        <v>711</v>
      </c>
    </row>
    <row r="351" spans="1:3">
      <c r="A351">
        <v>845</v>
      </c>
      <c r="B351" s="1" t="s">
        <v>712</v>
      </c>
      <c r="C351" s="1" t="s">
        <v>713</v>
      </c>
    </row>
    <row r="352" spans="1:3">
      <c r="A352">
        <v>846</v>
      </c>
      <c r="B352" s="1" t="s">
        <v>714</v>
      </c>
      <c r="C352" s="1" t="s">
        <v>715</v>
      </c>
    </row>
    <row r="353" spans="1:3">
      <c r="A353">
        <v>847</v>
      </c>
      <c r="B353" s="1" t="s">
        <v>716</v>
      </c>
      <c r="C353" s="1" t="s">
        <v>717</v>
      </c>
    </row>
    <row r="354" spans="1:3">
      <c r="A354">
        <v>848</v>
      </c>
      <c r="B354" s="1" t="s">
        <v>718</v>
      </c>
      <c r="C354" s="1" t="s">
        <v>719</v>
      </c>
    </row>
    <row r="355" spans="1:3">
      <c r="A355">
        <v>849</v>
      </c>
      <c r="B355" s="1" t="s">
        <v>720</v>
      </c>
      <c r="C355" s="1" t="s">
        <v>721</v>
      </c>
    </row>
    <row r="356" spans="1:3">
      <c r="A356">
        <v>850</v>
      </c>
      <c r="B356" s="1" t="s">
        <v>722</v>
      </c>
      <c r="C356" s="1" t="s">
        <v>723</v>
      </c>
    </row>
    <row r="357" spans="1:3">
      <c r="A357">
        <v>851</v>
      </c>
      <c r="B357" s="1" t="s">
        <v>724</v>
      </c>
      <c r="C357" s="1" t="s">
        <v>725</v>
      </c>
    </row>
    <row r="358" spans="1:3">
      <c r="A358">
        <v>852</v>
      </c>
      <c r="B358" s="1" t="s">
        <v>726</v>
      </c>
      <c r="C358" s="1" t="s">
        <v>727</v>
      </c>
    </row>
    <row r="359" spans="1:3">
      <c r="A359">
        <v>853</v>
      </c>
      <c r="B359" s="1" t="s">
        <v>728</v>
      </c>
      <c r="C359" s="1" t="s">
        <v>729</v>
      </c>
    </row>
    <row r="360" spans="1:3">
      <c r="A360">
        <v>854</v>
      </c>
      <c r="B360" s="1" t="s">
        <v>730</v>
      </c>
      <c r="C360" s="1" t="s">
        <v>731</v>
      </c>
    </row>
    <row r="361" spans="1:3">
      <c r="A361">
        <v>855</v>
      </c>
      <c r="B361" s="1" t="s">
        <v>732</v>
      </c>
      <c r="C361" s="1" t="s">
        <v>733</v>
      </c>
    </row>
    <row r="362" spans="1:3">
      <c r="A362">
        <v>856</v>
      </c>
      <c r="B362" s="1" t="s">
        <v>734</v>
      </c>
      <c r="C362" s="1" t="s">
        <v>735</v>
      </c>
    </row>
    <row r="363" spans="1:3">
      <c r="A363">
        <v>857</v>
      </c>
      <c r="B363" s="1" t="s">
        <v>736</v>
      </c>
      <c r="C363" s="1" t="s">
        <v>737</v>
      </c>
    </row>
    <row r="364" spans="1:3">
      <c r="A364">
        <v>858</v>
      </c>
      <c r="B364" s="1" t="s">
        <v>738</v>
      </c>
      <c r="C364" s="1" t="s">
        <v>739</v>
      </c>
    </row>
    <row r="365" spans="1:3">
      <c r="A365">
        <v>859</v>
      </c>
      <c r="B365" s="1" t="s">
        <v>740</v>
      </c>
      <c r="C365" s="1" t="s">
        <v>741</v>
      </c>
    </row>
    <row r="366" spans="1:3">
      <c r="A366">
        <v>860</v>
      </c>
      <c r="B366" s="1" t="s">
        <v>742</v>
      </c>
      <c r="C366" s="1" t="s">
        <v>743</v>
      </c>
    </row>
    <row r="367" spans="1:3">
      <c r="A367">
        <v>861</v>
      </c>
      <c r="B367" s="1" t="s">
        <v>744</v>
      </c>
      <c r="C367" s="1" t="s">
        <v>745</v>
      </c>
    </row>
    <row r="368" spans="1:3">
      <c r="A368">
        <v>862</v>
      </c>
      <c r="B368" s="1" t="s">
        <v>746</v>
      </c>
      <c r="C368" s="1" t="s">
        <v>747</v>
      </c>
    </row>
    <row r="369" spans="1:3">
      <c r="A369">
        <v>863</v>
      </c>
      <c r="B369" s="1" t="s">
        <v>748</v>
      </c>
      <c r="C369" s="1" t="s">
        <v>749</v>
      </c>
    </row>
    <row r="370" spans="1:3">
      <c r="A370">
        <v>864</v>
      </c>
      <c r="B370" s="1" t="s">
        <v>750</v>
      </c>
      <c r="C370" s="1" t="s">
        <v>751</v>
      </c>
    </row>
    <row r="371" spans="1:3">
      <c r="A371">
        <v>865</v>
      </c>
      <c r="B371" s="1" t="s">
        <v>752</v>
      </c>
      <c r="C371" s="1" t="s">
        <v>753</v>
      </c>
    </row>
    <row r="372" spans="1:3">
      <c r="A372">
        <v>866</v>
      </c>
      <c r="B372" s="1" t="s">
        <v>754</v>
      </c>
      <c r="C372" s="1" t="s">
        <v>755</v>
      </c>
    </row>
    <row r="373" spans="1:3">
      <c r="A373">
        <v>867</v>
      </c>
      <c r="B373" s="1" t="s">
        <v>756</v>
      </c>
      <c r="C373" s="1" t="s">
        <v>757</v>
      </c>
    </row>
    <row r="374" spans="1:3">
      <c r="A374">
        <v>868</v>
      </c>
      <c r="B374" s="1" t="s">
        <v>758</v>
      </c>
      <c r="C374" s="1" t="s">
        <v>759</v>
      </c>
    </row>
    <row r="375" spans="1:3">
      <c r="A375">
        <v>869</v>
      </c>
      <c r="B375" s="1" t="s">
        <v>760</v>
      </c>
      <c r="C375" s="1" t="s">
        <v>761</v>
      </c>
    </row>
    <row r="376" spans="1:3">
      <c r="A376">
        <v>870</v>
      </c>
      <c r="B376" s="1" t="s">
        <v>762</v>
      </c>
      <c r="C376" s="1" t="s">
        <v>763</v>
      </c>
    </row>
    <row r="377" spans="1:3">
      <c r="A377">
        <v>871</v>
      </c>
      <c r="B377" s="1" t="s">
        <v>764</v>
      </c>
      <c r="C377" s="1" t="s">
        <v>765</v>
      </c>
    </row>
    <row r="378" spans="1:3">
      <c r="A378">
        <v>872</v>
      </c>
      <c r="B378" s="1" t="s">
        <v>766</v>
      </c>
      <c r="C378" s="1" t="s">
        <v>767</v>
      </c>
    </row>
    <row r="379" spans="1:3">
      <c r="A379">
        <v>873</v>
      </c>
      <c r="B379" s="1" t="s">
        <v>768</v>
      </c>
      <c r="C379" s="1" t="s">
        <v>769</v>
      </c>
    </row>
    <row r="380" spans="1:3">
      <c r="A380">
        <v>874</v>
      </c>
      <c r="B380" s="1" t="s">
        <v>770</v>
      </c>
      <c r="C380" s="1" t="s">
        <v>771</v>
      </c>
    </row>
    <row r="381" spans="1:3">
      <c r="A381">
        <v>875</v>
      </c>
      <c r="B381" s="1" t="s">
        <v>772</v>
      </c>
      <c r="C381" s="1" t="s">
        <v>773</v>
      </c>
    </row>
    <row r="382" spans="1:3">
      <c r="A382">
        <v>876</v>
      </c>
      <c r="B382" s="1" t="s">
        <v>774</v>
      </c>
      <c r="C382" s="1" t="s">
        <v>775</v>
      </c>
    </row>
    <row r="383" spans="1:3">
      <c r="A383">
        <v>877</v>
      </c>
      <c r="B383" s="1" t="s">
        <v>776</v>
      </c>
      <c r="C383" s="1" t="s">
        <v>777</v>
      </c>
    </row>
    <row r="384" spans="1:3">
      <c r="A384">
        <v>878</v>
      </c>
      <c r="B384" s="1" t="s">
        <v>778</v>
      </c>
      <c r="C384" s="1" t="s">
        <v>779</v>
      </c>
    </row>
    <row r="385" spans="1:3">
      <c r="A385">
        <v>879</v>
      </c>
      <c r="B385" s="1" t="s">
        <v>780</v>
      </c>
      <c r="C385" s="1" t="s">
        <v>781</v>
      </c>
    </row>
    <row r="386" spans="1:3">
      <c r="A386">
        <v>880</v>
      </c>
      <c r="B386" s="1" t="s">
        <v>782</v>
      </c>
      <c r="C386" s="1" t="s">
        <v>783</v>
      </c>
    </row>
    <row r="387" spans="1:3">
      <c r="A387">
        <v>881</v>
      </c>
      <c r="B387" s="1" t="s">
        <v>784</v>
      </c>
      <c r="C387" s="1" t="s">
        <v>785</v>
      </c>
    </row>
    <row r="388" spans="1:3">
      <c r="A388">
        <v>882</v>
      </c>
      <c r="B388" s="1" t="s">
        <v>786</v>
      </c>
      <c r="C388" s="1" t="s">
        <v>787</v>
      </c>
    </row>
    <row r="389" spans="1:3">
      <c r="A389">
        <v>883</v>
      </c>
      <c r="B389" s="1" t="s">
        <v>788</v>
      </c>
      <c r="C389" s="1" t="s">
        <v>789</v>
      </c>
    </row>
    <row r="390" spans="1:3">
      <c r="A390">
        <v>884</v>
      </c>
      <c r="B390" s="1" t="s">
        <v>790</v>
      </c>
      <c r="C390" s="1" t="s">
        <v>791</v>
      </c>
    </row>
    <row r="391" spans="1:3">
      <c r="A391">
        <v>885</v>
      </c>
      <c r="B391" s="1" t="s">
        <v>792</v>
      </c>
      <c r="C391" s="1" t="s">
        <v>793</v>
      </c>
    </row>
    <row r="392" spans="1:3">
      <c r="A392">
        <v>886</v>
      </c>
      <c r="B392" s="1" t="s">
        <v>794</v>
      </c>
      <c r="C392" s="1" t="s">
        <v>795</v>
      </c>
    </row>
    <row r="393" spans="1:3">
      <c r="A393">
        <v>887</v>
      </c>
      <c r="B393" s="1" t="s">
        <v>796</v>
      </c>
      <c r="C393" s="1" t="s">
        <v>797</v>
      </c>
    </row>
    <row r="394" spans="1:3">
      <c r="A394">
        <v>888</v>
      </c>
      <c r="B394" s="1" t="s">
        <v>798</v>
      </c>
      <c r="C394" s="1" t="s">
        <v>799</v>
      </c>
    </row>
    <row r="395" spans="1:3">
      <c r="A395">
        <v>889</v>
      </c>
      <c r="B395" s="1" t="s">
        <v>800</v>
      </c>
      <c r="C395" s="1" t="s">
        <v>801</v>
      </c>
    </row>
    <row r="396" spans="1:3">
      <c r="A396">
        <v>890</v>
      </c>
      <c r="B396" s="1" t="s">
        <v>802</v>
      </c>
      <c r="C396" s="1" t="s">
        <v>803</v>
      </c>
    </row>
    <row r="397" spans="1:3">
      <c r="A397">
        <v>891</v>
      </c>
      <c r="B397" s="1" t="s">
        <v>804</v>
      </c>
      <c r="C397" s="1" t="s">
        <v>805</v>
      </c>
    </row>
    <row r="398" spans="1:3">
      <c r="A398">
        <v>892</v>
      </c>
      <c r="B398" s="1" t="s">
        <v>806</v>
      </c>
      <c r="C398" s="1" t="s">
        <v>807</v>
      </c>
    </row>
    <row r="399" spans="1:3">
      <c r="A399">
        <v>893</v>
      </c>
      <c r="B399" s="1" t="s">
        <v>808</v>
      </c>
      <c r="C399" s="1" t="s">
        <v>809</v>
      </c>
    </row>
    <row r="400" spans="1:3">
      <c r="A400">
        <v>894</v>
      </c>
      <c r="B400" s="1" t="s">
        <v>810</v>
      </c>
      <c r="C400" s="1" t="s">
        <v>811</v>
      </c>
    </row>
    <row r="401" spans="1:3">
      <c r="A401">
        <v>895</v>
      </c>
      <c r="B401" s="1" t="s">
        <v>812</v>
      </c>
      <c r="C401" s="1" t="s">
        <v>813</v>
      </c>
    </row>
    <row r="402" spans="1:3">
      <c r="A402">
        <v>896</v>
      </c>
      <c r="B402" s="1" t="s">
        <v>814</v>
      </c>
      <c r="C402" s="1" t="s">
        <v>815</v>
      </c>
    </row>
    <row r="403" spans="1:3">
      <c r="A403">
        <v>897</v>
      </c>
      <c r="B403" s="1" t="s">
        <v>816</v>
      </c>
      <c r="C403" s="1" t="s">
        <v>817</v>
      </c>
    </row>
    <row r="404" spans="1:3">
      <c r="A404">
        <v>898</v>
      </c>
      <c r="B404" s="1" t="s">
        <v>818</v>
      </c>
      <c r="C404" s="1" t="s">
        <v>819</v>
      </c>
    </row>
    <row r="405" spans="1:3">
      <c r="A405">
        <v>899</v>
      </c>
      <c r="B405" s="1" t="s">
        <v>820</v>
      </c>
      <c r="C405" s="1" t="s">
        <v>821</v>
      </c>
    </row>
    <row r="406" spans="1:3">
      <c r="A406">
        <v>900</v>
      </c>
      <c r="B406" s="1" t="s">
        <v>822</v>
      </c>
      <c r="C406" s="1" t="s">
        <v>823</v>
      </c>
    </row>
    <row r="407" spans="1:3">
      <c r="A407">
        <v>901</v>
      </c>
      <c r="B407" s="1" t="s">
        <v>824</v>
      </c>
      <c r="C407" s="1" t="s">
        <v>825</v>
      </c>
    </row>
    <row r="408" spans="1:3">
      <c r="A408">
        <v>902</v>
      </c>
      <c r="B408" s="1" t="s">
        <v>826</v>
      </c>
      <c r="C408" s="1" t="s">
        <v>827</v>
      </c>
    </row>
    <row r="409" spans="1:3">
      <c r="A409">
        <v>903</v>
      </c>
      <c r="B409" s="1" t="s">
        <v>828</v>
      </c>
      <c r="C409" s="1" t="s">
        <v>829</v>
      </c>
    </row>
    <row r="410" spans="1:3">
      <c r="A410">
        <v>904</v>
      </c>
      <c r="B410" s="1" t="s">
        <v>830</v>
      </c>
      <c r="C410" s="1" t="s">
        <v>831</v>
      </c>
    </row>
    <row r="411" spans="1:3">
      <c r="A411">
        <v>905</v>
      </c>
      <c r="B411" s="1" t="s">
        <v>832</v>
      </c>
      <c r="C411" s="1" t="s">
        <v>833</v>
      </c>
    </row>
    <row r="412" spans="1:3">
      <c r="A412">
        <v>906</v>
      </c>
      <c r="B412" s="1" t="s">
        <v>834</v>
      </c>
      <c r="C412" s="1" t="s">
        <v>835</v>
      </c>
    </row>
    <row r="413" spans="1:3">
      <c r="A413">
        <v>907</v>
      </c>
      <c r="B413" s="1" t="s">
        <v>836</v>
      </c>
      <c r="C413" s="1" t="s">
        <v>837</v>
      </c>
    </row>
    <row r="414" spans="1:3">
      <c r="A414">
        <v>908</v>
      </c>
      <c r="B414" s="1" t="s">
        <v>838</v>
      </c>
      <c r="C414" s="1" t="s">
        <v>839</v>
      </c>
    </row>
    <row r="415" spans="1:3">
      <c r="A415">
        <v>909</v>
      </c>
      <c r="B415" s="1" t="s">
        <v>840</v>
      </c>
      <c r="C415" s="1" t="s">
        <v>841</v>
      </c>
    </row>
    <row r="416" spans="1:3">
      <c r="A416">
        <v>910</v>
      </c>
      <c r="B416" s="1" t="s">
        <v>842</v>
      </c>
      <c r="C416" s="1" t="s">
        <v>843</v>
      </c>
    </row>
    <row r="417" spans="1:3">
      <c r="A417">
        <v>911</v>
      </c>
      <c r="B417" s="1" t="s">
        <v>844</v>
      </c>
      <c r="C417" s="1" t="s">
        <v>845</v>
      </c>
    </row>
    <row r="418" spans="1:3">
      <c r="A418">
        <v>912</v>
      </c>
      <c r="B418" s="1" t="s">
        <v>846</v>
      </c>
      <c r="C418" s="1" t="s">
        <v>847</v>
      </c>
    </row>
    <row r="419" spans="1:3">
      <c r="A419">
        <v>913</v>
      </c>
      <c r="B419" s="1" t="s">
        <v>848</v>
      </c>
      <c r="C419" s="1" t="s">
        <v>849</v>
      </c>
    </row>
    <row r="420" spans="1:3">
      <c r="A420">
        <v>914</v>
      </c>
      <c r="B420" s="1" t="s">
        <v>850</v>
      </c>
      <c r="C420" s="1" t="s">
        <v>851</v>
      </c>
    </row>
    <row r="421" spans="1:3">
      <c r="A421">
        <v>915</v>
      </c>
      <c r="B421" s="1" t="s">
        <v>852</v>
      </c>
      <c r="C421" s="1" t="s">
        <v>853</v>
      </c>
    </row>
    <row r="422" spans="1:3">
      <c r="A422">
        <v>916</v>
      </c>
      <c r="B422" s="1" t="s">
        <v>854</v>
      </c>
      <c r="C422" s="1" t="s">
        <v>855</v>
      </c>
    </row>
    <row r="423" spans="1:3">
      <c r="A423">
        <v>917</v>
      </c>
      <c r="B423" s="1" t="s">
        <v>856</v>
      </c>
      <c r="C423" s="1" t="s">
        <v>857</v>
      </c>
    </row>
    <row r="424" spans="1:3">
      <c r="A424">
        <v>918</v>
      </c>
      <c r="B424" s="1" t="s">
        <v>858</v>
      </c>
      <c r="C424" s="1" t="s">
        <v>859</v>
      </c>
    </row>
    <row r="425" spans="1:3">
      <c r="A425">
        <v>919</v>
      </c>
      <c r="B425" s="1" t="s">
        <v>860</v>
      </c>
      <c r="C425" s="1" t="s">
        <v>861</v>
      </c>
    </row>
    <row r="426" spans="1:3">
      <c r="A426">
        <v>920</v>
      </c>
      <c r="B426" s="1" t="s">
        <v>862</v>
      </c>
      <c r="C426" s="1" t="s">
        <v>863</v>
      </c>
    </row>
    <row r="427" spans="1:3">
      <c r="A427">
        <v>921</v>
      </c>
      <c r="B427" s="1" t="s">
        <v>864</v>
      </c>
      <c r="C427" s="1" t="s">
        <v>865</v>
      </c>
    </row>
    <row r="428" spans="1:3">
      <c r="A428">
        <v>922</v>
      </c>
      <c r="B428" s="1" t="s">
        <v>866</v>
      </c>
      <c r="C428" s="1" t="s">
        <v>867</v>
      </c>
    </row>
    <row r="429" spans="1:3">
      <c r="A429">
        <v>923</v>
      </c>
      <c r="B429" s="1" t="s">
        <v>868</v>
      </c>
      <c r="C429" s="1" t="s">
        <v>869</v>
      </c>
    </row>
    <row r="430" spans="1:3">
      <c r="A430">
        <v>924</v>
      </c>
      <c r="B430" s="1" t="s">
        <v>870</v>
      </c>
      <c r="C430" s="1" t="s">
        <v>871</v>
      </c>
    </row>
    <row r="431" spans="1:3">
      <c r="A431">
        <v>925</v>
      </c>
      <c r="B431" s="1" t="s">
        <v>872</v>
      </c>
      <c r="C431" s="1" t="s">
        <v>873</v>
      </c>
    </row>
    <row r="432" spans="1:3">
      <c r="A432">
        <v>926</v>
      </c>
      <c r="B432" s="1" t="s">
        <v>874</v>
      </c>
      <c r="C432" s="1" t="s">
        <v>875</v>
      </c>
    </row>
    <row r="433" spans="1:3">
      <c r="A433">
        <v>927</v>
      </c>
      <c r="B433" s="1" t="s">
        <v>876</v>
      </c>
      <c r="C433" s="1" t="s">
        <v>877</v>
      </c>
    </row>
    <row r="434" spans="1:3">
      <c r="A434">
        <v>928</v>
      </c>
      <c r="B434" s="1" t="s">
        <v>878</v>
      </c>
      <c r="C434" s="1" t="s">
        <v>879</v>
      </c>
    </row>
    <row r="435" spans="1:3">
      <c r="A435">
        <v>929</v>
      </c>
      <c r="B435" s="1" t="s">
        <v>880</v>
      </c>
      <c r="C435" s="1" t="s">
        <v>881</v>
      </c>
    </row>
    <row r="436" spans="1:3">
      <c r="A436">
        <v>930</v>
      </c>
      <c r="B436" s="1" t="s">
        <v>882</v>
      </c>
      <c r="C436" s="1" t="s">
        <v>883</v>
      </c>
    </row>
    <row r="437" spans="1:3">
      <c r="A437">
        <v>931</v>
      </c>
      <c r="B437" s="1" t="s">
        <v>884</v>
      </c>
      <c r="C437" s="1" t="s">
        <v>885</v>
      </c>
    </row>
    <row r="438" spans="1:3">
      <c r="A438">
        <v>932</v>
      </c>
      <c r="B438" s="1" t="s">
        <v>886</v>
      </c>
      <c r="C438" s="1" t="s">
        <v>887</v>
      </c>
    </row>
    <row r="439" spans="1:3">
      <c r="A439">
        <v>933</v>
      </c>
      <c r="B439" s="1" t="s">
        <v>888</v>
      </c>
      <c r="C439" s="1" t="s">
        <v>889</v>
      </c>
    </row>
    <row r="440" spans="1:3">
      <c r="A440">
        <v>934</v>
      </c>
      <c r="B440" s="1" t="s">
        <v>890</v>
      </c>
      <c r="C440" s="1" t="s">
        <v>891</v>
      </c>
    </row>
    <row r="441" spans="1:3">
      <c r="A441">
        <v>935</v>
      </c>
      <c r="B441" s="1" t="s">
        <v>892</v>
      </c>
      <c r="C441" s="1" t="s">
        <v>893</v>
      </c>
    </row>
    <row r="442" spans="1:3">
      <c r="A442">
        <v>936</v>
      </c>
      <c r="B442" s="1" t="s">
        <v>894</v>
      </c>
      <c r="C442" s="1" t="s">
        <v>895</v>
      </c>
    </row>
    <row r="443" spans="1:3">
      <c r="A443">
        <v>937</v>
      </c>
      <c r="B443" s="1" t="s">
        <v>896</v>
      </c>
      <c r="C443" s="1" t="s">
        <v>897</v>
      </c>
    </row>
    <row r="444" spans="1:3">
      <c r="A444">
        <v>938</v>
      </c>
      <c r="B444" s="1" t="s">
        <v>898</v>
      </c>
      <c r="C444" s="1" t="s">
        <v>899</v>
      </c>
    </row>
    <row r="445" spans="1:3">
      <c r="A445">
        <v>939</v>
      </c>
      <c r="B445" s="1" t="s">
        <v>900</v>
      </c>
      <c r="C445" s="1" t="s">
        <v>901</v>
      </c>
    </row>
    <row r="446" spans="1:3">
      <c r="A446">
        <v>940</v>
      </c>
      <c r="B446" s="1" t="s">
        <v>902</v>
      </c>
      <c r="C446" s="1" t="s">
        <v>903</v>
      </c>
    </row>
    <row r="447" spans="1:3">
      <c r="A447">
        <v>941</v>
      </c>
      <c r="B447" s="1" t="s">
        <v>904</v>
      </c>
      <c r="C447" s="1" t="s">
        <v>905</v>
      </c>
    </row>
    <row r="448" spans="1:3">
      <c r="A448">
        <v>942</v>
      </c>
      <c r="B448" s="1" t="s">
        <v>906</v>
      </c>
      <c r="C448" s="1" t="s">
        <v>907</v>
      </c>
    </row>
    <row r="449" spans="1:3">
      <c r="A449">
        <v>943</v>
      </c>
      <c r="B449" s="1" t="s">
        <v>908</v>
      </c>
      <c r="C449" s="1" t="s">
        <v>909</v>
      </c>
    </row>
    <row r="450" spans="1:3">
      <c r="A450">
        <v>944</v>
      </c>
      <c r="B450" s="1" t="s">
        <v>910</v>
      </c>
      <c r="C450" s="1" t="s">
        <v>911</v>
      </c>
    </row>
    <row r="451" spans="1:3">
      <c r="A451">
        <v>945</v>
      </c>
      <c r="B451" s="1" t="s">
        <v>912</v>
      </c>
      <c r="C451" s="1" t="s">
        <v>913</v>
      </c>
    </row>
    <row r="452" spans="1:3">
      <c r="A452">
        <v>946</v>
      </c>
      <c r="B452" s="1" t="s">
        <v>914</v>
      </c>
      <c r="C452" s="1" t="s">
        <v>915</v>
      </c>
    </row>
    <row r="453" spans="1:3">
      <c r="A453">
        <v>947</v>
      </c>
      <c r="B453" s="1" t="s">
        <v>916</v>
      </c>
      <c r="C453" s="1" t="s">
        <v>917</v>
      </c>
    </row>
    <row r="454" spans="1:3">
      <c r="A454">
        <v>948</v>
      </c>
      <c r="B454" s="1" t="s">
        <v>918</v>
      </c>
      <c r="C454" s="1" t="s">
        <v>919</v>
      </c>
    </row>
    <row r="455" spans="1:3">
      <c r="A455">
        <v>949</v>
      </c>
      <c r="B455" s="1" t="s">
        <v>920</v>
      </c>
      <c r="C455" s="1" t="s">
        <v>921</v>
      </c>
    </row>
    <row r="456" spans="1:3">
      <c r="A456">
        <v>950</v>
      </c>
      <c r="B456" s="1" t="s">
        <v>922</v>
      </c>
      <c r="C456" s="1" t="s">
        <v>923</v>
      </c>
    </row>
    <row r="457" spans="1:3">
      <c r="A457">
        <v>951</v>
      </c>
      <c r="B457" s="1" t="s">
        <v>924</v>
      </c>
      <c r="C457" s="1" t="s">
        <v>925</v>
      </c>
    </row>
    <row r="458" spans="1:3">
      <c r="A458">
        <v>952</v>
      </c>
      <c r="B458" s="1" t="s">
        <v>926</v>
      </c>
      <c r="C458" s="1" t="s">
        <v>927</v>
      </c>
    </row>
    <row r="459" spans="1:3">
      <c r="A459">
        <v>953</v>
      </c>
      <c r="B459" s="1" t="s">
        <v>928</v>
      </c>
      <c r="C459" s="1" t="s">
        <v>929</v>
      </c>
    </row>
    <row r="460" spans="1:3">
      <c r="A460">
        <v>954</v>
      </c>
      <c r="B460" s="1" t="s">
        <v>930</v>
      </c>
      <c r="C460" s="1" t="s">
        <v>931</v>
      </c>
    </row>
    <row r="461" spans="1:3">
      <c r="A461">
        <v>955</v>
      </c>
      <c r="B461" s="1" t="s">
        <v>932</v>
      </c>
      <c r="C461" s="1" t="s">
        <v>933</v>
      </c>
    </row>
    <row r="462" spans="1:3">
      <c r="A462">
        <v>956</v>
      </c>
      <c r="B462" s="1" t="s">
        <v>934</v>
      </c>
      <c r="C462" s="1" t="s">
        <v>935</v>
      </c>
    </row>
    <row r="463" spans="1:3">
      <c r="A463">
        <v>957</v>
      </c>
      <c r="B463" s="1" t="s">
        <v>936</v>
      </c>
      <c r="C463" s="1" t="s">
        <v>937</v>
      </c>
    </row>
    <row r="464" spans="1:3">
      <c r="A464">
        <v>958</v>
      </c>
      <c r="B464" s="1" t="s">
        <v>938</v>
      </c>
      <c r="C464" s="1" t="s">
        <v>939</v>
      </c>
    </row>
    <row r="465" spans="1:3">
      <c r="A465">
        <v>959</v>
      </c>
      <c r="B465" s="1" t="s">
        <v>940</v>
      </c>
      <c r="C465" s="1" t="s">
        <v>941</v>
      </c>
    </row>
    <row r="466" spans="1:3">
      <c r="A466">
        <v>960</v>
      </c>
      <c r="B466" s="1" t="s">
        <v>942</v>
      </c>
      <c r="C466" s="1" t="s">
        <v>943</v>
      </c>
    </row>
    <row r="467" spans="1:3">
      <c r="A467">
        <v>961</v>
      </c>
      <c r="B467" s="1" t="s">
        <v>944</v>
      </c>
      <c r="C467" s="1" t="s">
        <v>945</v>
      </c>
    </row>
    <row r="468" spans="1:3">
      <c r="A468">
        <v>962</v>
      </c>
      <c r="B468" s="1" t="s">
        <v>946</v>
      </c>
      <c r="C468" s="1" t="s">
        <v>947</v>
      </c>
    </row>
    <row r="469" spans="1:3">
      <c r="A469">
        <v>963</v>
      </c>
      <c r="B469" s="1" t="s">
        <v>948</v>
      </c>
      <c r="C469" s="1" t="s">
        <v>949</v>
      </c>
    </row>
    <row r="470" spans="1:3">
      <c r="A470">
        <v>964</v>
      </c>
      <c r="B470" s="1" t="s">
        <v>950</v>
      </c>
      <c r="C470" s="1" t="s">
        <v>951</v>
      </c>
    </row>
    <row r="471" spans="1:3">
      <c r="A471">
        <v>965</v>
      </c>
      <c r="B471" s="1" t="s">
        <v>952</v>
      </c>
      <c r="C471" s="1" t="s">
        <v>953</v>
      </c>
    </row>
    <row r="472" spans="1:3">
      <c r="A472">
        <v>966</v>
      </c>
      <c r="B472" s="1" t="s">
        <v>954</v>
      </c>
      <c r="C472" s="1" t="s">
        <v>955</v>
      </c>
    </row>
    <row r="473" spans="1:3">
      <c r="A473">
        <v>967</v>
      </c>
      <c r="B473" s="1" t="s">
        <v>956</v>
      </c>
      <c r="C473" s="1" t="s">
        <v>957</v>
      </c>
    </row>
    <row r="474" spans="1:3">
      <c r="A474">
        <v>968</v>
      </c>
      <c r="B474" s="1" t="s">
        <v>958</v>
      </c>
      <c r="C474" s="1" t="s">
        <v>959</v>
      </c>
    </row>
    <row r="475" spans="1:3">
      <c r="A475">
        <v>969</v>
      </c>
      <c r="B475" s="1" t="s">
        <v>960</v>
      </c>
      <c r="C475" s="1" t="s">
        <v>961</v>
      </c>
    </row>
    <row r="476" spans="1:3">
      <c r="A476">
        <v>970</v>
      </c>
      <c r="B476" s="1" t="s">
        <v>962</v>
      </c>
      <c r="C476" s="1" t="s">
        <v>963</v>
      </c>
    </row>
    <row r="477" spans="1:3">
      <c r="A477">
        <v>971</v>
      </c>
      <c r="B477" s="1" t="s">
        <v>964</v>
      </c>
      <c r="C477" s="1" t="s">
        <v>965</v>
      </c>
    </row>
    <row r="478" spans="1:3">
      <c r="A478">
        <v>972</v>
      </c>
      <c r="B478" s="1" t="s">
        <v>966</v>
      </c>
      <c r="C478" s="1" t="s">
        <v>967</v>
      </c>
    </row>
    <row r="479" spans="1:3">
      <c r="A479">
        <v>973</v>
      </c>
      <c r="B479" s="1" t="s">
        <v>968</v>
      </c>
      <c r="C479" s="1" t="s">
        <v>969</v>
      </c>
    </row>
    <row r="480" spans="1:3">
      <c r="A480">
        <v>974</v>
      </c>
      <c r="B480" s="1" t="s">
        <v>970</v>
      </c>
      <c r="C480" s="1" t="s">
        <v>971</v>
      </c>
    </row>
    <row r="481" spans="1:3">
      <c r="A481">
        <v>975</v>
      </c>
      <c r="B481" s="1" t="s">
        <v>972</v>
      </c>
      <c r="C481" s="1" t="s">
        <v>973</v>
      </c>
    </row>
    <row r="482" spans="1:3">
      <c r="A482">
        <v>976</v>
      </c>
      <c r="B482" s="1" t="s">
        <v>974</v>
      </c>
      <c r="C482" s="1" t="s">
        <v>975</v>
      </c>
    </row>
    <row r="483" spans="1:3">
      <c r="A483">
        <v>977</v>
      </c>
      <c r="B483" s="1" t="s">
        <v>976</v>
      </c>
      <c r="C483" s="1" t="s">
        <v>977</v>
      </c>
    </row>
    <row r="484" spans="1:3">
      <c r="A484">
        <v>978</v>
      </c>
      <c r="B484" s="1" t="s">
        <v>978</v>
      </c>
      <c r="C484" s="1" t="s">
        <v>979</v>
      </c>
    </row>
    <row r="485" spans="1:3">
      <c r="A485">
        <v>979</v>
      </c>
      <c r="B485" s="1" t="s">
        <v>980</v>
      </c>
      <c r="C485" s="1" t="s">
        <v>981</v>
      </c>
    </row>
    <row r="486" spans="1:3">
      <c r="A486">
        <v>980</v>
      </c>
      <c r="B486" s="1" t="s">
        <v>982</v>
      </c>
      <c r="C486" s="1" t="s">
        <v>983</v>
      </c>
    </row>
    <row r="487" spans="1:3">
      <c r="A487">
        <v>981</v>
      </c>
      <c r="B487" s="1" t="s">
        <v>984</v>
      </c>
      <c r="C487" s="1" t="s">
        <v>985</v>
      </c>
    </row>
    <row r="488" spans="1:3">
      <c r="A488">
        <v>982</v>
      </c>
      <c r="B488" s="1" t="s">
        <v>986</v>
      </c>
      <c r="C488" s="1" t="s">
        <v>987</v>
      </c>
    </row>
    <row r="489" spans="1:3">
      <c r="A489">
        <v>983</v>
      </c>
      <c r="B489" s="1" t="s">
        <v>988</v>
      </c>
      <c r="C489" s="1" t="s">
        <v>989</v>
      </c>
    </row>
    <row r="490" spans="1:3">
      <c r="A490">
        <v>984</v>
      </c>
      <c r="B490" s="1" t="s">
        <v>990</v>
      </c>
      <c r="C490" s="1" t="s">
        <v>991</v>
      </c>
    </row>
    <row r="491" spans="1:3">
      <c r="A491">
        <v>985</v>
      </c>
      <c r="B491" s="1" t="s">
        <v>992</v>
      </c>
      <c r="C491" s="1" t="s">
        <v>993</v>
      </c>
    </row>
    <row r="492" spans="1:3">
      <c r="A492">
        <v>986</v>
      </c>
      <c r="B492" s="1" t="s">
        <v>994</v>
      </c>
      <c r="C492" s="1" t="s">
        <v>995</v>
      </c>
    </row>
    <row r="493" spans="1:3">
      <c r="A493">
        <v>987</v>
      </c>
      <c r="B493" s="1" t="s">
        <v>996</v>
      </c>
      <c r="C493" s="1" t="s">
        <v>997</v>
      </c>
    </row>
    <row r="494" spans="1:3">
      <c r="A494">
        <v>988</v>
      </c>
      <c r="B494" s="1" t="s">
        <v>998</v>
      </c>
      <c r="C494" s="1" t="s">
        <v>999</v>
      </c>
    </row>
    <row r="495" spans="1:3">
      <c r="A495">
        <v>989</v>
      </c>
      <c r="B495" s="1" t="s">
        <v>1000</v>
      </c>
      <c r="C495" s="1" t="s">
        <v>1001</v>
      </c>
    </row>
    <row r="496" spans="1:3">
      <c r="A496">
        <v>990</v>
      </c>
      <c r="B496" s="1" t="s">
        <v>1002</v>
      </c>
      <c r="C496" s="1" t="s">
        <v>1003</v>
      </c>
    </row>
    <row r="497" spans="1:3">
      <c r="A497">
        <v>991</v>
      </c>
      <c r="B497" s="1" t="s">
        <v>1004</v>
      </c>
      <c r="C497" s="1" t="s">
        <v>1005</v>
      </c>
    </row>
    <row r="498" spans="1:3">
      <c r="A498">
        <v>992</v>
      </c>
      <c r="B498" s="1" t="s">
        <v>1006</v>
      </c>
      <c r="C498" s="1" t="s">
        <v>1007</v>
      </c>
    </row>
    <row r="499" spans="1:3">
      <c r="A499">
        <v>993</v>
      </c>
      <c r="B499" s="1" t="s">
        <v>1008</v>
      </c>
      <c r="C499" s="1" t="s">
        <v>1009</v>
      </c>
    </row>
    <row r="500" spans="1:3">
      <c r="A500">
        <v>994</v>
      </c>
      <c r="B500" s="1" t="s">
        <v>1010</v>
      </c>
      <c r="C500" s="1" t="s">
        <v>1011</v>
      </c>
    </row>
    <row r="501" spans="1:3">
      <c r="A501">
        <v>995</v>
      </c>
      <c r="B501" s="1" t="s">
        <v>1012</v>
      </c>
      <c r="C501" s="1" t="s">
        <v>1013</v>
      </c>
    </row>
    <row r="502" spans="1:3">
      <c r="A502">
        <v>996</v>
      </c>
      <c r="B502" s="1" t="s">
        <v>1014</v>
      </c>
      <c r="C502" s="1" t="s">
        <v>1015</v>
      </c>
    </row>
    <row r="503" spans="1:3">
      <c r="A503">
        <v>997</v>
      </c>
      <c r="B503" s="1" t="s">
        <v>1016</v>
      </c>
      <c r="C503" s="1" t="s">
        <v>1017</v>
      </c>
    </row>
    <row r="504" spans="1:3">
      <c r="A504">
        <v>998</v>
      </c>
      <c r="B504" s="1" t="s">
        <v>1018</v>
      </c>
      <c r="C504" s="1" t="s">
        <v>1019</v>
      </c>
    </row>
    <row r="505" spans="1:3">
      <c r="A505">
        <v>999</v>
      </c>
      <c r="B505" s="1" t="s">
        <v>1020</v>
      </c>
      <c r="C505" s="1" t="s">
        <v>1021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304B3-6814-4010-AB87-F65F54744F6A}">
  <dimension ref="A1:B15"/>
  <sheetViews>
    <sheetView workbookViewId="0">
      <selection activeCell="B5" sqref="B5"/>
    </sheetView>
  </sheetViews>
  <sheetFormatPr defaultRowHeight="14.5"/>
  <cols>
    <col min="1" max="1" width="10.54296875" bestFit="1" customWidth="1"/>
    <col min="2" max="2" width="20.453125" bestFit="1" customWidth="1"/>
  </cols>
  <sheetData>
    <row r="1" spans="1:2">
      <c r="A1" t="s">
        <v>1023</v>
      </c>
      <c r="B1" t="s">
        <v>1027</v>
      </c>
    </row>
    <row r="2" spans="1:2">
      <c r="A2">
        <v>30</v>
      </c>
      <c r="B2" s="1" t="s">
        <v>0</v>
      </c>
    </row>
    <row r="3" spans="1:2">
      <c r="A3">
        <v>60</v>
      </c>
      <c r="B3" s="1" t="s">
        <v>1</v>
      </c>
    </row>
    <row r="4" spans="1:2">
      <c r="A4">
        <v>7</v>
      </c>
      <c r="B4" s="1" t="s">
        <v>2</v>
      </c>
    </row>
    <row r="5" spans="1:2">
      <c r="A5">
        <v>10</v>
      </c>
      <c r="B5" s="1" t="s">
        <v>3</v>
      </c>
    </row>
    <row r="6" spans="1:2">
      <c r="A6">
        <v>20</v>
      </c>
      <c r="B6" s="1" t="s">
        <v>4</v>
      </c>
    </row>
    <row r="7" spans="1:2">
      <c r="A7">
        <v>5</v>
      </c>
      <c r="B7" s="1" t="s">
        <v>5</v>
      </c>
    </row>
    <row r="8" spans="1:2">
      <c r="A8">
        <v>6</v>
      </c>
      <c r="B8" s="1" t="s">
        <v>6</v>
      </c>
    </row>
    <row r="9" spans="1:2">
      <c r="A9">
        <v>40</v>
      </c>
      <c r="B9" s="1" t="s">
        <v>7</v>
      </c>
    </row>
    <row r="10" spans="1:2">
      <c r="A10">
        <v>3</v>
      </c>
      <c r="B10" s="1" t="s">
        <v>8</v>
      </c>
    </row>
    <row r="11" spans="1:2">
      <c r="A11">
        <v>4</v>
      </c>
      <c r="B11" s="1" t="s">
        <v>9</v>
      </c>
    </row>
    <row r="12" spans="1:2">
      <c r="A12">
        <v>2</v>
      </c>
      <c r="B12" s="1" t="s">
        <v>10</v>
      </c>
    </row>
    <row r="13" spans="1:2">
      <c r="A13">
        <v>45</v>
      </c>
      <c r="B13" s="1" t="s">
        <v>11</v>
      </c>
    </row>
    <row r="14" spans="1:2">
      <c r="A14">
        <v>50</v>
      </c>
      <c r="B14" s="1" t="s">
        <v>12</v>
      </c>
    </row>
    <row r="15" spans="1:2">
      <c r="A15">
        <v>1</v>
      </c>
      <c r="B15" s="1" t="s">
        <v>13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09B4-3944-4958-8351-41A5F6BBA854}">
  <dimension ref="A1:B18"/>
  <sheetViews>
    <sheetView workbookViewId="0">
      <selection sqref="A1:B18"/>
    </sheetView>
  </sheetViews>
  <sheetFormatPr defaultRowHeight="14.5"/>
  <cols>
    <col min="1" max="1" width="21.08984375" bestFit="1" customWidth="1"/>
    <col min="2" max="2" width="17.1796875" bestFit="1" customWidth="1"/>
  </cols>
  <sheetData>
    <row r="1" spans="1:2">
      <c r="A1" s="13" t="s">
        <v>1033</v>
      </c>
      <c r="B1" t="s" vm="1">
        <v>1042</v>
      </c>
    </row>
    <row r="3" spans="1:2">
      <c r="A3" s="13" t="s">
        <v>1038</v>
      </c>
      <c r="B3" t="s">
        <v>1043</v>
      </c>
    </row>
    <row r="4" spans="1:2">
      <c r="A4" s="2" t="s">
        <v>0</v>
      </c>
      <c r="B4" s="1">
        <v>2</v>
      </c>
    </row>
    <row r="5" spans="1:2">
      <c r="A5" s="2" t="s">
        <v>1</v>
      </c>
      <c r="B5" s="1">
        <v>47</v>
      </c>
    </row>
    <row r="6" spans="1:2">
      <c r="A6" s="2" t="s">
        <v>2</v>
      </c>
      <c r="B6" s="1">
        <v>49</v>
      </c>
    </row>
    <row r="7" spans="1:2">
      <c r="A7" s="2" t="s">
        <v>3</v>
      </c>
      <c r="B7" s="1">
        <v>12</v>
      </c>
    </row>
    <row r="8" spans="1:2">
      <c r="A8" s="2" t="s">
        <v>4</v>
      </c>
      <c r="B8" s="1">
        <v>8</v>
      </c>
    </row>
    <row r="9" spans="1:2">
      <c r="A9" s="2" t="s">
        <v>5</v>
      </c>
      <c r="B9" s="1">
        <v>19</v>
      </c>
    </row>
    <row r="10" spans="1:2">
      <c r="A10" s="2" t="s">
        <v>6</v>
      </c>
      <c r="B10" s="1">
        <v>61</v>
      </c>
    </row>
    <row r="11" spans="1:2">
      <c r="A11" s="2" t="s">
        <v>7</v>
      </c>
      <c r="B11" s="1">
        <v>2</v>
      </c>
    </row>
    <row r="12" spans="1:2">
      <c r="A12" s="2" t="s">
        <v>8</v>
      </c>
      <c r="B12" s="1">
        <v>1</v>
      </c>
    </row>
    <row r="13" spans="1:2">
      <c r="A13" s="2" t="s">
        <v>9</v>
      </c>
      <c r="B13" s="1">
        <v>1</v>
      </c>
    </row>
    <row r="14" spans="1:2">
      <c r="A14" s="2" t="s">
        <v>10</v>
      </c>
      <c r="B14" s="1">
        <v>5</v>
      </c>
    </row>
    <row r="15" spans="1:2">
      <c r="A15" s="2" t="s">
        <v>11</v>
      </c>
      <c r="B15" s="1">
        <v>1</v>
      </c>
    </row>
    <row r="16" spans="1:2">
      <c r="A16" s="2" t="s">
        <v>12</v>
      </c>
      <c r="B16" s="1">
        <v>78</v>
      </c>
    </row>
    <row r="17" spans="1:2">
      <c r="A17" s="2" t="s">
        <v>13</v>
      </c>
      <c r="B17" s="1">
        <v>59</v>
      </c>
    </row>
    <row r="18" spans="1:2">
      <c r="A18" s="2" t="s">
        <v>1039</v>
      </c>
      <c r="B18" s="1">
        <v>345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EB59-218A-4AB9-B988-17F1C7A4EA4F}">
  <dimension ref="A1:B508"/>
  <sheetViews>
    <sheetView workbookViewId="0">
      <selection sqref="A1:B508"/>
    </sheetView>
  </sheetViews>
  <sheetFormatPr defaultRowHeight="14.5"/>
  <cols>
    <col min="1" max="1" width="30" bestFit="1" customWidth="1"/>
    <col min="2" max="2" width="20.81640625" bestFit="1" customWidth="1"/>
  </cols>
  <sheetData>
    <row r="1" spans="1:2">
      <c r="A1" s="13" t="s">
        <v>1033</v>
      </c>
      <c r="B1" t="s" vm="1">
        <v>1042</v>
      </c>
    </row>
    <row r="3" spans="1:2">
      <c r="A3" s="13" t="s">
        <v>1038</v>
      </c>
      <c r="B3" t="s">
        <v>1040</v>
      </c>
    </row>
    <row r="4" spans="1:2">
      <c r="A4" s="2" t="s">
        <v>316</v>
      </c>
      <c r="B4" s="1">
        <v>0.97457433344375644</v>
      </c>
    </row>
    <row r="5" spans="1:2">
      <c r="A5" s="2" t="s">
        <v>452</v>
      </c>
      <c r="B5" s="1">
        <v>0.97457433344375644</v>
      </c>
    </row>
    <row r="6" spans="1:2">
      <c r="A6" s="2" t="s">
        <v>780</v>
      </c>
      <c r="B6" s="1">
        <v>0.97457433344375644</v>
      </c>
    </row>
    <row r="7" spans="1:2">
      <c r="A7" s="2" t="s">
        <v>450</v>
      </c>
      <c r="B7" s="1">
        <v>0.97457433344375644</v>
      </c>
    </row>
    <row r="8" spans="1:2">
      <c r="A8" s="2" t="s">
        <v>18</v>
      </c>
      <c r="B8" s="1">
        <v>0.97457433344375644</v>
      </c>
    </row>
    <row r="9" spans="1:2">
      <c r="A9" s="2" t="s">
        <v>448</v>
      </c>
      <c r="B9" s="1">
        <v>0.97457433344375644</v>
      </c>
    </row>
    <row r="10" spans="1:2">
      <c r="A10" s="2" t="s">
        <v>776</v>
      </c>
      <c r="B10" s="1">
        <v>0.97457433344375644</v>
      </c>
    </row>
    <row r="11" spans="1:2">
      <c r="A11" s="2" t="s">
        <v>454</v>
      </c>
      <c r="B11" s="1">
        <v>0.97457433344375644</v>
      </c>
    </row>
    <row r="12" spans="1:2">
      <c r="A12" s="2" t="s">
        <v>708</v>
      </c>
      <c r="B12" s="1">
        <v>0.97457433344375644</v>
      </c>
    </row>
    <row r="13" spans="1:2">
      <c r="A13" s="2" t="s">
        <v>294</v>
      </c>
      <c r="B13" s="1">
        <v>0.97457433344375644</v>
      </c>
    </row>
    <row r="14" spans="1:2">
      <c r="A14" s="2" t="s">
        <v>38</v>
      </c>
      <c r="B14" s="1">
        <v>0.97457433344375644</v>
      </c>
    </row>
    <row r="15" spans="1:2">
      <c r="A15" s="2" t="s">
        <v>736</v>
      </c>
      <c r="B15" s="1">
        <v>0.97457433344375644</v>
      </c>
    </row>
    <row r="16" spans="1:2">
      <c r="A16" s="2" t="s">
        <v>30</v>
      </c>
      <c r="B16" s="1">
        <v>0.97457433344375644</v>
      </c>
    </row>
    <row r="17" spans="1:2">
      <c r="A17" s="2" t="s">
        <v>734</v>
      </c>
      <c r="B17" s="1">
        <v>0.97457433344375644</v>
      </c>
    </row>
    <row r="18" spans="1:2">
      <c r="A18" s="2" t="s">
        <v>754</v>
      </c>
      <c r="B18" s="1">
        <v>0.97457433344375644</v>
      </c>
    </row>
    <row r="19" spans="1:2">
      <c r="A19" s="2" t="s">
        <v>732</v>
      </c>
      <c r="B19" s="1">
        <v>0.97457433344375644</v>
      </c>
    </row>
    <row r="20" spans="1:2">
      <c r="A20" s="2" t="s">
        <v>750</v>
      </c>
      <c r="B20" s="1">
        <v>0.97457433344375644</v>
      </c>
    </row>
    <row r="21" spans="1:2">
      <c r="A21" s="2" t="s">
        <v>722</v>
      </c>
      <c r="B21" s="1">
        <v>0.97457433344375644</v>
      </c>
    </row>
    <row r="22" spans="1:2">
      <c r="A22" s="2" t="s">
        <v>36</v>
      </c>
      <c r="B22" s="1">
        <v>0.97457433344375644</v>
      </c>
    </row>
    <row r="23" spans="1:2">
      <c r="A23" s="2" t="s">
        <v>720</v>
      </c>
      <c r="B23" s="1">
        <v>0.97457433344375644</v>
      </c>
    </row>
    <row r="24" spans="1:2">
      <c r="A24" s="2" t="s">
        <v>40</v>
      </c>
      <c r="B24" s="1">
        <v>0.97457433344375644</v>
      </c>
    </row>
    <row r="25" spans="1:2">
      <c r="A25" s="2" t="s">
        <v>704</v>
      </c>
      <c r="B25" s="1">
        <v>0.97457433344375644</v>
      </c>
    </row>
    <row r="26" spans="1:2">
      <c r="A26" s="2" t="s">
        <v>44</v>
      </c>
      <c r="B26" s="1">
        <v>0.97457433344375644</v>
      </c>
    </row>
    <row r="27" spans="1:2">
      <c r="A27" s="2" t="s">
        <v>724</v>
      </c>
      <c r="B27" s="1">
        <v>0.97457433344375644</v>
      </c>
    </row>
    <row r="28" spans="1:2">
      <c r="A28" s="2" t="s">
        <v>192</v>
      </c>
      <c r="B28" s="1">
        <v>0.97457433344375644</v>
      </c>
    </row>
    <row r="29" spans="1:2">
      <c r="A29" s="2" t="s">
        <v>322</v>
      </c>
      <c r="B29" s="1">
        <v>0.97457433344375644</v>
      </c>
    </row>
    <row r="30" spans="1:2">
      <c r="A30" s="2" t="s">
        <v>178</v>
      </c>
      <c r="B30" s="1">
        <v>0.97457433344375644</v>
      </c>
    </row>
    <row r="31" spans="1:2">
      <c r="A31" s="2" t="s">
        <v>324</v>
      </c>
      <c r="B31" s="1">
        <v>0.97457433344375644</v>
      </c>
    </row>
    <row r="32" spans="1:2">
      <c r="A32" s="2" t="s">
        <v>186</v>
      </c>
      <c r="B32" s="1">
        <v>0.97457433344375644</v>
      </c>
    </row>
    <row r="33" spans="1:2">
      <c r="A33" s="2" t="s">
        <v>326</v>
      </c>
      <c r="B33" s="1">
        <v>0.97457433344375644</v>
      </c>
    </row>
    <row r="34" spans="1:2">
      <c r="A34" s="2" t="s">
        <v>190</v>
      </c>
      <c r="B34" s="1">
        <v>0.97457433344375644</v>
      </c>
    </row>
    <row r="35" spans="1:2">
      <c r="A35" s="2" t="s">
        <v>330</v>
      </c>
      <c r="B35" s="1">
        <v>0.97457433344375644</v>
      </c>
    </row>
    <row r="36" spans="1:2">
      <c r="A36" s="2" t="s">
        <v>778</v>
      </c>
      <c r="B36" s="1">
        <v>0.97457433344375644</v>
      </c>
    </row>
    <row r="37" spans="1:2">
      <c r="A37" s="2" t="s">
        <v>328</v>
      </c>
      <c r="B37" s="1">
        <v>0.97457433344375644</v>
      </c>
    </row>
    <row r="38" spans="1:2">
      <c r="A38" s="2" t="s">
        <v>60</v>
      </c>
      <c r="B38" s="1">
        <v>0.97457433344375644</v>
      </c>
    </row>
    <row r="39" spans="1:2">
      <c r="A39" s="2" t="s">
        <v>332</v>
      </c>
      <c r="B39" s="1">
        <v>0.97457433344375644</v>
      </c>
    </row>
    <row r="40" spans="1:2">
      <c r="A40" s="2" t="s">
        <v>64</v>
      </c>
      <c r="B40" s="1">
        <v>0.97457433344375644</v>
      </c>
    </row>
    <row r="41" spans="1:2">
      <c r="A41" s="2" t="s">
        <v>346</v>
      </c>
      <c r="B41" s="1">
        <v>0.97457433344375644</v>
      </c>
    </row>
    <row r="42" spans="1:2">
      <c r="A42" s="2" t="s">
        <v>58</v>
      </c>
      <c r="B42" s="1">
        <v>0.97457433344375644</v>
      </c>
    </row>
    <row r="43" spans="1:2">
      <c r="A43" s="2" t="s">
        <v>334</v>
      </c>
      <c r="B43" s="1">
        <v>0.97457433344375644</v>
      </c>
    </row>
    <row r="44" spans="1:2">
      <c r="A44" s="2" t="s">
        <v>68</v>
      </c>
      <c r="B44" s="1">
        <v>0.97457433344375644</v>
      </c>
    </row>
    <row r="45" spans="1:2">
      <c r="A45" s="2" t="s">
        <v>336</v>
      </c>
      <c r="B45" s="1">
        <v>0.97457433344375644</v>
      </c>
    </row>
    <row r="46" spans="1:2">
      <c r="A46" s="2" t="s">
        <v>74</v>
      </c>
      <c r="B46" s="1">
        <v>0.97457433344375644</v>
      </c>
    </row>
    <row r="47" spans="1:2">
      <c r="A47" s="2" t="s">
        <v>340</v>
      </c>
      <c r="B47" s="1">
        <v>0.97457433344375644</v>
      </c>
    </row>
    <row r="48" spans="1:2">
      <c r="A48" s="2" t="s">
        <v>54</v>
      </c>
      <c r="B48" s="1">
        <v>0.97457433344375644</v>
      </c>
    </row>
    <row r="49" spans="1:2">
      <c r="A49" s="2" t="s">
        <v>342</v>
      </c>
      <c r="B49" s="1">
        <v>0.97457433344375644</v>
      </c>
    </row>
    <row r="50" spans="1:2">
      <c r="A50" s="2" t="s">
        <v>912</v>
      </c>
      <c r="B50" s="1">
        <v>0.97457433344375644</v>
      </c>
    </row>
    <row r="51" spans="1:2">
      <c r="A51" s="2" t="s">
        <v>344</v>
      </c>
      <c r="B51" s="1">
        <v>0.97457433344375644</v>
      </c>
    </row>
    <row r="52" spans="1:2">
      <c r="A52" s="2" t="s">
        <v>78</v>
      </c>
      <c r="B52" s="1">
        <v>0.97457433344375644</v>
      </c>
    </row>
    <row r="53" spans="1:2">
      <c r="A53" s="2" t="s">
        <v>338</v>
      </c>
      <c r="B53" s="1">
        <v>0.97457433344375644</v>
      </c>
    </row>
    <row r="54" spans="1:2">
      <c r="A54" s="2" t="s">
        <v>746</v>
      </c>
      <c r="B54" s="1">
        <v>0.97457433344375644</v>
      </c>
    </row>
    <row r="55" spans="1:2">
      <c r="A55" s="2" t="s">
        <v>348</v>
      </c>
      <c r="B55" s="1">
        <v>0.97457433344375644</v>
      </c>
    </row>
    <row r="56" spans="1:2">
      <c r="A56" s="2" t="s">
        <v>80</v>
      </c>
      <c r="B56" s="1">
        <v>0.97457433344375644</v>
      </c>
    </row>
    <row r="57" spans="1:2">
      <c r="A57" s="2" t="s">
        <v>710</v>
      </c>
      <c r="B57" s="1">
        <v>0.97457433344375644</v>
      </c>
    </row>
    <row r="58" spans="1:2">
      <c r="A58" s="2" t="s">
        <v>740</v>
      </c>
      <c r="B58" s="1">
        <v>0.97457433344375644</v>
      </c>
    </row>
    <row r="59" spans="1:2">
      <c r="A59" s="2" t="s">
        <v>1012</v>
      </c>
      <c r="B59" s="1">
        <v>0.97457433344375644</v>
      </c>
    </row>
    <row r="60" spans="1:2">
      <c r="A60" s="2" t="s">
        <v>166</v>
      </c>
      <c r="B60" s="1">
        <v>0.97457433344375644</v>
      </c>
    </row>
    <row r="61" spans="1:2">
      <c r="A61" s="2" t="s">
        <v>26</v>
      </c>
      <c r="B61" s="1">
        <v>0.97457433344375644</v>
      </c>
    </row>
    <row r="62" spans="1:2">
      <c r="A62" s="2" t="s">
        <v>716</v>
      </c>
      <c r="B62" s="1">
        <v>0.97457433344375644</v>
      </c>
    </row>
    <row r="63" spans="1:2">
      <c r="A63" s="2" t="s">
        <v>922</v>
      </c>
      <c r="B63" s="1">
        <v>0.97457433344375644</v>
      </c>
    </row>
    <row r="64" spans="1:2">
      <c r="A64" s="2" t="s">
        <v>20</v>
      </c>
      <c r="B64" s="1">
        <v>0.97457433344375644</v>
      </c>
    </row>
    <row r="65" spans="1:2">
      <c r="A65" s="2" t="s">
        <v>628</v>
      </c>
      <c r="B65" s="1">
        <v>0.97457433344375644</v>
      </c>
    </row>
    <row r="66" spans="1:2">
      <c r="A66" s="2" t="s">
        <v>144</v>
      </c>
      <c r="B66" s="1">
        <v>0.97457433344375644</v>
      </c>
    </row>
    <row r="67" spans="1:2">
      <c r="A67" s="2" t="s">
        <v>84</v>
      </c>
      <c r="B67" s="1">
        <v>0.97457433344375644</v>
      </c>
    </row>
    <row r="68" spans="1:2">
      <c r="A68" s="2" t="s">
        <v>138</v>
      </c>
      <c r="B68" s="1">
        <v>0.97457433344375644</v>
      </c>
    </row>
    <row r="69" spans="1:2">
      <c r="A69" s="2" t="s">
        <v>634</v>
      </c>
      <c r="B69" s="1">
        <v>0.97457433344375644</v>
      </c>
    </row>
    <row r="70" spans="1:2">
      <c r="A70" s="2" t="s">
        <v>156</v>
      </c>
      <c r="B70" s="1">
        <v>0.97457433344375644</v>
      </c>
    </row>
    <row r="71" spans="1:2">
      <c r="A71" s="2" t="s">
        <v>650</v>
      </c>
      <c r="B71" s="1">
        <v>0.97457433344375644</v>
      </c>
    </row>
    <row r="72" spans="1:2">
      <c r="A72" s="2" t="s">
        <v>124</v>
      </c>
      <c r="B72" s="1">
        <v>0.97457433344375644</v>
      </c>
    </row>
    <row r="73" spans="1:2">
      <c r="A73" s="2" t="s">
        <v>682</v>
      </c>
      <c r="B73" s="1">
        <v>0.97457433344375644</v>
      </c>
    </row>
    <row r="74" spans="1:2">
      <c r="A74" s="2" t="s">
        <v>162</v>
      </c>
      <c r="B74" s="1">
        <v>0.97457433344375644</v>
      </c>
    </row>
    <row r="75" spans="1:2">
      <c r="A75" s="2" t="s">
        <v>684</v>
      </c>
      <c r="B75" s="1">
        <v>0.97457433344375644</v>
      </c>
    </row>
    <row r="76" spans="1:2">
      <c r="A76" s="2" t="s">
        <v>148</v>
      </c>
      <c r="B76" s="1">
        <v>0.97457433344375644</v>
      </c>
    </row>
    <row r="77" spans="1:2">
      <c r="A77" s="2" t="s">
        <v>686</v>
      </c>
      <c r="B77" s="1">
        <v>0.97457433344375644</v>
      </c>
    </row>
    <row r="78" spans="1:2">
      <c r="A78" s="2" t="s">
        <v>152</v>
      </c>
      <c r="B78" s="1">
        <v>0.97457433344375644</v>
      </c>
    </row>
    <row r="79" spans="1:2">
      <c r="A79" s="2" t="s">
        <v>906</v>
      </c>
      <c r="B79" s="1">
        <v>0.97457433344375644</v>
      </c>
    </row>
    <row r="80" spans="1:2">
      <c r="A80" s="2" t="s">
        <v>136</v>
      </c>
      <c r="B80" s="1">
        <v>0.97457433344375644</v>
      </c>
    </row>
    <row r="81" spans="1:2">
      <c r="A81" s="2" t="s">
        <v>830</v>
      </c>
      <c r="B81" s="1">
        <v>0.97457433344375644</v>
      </c>
    </row>
    <row r="82" spans="1:2">
      <c r="A82" s="2" t="s">
        <v>160</v>
      </c>
      <c r="B82" s="1">
        <v>0.97457433344375644</v>
      </c>
    </row>
    <row r="83" spans="1:2">
      <c r="A83" s="2" t="s">
        <v>832</v>
      </c>
      <c r="B83" s="1">
        <v>0.97457433344375644</v>
      </c>
    </row>
    <row r="84" spans="1:2">
      <c r="A84" s="2" t="s">
        <v>122</v>
      </c>
      <c r="B84" s="1">
        <v>0.97457433344375644</v>
      </c>
    </row>
    <row r="85" spans="1:2">
      <c r="A85" s="2" t="s">
        <v>834</v>
      </c>
      <c r="B85" s="1">
        <v>0.97457433344375644</v>
      </c>
    </row>
    <row r="86" spans="1:2">
      <c r="A86" s="2" t="s">
        <v>130</v>
      </c>
      <c r="B86" s="1">
        <v>0.97457433344375644</v>
      </c>
    </row>
    <row r="87" spans="1:2">
      <c r="A87" s="2" t="s">
        <v>654</v>
      </c>
      <c r="B87" s="1">
        <v>0.97457433344375644</v>
      </c>
    </row>
    <row r="88" spans="1:2">
      <c r="A88" s="2" t="s">
        <v>774</v>
      </c>
      <c r="B88" s="1">
        <v>0.97457433344375644</v>
      </c>
    </row>
    <row r="89" spans="1:2">
      <c r="A89" s="2" t="s">
        <v>640</v>
      </c>
      <c r="B89" s="1">
        <v>0.97457433344375644</v>
      </c>
    </row>
    <row r="90" spans="1:2">
      <c r="A90" s="2" t="s">
        <v>28</v>
      </c>
      <c r="B90" s="1">
        <v>0.97457433344375644</v>
      </c>
    </row>
    <row r="91" spans="1:2">
      <c r="A91" s="2" t="s">
        <v>894</v>
      </c>
      <c r="B91" s="1">
        <v>0.97457433344375644</v>
      </c>
    </row>
    <row r="92" spans="1:2">
      <c r="A92" s="2" t="s">
        <v>630</v>
      </c>
      <c r="B92" s="1">
        <v>0.97457433344375644</v>
      </c>
    </row>
    <row r="93" spans="1:2">
      <c r="A93" s="2" t="s">
        <v>670</v>
      </c>
      <c r="B93" s="1">
        <v>0.97457433344375644</v>
      </c>
    </row>
    <row r="94" spans="1:2">
      <c r="A94" s="2" t="s">
        <v>636</v>
      </c>
      <c r="B94" s="1">
        <v>0.97457433344375644</v>
      </c>
    </row>
    <row r="95" spans="1:2">
      <c r="A95" s="2" t="s">
        <v>374</v>
      </c>
      <c r="B95" s="1">
        <v>0.97457433344375644</v>
      </c>
    </row>
    <row r="96" spans="1:2">
      <c r="A96" s="2" t="s">
        <v>516</v>
      </c>
      <c r="B96" s="1">
        <v>0.97457433344375644</v>
      </c>
    </row>
    <row r="97" spans="1:2">
      <c r="A97" s="2" t="s">
        <v>388</v>
      </c>
      <c r="B97" s="1">
        <v>0.97457433344375644</v>
      </c>
    </row>
    <row r="98" spans="1:2">
      <c r="A98" s="2" t="s">
        <v>510</v>
      </c>
      <c r="B98" s="1">
        <v>0.97457433344375644</v>
      </c>
    </row>
    <row r="99" spans="1:2">
      <c r="A99" s="2" t="s">
        <v>840</v>
      </c>
      <c r="B99" s="1">
        <v>0.97457433344375644</v>
      </c>
    </row>
    <row r="100" spans="1:2">
      <c r="A100" s="2" t="s">
        <v>512</v>
      </c>
      <c r="B100" s="1">
        <v>0.97457433344375644</v>
      </c>
    </row>
    <row r="101" spans="1:2">
      <c r="A101" s="2" t="s">
        <v>880</v>
      </c>
      <c r="B101" s="1">
        <v>0.97457433344375644</v>
      </c>
    </row>
    <row r="102" spans="1:2">
      <c r="A102" s="2" t="s">
        <v>500</v>
      </c>
      <c r="B102" s="1">
        <v>0.97457433344375644</v>
      </c>
    </row>
    <row r="103" spans="1:2">
      <c r="A103" s="2" t="s">
        <v>484</v>
      </c>
      <c r="B103" s="1">
        <v>0.97457433344375644</v>
      </c>
    </row>
    <row r="104" spans="1:2">
      <c r="A104" s="2" t="s">
        <v>506</v>
      </c>
      <c r="B104" s="1">
        <v>0.97457433344375644</v>
      </c>
    </row>
    <row r="105" spans="1:2">
      <c r="A105" s="2" t="s">
        <v>486</v>
      </c>
      <c r="B105" s="1">
        <v>0.97457433344375644</v>
      </c>
    </row>
    <row r="106" spans="1:2">
      <c r="A106" s="2" t="s">
        <v>656</v>
      </c>
      <c r="B106" s="1">
        <v>0.97457433344375644</v>
      </c>
    </row>
    <row r="107" spans="1:2">
      <c r="A107" s="2" t="s">
        <v>488</v>
      </c>
      <c r="B107" s="1">
        <v>0.97457433344375644</v>
      </c>
    </row>
    <row r="108" spans="1:2">
      <c r="A108" s="2" t="s">
        <v>896</v>
      </c>
      <c r="B108" s="1">
        <v>0.97457433344375644</v>
      </c>
    </row>
    <row r="109" spans="1:2">
      <c r="A109" s="2" t="s">
        <v>490</v>
      </c>
      <c r="B109" s="1">
        <v>0.97457433344375644</v>
      </c>
    </row>
    <row r="110" spans="1:2">
      <c r="A110" s="2" t="s">
        <v>376</v>
      </c>
      <c r="B110" s="1">
        <v>0.97457433344375644</v>
      </c>
    </row>
    <row r="111" spans="1:2">
      <c r="A111" s="2" t="s">
        <v>492</v>
      </c>
      <c r="B111" s="1">
        <v>0.97457433344375644</v>
      </c>
    </row>
    <row r="112" spans="1:2">
      <c r="A112" s="2" t="s">
        <v>842</v>
      </c>
      <c r="B112" s="1">
        <v>0.97457433344375644</v>
      </c>
    </row>
    <row r="113" spans="1:2">
      <c r="A113" s="2" t="s">
        <v>666</v>
      </c>
      <c r="B113" s="1">
        <v>0.97457433344375644</v>
      </c>
    </row>
    <row r="114" spans="1:2">
      <c r="A114" s="2" t="s">
        <v>352</v>
      </c>
      <c r="B114" s="1">
        <v>0.97457433344375644</v>
      </c>
    </row>
    <row r="115" spans="1:2">
      <c r="A115" s="2" t="s">
        <v>688</v>
      </c>
      <c r="B115" s="1">
        <v>0.97457433344375644</v>
      </c>
    </row>
    <row r="116" spans="1:2">
      <c r="A116" s="2" t="s">
        <v>700</v>
      </c>
      <c r="B116" s="1">
        <v>0.97457433344375644</v>
      </c>
    </row>
    <row r="117" spans="1:2">
      <c r="A117" s="2" t="s">
        <v>690</v>
      </c>
      <c r="B117" s="1">
        <v>0.97457433344375644</v>
      </c>
    </row>
    <row r="118" spans="1:2">
      <c r="A118" s="2" t="s">
        <v>432</v>
      </c>
      <c r="B118" s="1">
        <v>0.97457433344375644</v>
      </c>
    </row>
    <row r="119" spans="1:2">
      <c r="A119" s="2" t="s">
        <v>692</v>
      </c>
      <c r="B119" s="1">
        <v>0.97457433344375644</v>
      </c>
    </row>
    <row r="120" spans="1:2">
      <c r="A120" s="2" t="s">
        <v>458</v>
      </c>
      <c r="B120" s="1">
        <v>0.97457433344375644</v>
      </c>
    </row>
    <row r="121" spans="1:2">
      <c r="A121" s="2" t="s">
        <v>694</v>
      </c>
      <c r="B121" s="1">
        <v>0.97457433344375644</v>
      </c>
    </row>
    <row r="122" spans="1:2">
      <c r="A122" s="2" t="s">
        <v>462</v>
      </c>
      <c r="B122" s="1">
        <v>0.97457433344375644</v>
      </c>
    </row>
    <row r="123" spans="1:2">
      <c r="A123" s="2" t="s">
        <v>660</v>
      </c>
      <c r="B123" s="1">
        <v>0.97457433344375644</v>
      </c>
    </row>
    <row r="124" spans="1:2">
      <c r="A124" s="2" t="s">
        <v>434</v>
      </c>
      <c r="B124" s="1">
        <v>0.97457433344375644</v>
      </c>
    </row>
    <row r="125" spans="1:2">
      <c r="A125" s="2" t="s">
        <v>646</v>
      </c>
      <c r="B125" s="1">
        <v>0.97457433344375644</v>
      </c>
    </row>
    <row r="126" spans="1:2">
      <c r="A126" s="2" t="s">
        <v>662</v>
      </c>
      <c r="B126" s="1">
        <v>0.97457433344375644</v>
      </c>
    </row>
    <row r="127" spans="1:2">
      <c r="A127" s="2" t="s">
        <v>900</v>
      </c>
      <c r="B127" s="1">
        <v>0.97457433344375644</v>
      </c>
    </row>
    <row r="128" spans="1:2">
      <c r="A128" s="2" t="s">
        <v>902</v>
      </c>
      <c r="B128" s="1">
        <v>0.97457433344375644</v>
      </c>
    </row>
    <row r="129" spans="1:2">
      <c r="A129" s="2" t="s">
        <v>676</v>
      </c>
      <c r="B129" s="1">
        <v>0.97457433344375644</v>
      </c>
    </row>
    <row r="130" spans="1:2">
      <c r="A130" s="2" t="s">
        <v>382</v>
      </c>
      <c r="B130" s="1">
        <v>0.97457433344375644</v>
      </c>
    </row>
    <row r="131" spans="1:2">
      <c r="A131" s="2" t="s">
        <v>380</v>
      </c>
      <c r="B131" s="1">
        <v>0.97457433344375644</v>
      </c>
    </row>
    <row r="132" spans="1:2">
      <c r="A132" s="2" t="s">
        <v>848</v>
      </c>
      <c r="B132" s="1">
        <v>0.97457433344375644</v>
      </c>
    </row>
    <row r="133" spans="1:2">
      <c r="A133" s="2" t="s">
        <v>394</v>
      </c>
      <c r="B133" s="1">
        <v>0.97457433344375644</v>
      </c>
    </row>
    <row r="134" spans="1:2">
      <c r="A134" s="2" t="s">
        <v>410</v>
      </c>
      <c r="B134" s="1">
        <v>0.97457433344375644</v>
      </c>
    </row>
    <row r="135" spans="1:2">
      <c r="A135" s="2" t="s">
        <v>846</v>
      </c>
      <c r="B135" s="1">
        <v>0.97457433344375644</v>
      </c>
    </row>
    <row r="136" spans="1:2">
      <c r="A136" s="2" t="s">
        <v>802</v>
      </c>
      <c r="B136" s="1">
        <v>0.97457433344375644</v>
      </c>
    </row>
    <row r="137" spans="1:2">
      <c r="A137" s="2" t="s">
        <v>886</v>
      </c>
      <c r="B137" s="1">
        <v>0.97457433344375644</v>
      </c>
    </row>
    <row r="138" spans="1:2">
      <c r="A138" s="2" t="s">
        <v>806</v>
      </c>
      <c r="B138" s="1">
        <v>0.97457433344375644</v>
      </c>
    </row>
    <row r="139" spans="1:2">
      <c r="A139" s="2" t="s">
        <v>400</v>
      </c>
      <c r="B139" s="1">
        <v>0.97457433344375644</v>
      </c>
    </row>
    <row r="140" spans="1:2">
      <c r="A140" s="2" t="s">
        <v>796</v>
      </c>
      <c r="B140" s="1">
        <v>0.97457433344375644</v>
      </c>
    </row>
    <row r="141" spans="1:2">
      <c r="A141" s="2" t="s">
        <v>852</v>
      </c>
      <c r="B141" s="1">
        <v>0.97457433344375644</v>
      </c>
    </row>
    <row r="142" spans="1:2">
      <c r="A142" s="2" t="s">
        <v>800</v>
      </c>
      <c r="B142" s="1">
        <v>0.97457433344375644</v>
      </c>
    </row>
    <row r="143" spans="1:2">
      <c r="A143" s="2" t="s">
        <v>442</v>
      </c>
      <c r="B143" s="1">
        <v>0.97457433344375644</v>
      </c>
    </row>
    <row r="144" spans="1:2">
      <c r="A144" s="2" t="s">
        <v>916</v>
      </c>
      <c r="B144" s="1">
        <v>0.97457433344375644</v>
      </c>
    </row>
    <row r="145" spans="1:2">
      <c r="A145" s="2" t="s">
        <v>440</v>
      </c>
      <c r="B145" s="1">
        <v>0.97457433344375644</v>
      </c>
    </row>
    <row r="146" spans="1:2">
      <c r="A146" s="2" t="s">
        <v>854</v>
      </c>
      <c r="B146" s="1">
        <v>0.97457433344375644</v>
      </c>
    </row>
    <row r="147" spans="1:2">
      <c r="A147" s="2" t="s">
        <v>764</v>
      </c>
      <c r="B147" s="1">
        <v>0.97457433344375644</v>
      </c>
    </row>
    <row r="148" spans="1:2">
      <c r="A148" s="2" t="s">
        <v>208</v>
      </c>
      <c r="B148" s="1">
        <v>0.97457433344375644</v>
      </c>
    </row>
    <row r="149" spans="1:2">
      <c r="A149" s="2" t="s">
        <v>46</v>
      </c>
      <c r="B149" s="1">
        <v>0.97457433344375644</v>
      </c>
    </row>
    <row r="150" spans="1:2">
      <c r="A150" s="2" t="s">
        <v>212</v>
      </c>
      <c r="B150" s="1">
        <v>0.97457433344375644</v>
      </c>
    </row>
    <row r="151" spans="1:2">
      <c r="A151" s="2" t="s">
        <v>712</v>
      </c>
      <c r="B151" s="1">
        <v>0.97457433344375644</v>
      </c>
    </row>
    <row r="152" spans="1:2">
      <c r="A152" s="2" t="s">
        <v>196</v>
      </c>
      <c r="B152" s="1">
        <v>0.97457433344375644</v>
      </c>
    </row>
    <row r="153" spans="1:2">
      <c r="A153" s="2" t="s">
        <v>864</v>
      </c>
      <c r="B153" s="1">
        <v>0.97457433344375644</v>
      </c>
    </row>
    <row r="154" spans="1:2">
      <c r="A154" s="2" t="s">
        <v>204</v>
      </c>
      <c r="B154" s="1">
        <v>0.97457433344375644</v>
      </c>
    </row>
    <row r="155" spans="1:2">
      <c r="A155" s="2" t="s">
        <v>572</v>
      </c>
      <c r="B155" s="1">
        <v>0.97457433344375644</v>
      </c>
    </row>
    <row r="156" spans="1:2">
      <c r="A156" s="2" t="s">
        <v>210</v>
      </c>
      <c r="B156" s="1">
        <v>0.97457433344375644</v>
      </c>
    </row>
    <row r="157" spans="1:2">
      <c r="A157" s="2" t="s">
        <v>574</v>
      </c>
      <c r="B157" s="1">
        <v>0.97457433344375644</v>
      </c>
    </row>
    <row r="158" spans="1:2">
      <c r="A158" s="2" t="s">
        <v>174</v>
      </c>
      <c r="B158" s="1">
        <v>0.97457433344375644</v>
      </c>
    </row>
    <row r="159" spans="1:2">
      <c r="A159" s="2" t="s">
        <v>576</v>
      </c>
      <c r="B159" s="1">
        <v>0.97457433344375644</v>
      </c>
    </row>
    <row r="160" spans="1:2">
      <c r="A160" s="2" t="s">
        <v>24</v>
      </c>
      <c r="B160" s="1">
        <v>0.97457433344375644</v>
      </c>
    </row>
    <row r="161" spans="1:2">
      <c r="A161" s="2" t="s">
        <v>578</v>
      </c>
      <c r="B161" s="1">
        <v>0.97457433344375644</v>
      </c>
    </row>
    <row r="162" spans="1:2">
      <c r="A162" s="2" t="s">
        <v>626</v>
      </c>
      <c r="B162" s="1">
        <v>0.97457433344375644</v>
      </c>
    </row>
    <row r="163" spans="1:2">
      <c r="A163" s="2" t="s">
        <v>564</v>
      </c>
      <c r="B163" s="1">
        <v>0.97457433344375644</v>
      </c>
    </row>
    <row r="164" spans="1:2">
      <c r="A164" s="2" t="s">
        <v>632</v>
      </c>
      <c r="B164" s="1">
        <v>0.97457433344375644</v>
      </c>
    </row>
    <row r="165" spans="1:2">
      <c r="A165" s="2" t="s">
        <v>566</v>
      </c>
      <c r="B165" s="1">
        <v>0.97457433344375644</v>
      </c>
    </row>
    <row r="166" spans="1:2">
      <c r="A166" s="2" t="s">
        <v>908</v>
      </c>
      <c r="B166" s="1">
        <v>0.97457433344375644</v>
      </c>
    </row>
    <row r="167" spans="1:2">
      <c r="A167" s="2" t="s">
        <v>568</v>
      </c>
      <c r="B167" s="1">
        <v>0.97457433344375644</v>
      </c>
    </row>
    <row r="168" spans="1:2">
      <c r="A168" s="2" t="s">
        <v>872</v>
      </c>
      <c r="B168" s="1">
        <v>0.97457433344375644</v>
      </c>
    </row>
    <row r="169" spans="1:2">
      <c r="A169" s="2" t="s">
        <v>570</v>
      </c>
      <c r="B169" s="1">
        <v>0.97457433344375644</v>
      </c>
    </row>
    <row r="170" spans="1:2">
      <c r="A170" s="2" t="s">
        <v>876</v>
      </c>
      <c r="B170" s="1">
        <v>0.97457433344375644</v>
      </c>
    </row>
    <row r="171" spans="1:2">
      <c r="A171" s="2" t="s">
        <v>586</v>
      </c>
      <c r="B171" s="1">
        <v>0.97457433344375644</v>
      </c>
    </row>
    <row r="172" spans="1:2">
      <c r="A172" s="2" t="s">
        <v>856</v>
      </c>
      <c r="B172" s="1">
        <v>0.97457433344375644</v>
      </c>
    </row>
    <row r="173" spans="1:2">
      <c r="A173" s="2" t="s">
        <v>588</v>
      </c>
      <c r="B173" s="1">
        <v>0.97457433344375644</v>
      </c>
    </row>
    <row r="174" spans="1:2">
      <c r="A174" s="2" t="s">
        <v>860</v>
      </c>
      <c r="B174" s="1">
        <v>0.97457433344375644</v>
      </c>
    </row>
    <row r="175" spans="1:2">
      <c r="A175" s="2" t="s">
        <v>590</v>
      </c>
      <c r="B175" s="1">
        <v>0.97457433344375644</v>
      </c>
    </row>
    <row r="176" spans="1:2">
      <c r="A176" s="2" t="s">
        <v>652</v>
      </c>
      <c r="B176" s="1">
        <v>0.97457433344375644</v>
      </c>
    </row>
    <row r="177" spans="1:2">
      <c r="A177" s="2" t="s">
        <v>580</v>
      </c>
      <c r="B177" s="1">
        <v>0.97457433344375644</v>
      </c>
    </row>
    <row r="178" spans="1:2">
      <c r="A178" s="2" t="s">
        <v>892</v>
      </c>
      <c r="B178" s="1">
        <v>0.97457433344375644</v>
      </c>
    </row>
    <row r="179" spans="1:2">
      <c r="A179" s="2" t="s">
        <v>582</v>
      </c>
      <c r="B179" s="1">
        <v>0.97457433344375644</v>
      </c>
    </row>
    <row r="180" spans="1:2">
      <c r="A180" s="2" t="s">
        <v>372</v>
      </c>
      <c r="B180" s="1">
        <v>0.97457433344375644</v>
      </c>
    </row>
    <row r="181" spans="1:2">
      <c r="A181" s="2" t="s">
        <v>584</v>
      </c>
      <c r="B181" s="1">
        <v>0.97457433344375644</v>
      </c>
    </row>
    <row r="182" spans="1:2">
      <c r="A182" s="2" t="s">
        <v>838</v>
      </c>
      <c r="B182" s="1">
        <v>0.97457433344375644</v>
      </c>
    </row>
    <row r="183" spans="1:2">
      <c r="A183" s="2" t="s">
        <v>592</v>
      </c>
      <c r="B183" s="1">
        <v>0.97457433344375644</v>
      </c>
    </row>
    <row r="184" spans="1:2">
      <c r="A184" s="2" t="s">
        <v>350</v>
      </c>
      <c r="B184" s="1">
        <v>0.97457433344375644</v>
      </c>
    </row>
    <row r="185" spans="1:2">
      <c r="A185" s="2" t="s">
        <v>594</v>
      </c>
      <c r="B185" s="1">
        <v>0.97457433344375644</v>
      </c>
    </row>
    <row r="186" spans="1:2">
      <c r="A186" s="2" t="s">
        <v>496</v>
      </c>
      <c r="B186" s="1">
        <v>0.97457433344375644</v>
      </c>
    </row>
    <row r="187" spans="1:2">
      <c r="A187" s="2" t="s">
        <v>596</v>
      </c>
      <c r="B187" s="1">
        <v>0.97457433344375644</v>
      </c>
    </row>
    <row r="188" spans="1:2">
      <c r="A188" s="2" t="s">
        <v>466</v>
      </c>
      <c r="B188" s="1">
        <v>0.97457433344375644</v>
      </c>
    </row>
    <row r="189" spans="1:2">
      <c r="A189" s="2" t="s">
        <v>598</v>
      </c>
      <c r="B189" s="1">
        <v>0.97457433344375644</v>
      </c>
    </row>
    <row r="190" spans="1:2">
      <c r="A190" s="2" t="s">
        <v>470</v>
      </c>
      <c r="B190" s="1">
        <v>0.97457433344375644</v>
      </c>
    </row>
    <row r="191" spans="1:2">
      <c r="A191" s="2" t="s">
        <v>982</v>
      </c>
      <c r="B191" s="1">
        <v>0.97457433344375644</v>
      </c>
    </row>
    <row r="192" spans="1:2">
      <c r="A192" s="2" t="s">
        <v>474</v>
      </c>
      <c r="B192" s="1">
        <v>0.97457433344375644</v>
      </c>
    </row>
    <row r="193" spans="1:2">
      <c r="A193" s="2" t="s">
        <v>984</v>
      </c>
      <c r="B193" s="1">
        <v>0.97457433344375644</v>
      </c>
    </row>
    <row r="194" spans="1:2">
      <c r="A194" s="2" t="s">
        <v>478</v>
      </c>
      <c r="B194" s="1">
        <v>0.97457433344375644</v>
      </c>
    </row>
    <row r="195" spans="1:2">
      <c r="A195" s="2" t="s">
        <v>986</v>
      </c>
      <c r="B195" s="1">
        <v>0.97457433344375644</v>
      </c>
    </row>
    <row r="196" spans="1:2">
      <c r="A196" s="2" t="s">
        <v>482</v>
      </c>
      <c r="B196" s="1">
        <v>0.97457433344375644</v>
      </c>
    </row>
    <row r="197" spans="1:2">
      <c r="A197" s="2" t="s">
        <v>988</v>
      </c>
      <c r="B197" s="1">
        <v>0.97457433344375644</v>
      </c>
    </row>
    <row r="198" spans="1:2">
      <c r="A198" s="2" t="s">
        <v>644</v>
      </c>
      <c r="B198" s="1">
        <v>0.97457433344375644</v>
      </c>
    </row>
    <row r="199" spans="1:2">
      <c r="A199" s="2" t="s">
        <v>1000</v>
      </c>
      <c r="B199" s="1">
        <v>0.97457433344375644</v>
      </c>
    </row>
    <row r="200" spans="1:2">
      <c r="A200" s="2" t="s">
        <v>674</v>
      </c>
      <c r="B200" s="1">
        <v>0.97457433344375644</v>
      </c>
    </row>
    <row r="201" spans="1:2">
      <c r="A201" s="2" t="s">
        <v>1002</v>
      </c>
      <c r="B201" s="1">
        <v>0.97457433344375644</v>
      </c>
    </row>
    <row r="202" spans="1:2">
      <c r="A202" s="2" t="s">
        <v>392</v>
      </c>
      <c r="B202" s="1">
        <v>0.97457433344375644</v>
      </c>
    </row>
    <row r="203" spans="1:2">
      <c r="A203" s="2" t="s">
        <v>1004</v>
      </c>
      <c r="B203" s="1">
        <v>0.97457433344375644</v>
      </c>
    </row>
    <row r="204" spans="1:2">
      <c r="A204" s="2" t="s">
        <v>884</v>
      </c>
      <c r="B204" s="1">
        <v>0.97457433344375644</v>
      </c>
    </row>
    <row r="205" spans="1:2">
      <c r="A205" s="2" t="s">
        <v>1006</v>
      </c>
      <c r="B205" s="1">
        <v>0.97457433344375644</v>
      </c>
    </row>
    <row r="206" spans="1:2">
      <c r="A206" s="2" t="s">
        <v>404</v>
      </c>
      <c r="B206" s="1">
        <v>0.97457433344375644</v>
      </c>
    </row>
    <row r="207" spans="1:2">
      <c r="A207" s="2" t="s">
        <v>1008</v>
      </c>
      <c r="B207" s="1">
        <v>0.97457433344375644</v>
      </c>
    </row>
    <row r="208" spans="1:2">
      <c r="A208" s="2" t="s">
        <v>812</v>
      </c>
      <c r="B208" s="1">
        <v>0.97457433344375644</v>
      </c>
    </row>
    <row r="209" spans="1:2">
      <c r="A209" s="2" t="s">
        <v>990</v>
      </c>
      <c r="B209" s="1">
        <v>0.97457433344375644</v>
      </c>
    </row>
    <row r="210" spans="1:2">
      <c r="A210" s="2" t="s">
        <v>816</v>
      </c>
      <c r="B210" s="1">
        <v>0.97457433344375644</v>
      </c>
    </row>
    <row r="211" spans="1:2">
      <c r="A211" s="2" t="s">
        <v>992</v>
      </c>
      <c r="B211" s="1">
        <v>0.97457433344375644</v>
      </c>
    </row>
    <row r="212" spans="1:2">
      <c r="A212" s="2" t="s">
        <v>820</v>
      </c>
      <c r="B212" s="1">
        <v>0.97457433344375644</v>
      </c>
    </row>
    <row r="213" spans="1:2">
      <c r="A213" s="2" t="s">
        <v>994</v>
      </c>
      <c r="B213" s="1">
        <v>0.97457433344375644</v>
      </c>
    </row>
    <row r="214" spans="1:2">
      <c r="A214" s="2" t="s">
        <v>824</v>
      </c>
      <c r="B214" s="1">
        <v>0.97457433344375644</v>
      </c>
    </row>
    <row r="215" spans="1:2">
      <c r="A215" s="2" t="s">
        <v>996</v>
      </c>
      <c r="B215" s="1">
        <v>0.97457433344375644</v>
      </c>
    </row>
    <row r="216" spans="1:2">
      <c r="A216" s="2" t="s">
        <v>794</v>
      </c>
      <c r="B216" s="1">
        <v>0.97457433344375644</v>
      </c>
    </row>
    <row r="217" spans="1:2">
      <c r="A217" s="2" t="s">
        <v>998</v>
      </c>
      <c r="B217" s="1">
        <v>0.97457433344375644</v>
      </c>
    </row>
    <row r="218" spans="1:2">
      <c r="A218" s="2" t="s">
        <v>398</v>
      </c>
      <c r="B218" s="1">
        <v>0.97457433344375644</v>
      </c>
    </row>
    <row r="219" spans="1:2">
      <c r="A219" s="2" t="s">
        <v>354</v>
      </c>
      <c r="B219" s="1">
        <v>0.97457433344375644</v>
      </c>
    </row>
    <row r="220" spans="1:2">
      <c r="A220" s="2" t="s">
        <v>268</v>
      </c>
      <c r="B220" s="1">
        <v>0.97457433344375644</v>
      </c>
    </row>
    <row r="221" spans="1:2">
      <c r="A221" s="2" t="s">
        <v>360</v>
      </c>
      <c r="B221" s="1">
        <v>0.97457433344375644</v>
      </c>
    </row>
    <row r="222" spans="1:2">
      <c r="A222" s="2" t="s">
        <v>272</v>
      </c>
      <c r="B222" s="1">
        <v>0.97457433344375644</v>
      </c>
    </row>
    <row r="223" spans="1:2">
      <c r="A223" s="2" t="s">
        <v>356</v>
      </c>
      <c r="B223" s="1">
        <v>0.97457433344375644</v>
      </c>
    </row>
    <row r="224" spans="1:2">
      <c r="A224" s="2" t="s">
        <v>266</v>
      </c>
      <c r="B224" s="1">
        <v>0.97457433344375644</v>
      </c>
    </row>
    <row r="225" spans="1:2">
      <c r="A225" s="2" t="s">
        <v>358</v>
      </c>
      <c r="B225" s="1">
        <v>0.97457433344375644</v>
      </c>
    </row>
    <row r="226" spans="1:2">
      <c r="A226" s="2" t="s">
        <v>284</v>
      </c>
      <c r="B226" s="1">
        <v>0.97457433344375644</v>
      </c>
    </row>
    <row r="227" spans="1:2">
      <c r="A227" s="2" t="s">
        <v>362</v>
      </c>
      <c r="B227" s="1">
        <v>0.97457433344375644</v>
      </c>
    </row>
    <row r="228" spans="1:2">
      <c r="A228" s="2" t="s">
        <v>252</v>
      </c>
      <c r="B228" s="1">
        <v>0.97457433344375644</v>
      </c>
    </row>
    <row r="229" spans="1:2">
      <c r="A229" s="2" t="s">
        <v>768</v>
      </c>
      <c r="B229" s="1">
        <v>0.97457433344375644</v>
      </c>
    </row>
    <row r="230" spans="1:2">
      <c r="A230" s="2" t="s">
        <v>288</v>
      </c>
      <c r="B230" s="1">
        <v>0.97457433344375644</v>
      </c>
    </row>
    <row r="231" spans="1:2">
      <c r="A231" s="2" t="s">
        <v>364</v>
      </c>
      <c r="B231" s="1">
        <v>0.97457433344375644</v>
      </c>
    </row>
    <row r="232" spans="1:2">
      <c r="A232" s="2" t="s">
        <v>276</v>
      </c>
      <c r="B232" s="1">
        <v>0.97457433344375644</v>
      </c>
    </row>
    <row r="233" spans="1:2">
      <c r="A233" s="2" t="s">
        <v>772</v>
      </c>
      <c r="B233" s="1">
        <v>0.97457433344375644</v>
      </c>
    </row>
    <row r="234" spans="1:2">
      <c r="A234" s="2" t="s">
        <v>260</v>
      </c>
      <c r="B234" s="1">
        <v>0.97457433344375644</v>
      </c>
    </row>
    <row r="235" spans="1:2">
      <c r="A235" s="2" t="s">
        <v>770</v>
      </c>
      <c r="B235" s="1">
        <v>0.97457433344375644</v>
      </c>
    </row>
    <row r="236" spans="1:2">
      <c r="A236" s="2" t="s">
        <v>280</v>
      </c>
      <c r="B236" s="1">
        <v>0.97457433344375644</v>
      </c>
    </row>
    <row r="237" spans="1:2">
      <c r="A237" s="2" t="s">
        <v>836</v>
      </c>
      <c r="B237" s="1">
        <v>0.97457433344375644</v>
      </c>
    </row>
    <row r="238" spans="1:2">
      <c r="A238" s="2" t="s">
        <v>246</v>
      </c>
      <c r="B238" s="1">
        <v>0.97457433344375644</v>
      </c>
    </row>
    <row r="239" spans="1:2">
      <c r="A239" s="2" t="s">
        <v>810</v>
      </c>
      <c r="B239" s="1">
        <v>0.97457433344375644</v>
      </c>
    </row>
    <row r="240" spans="1:2">
      <c r="A240" s="2" t="s">
        <v>254</v>
      </c>
      <c r="B240" s="1">
        <v>0.97457433344375644</v>
      </c>
    </row>
    <row r="241" spans="1:2">
      <c r="A241" s="2" t="s">
        <v>430</v>
      </c>
      <c r="B241" s="1">
        <v>0.97457433344375644</v>
      </c>
    </row>
    <row r="242" spans="1:2">
      <c r="A242" s="2" t="s">
        <v>258</v>
      </c>
      <c r="B242" s="1">
        <v>0.97457433344375644</v>
      </c>
    </row>
    <row r="243" spans="1:2">
      <c r="A243" s="2" t="s">
        <v>370</v>
      </c>
      <c r="B243" s="1">
        <v>0.97457433344375644</v>
      </c>
    </row>
    <row r="244" spans="1:2">
      <c r="A244" s="2" t="s">
        <v>308</v>
      </c>
      <c r="B244" s="1">
        <v>0.97457433344375644</v>
      </c>
    </row>
    <row r="245" spans="1:2">
      <c r="A245" s="2" t="s">
        <v>766</v>
      </c>
      <c r="B245" s="1">
        <v>0.97457433344375644</v>
      </c>
    </row>
    <row r="246" spans="1:2">
      <c r="A246" s="2" t="s">
        <v>320</v>
      </c>
      <c r="B246" s="1">
        <v>0.97457433344375644</v>
      </c>
    </row>
    <row r="247" spans="1:2">
      <c r="A247" s="2" t="s">
        <v>48</v>
      </c>
      <c r="B247" s="1">
        <v>0.97457433344375644</v>
      </c>
    </row>
    <row r="248" spans="1:2">
      <c r="A248" s="2" t="s">
        <v>304</v>
      </c>
      <c r="B248" s="1">
        <v>0.97457433344375644</v>
      </c>
    </row>
    <row r="249" spans="1:2">
      <c r="A249" s="2" t="s">
        <v>866</v>
      </c>
      <c r="B249" s="1">
        <v>0.97457433344375644</v>
      </c>
    </row>
    <row r="250" spans="1:2">
      <c r="A250" s="2" t="s">
        <v>318</v>
      </c>
      <c r="B250" s="1">
        <v>0.97457433344375644</v>
      </c>
    </row>
    <row r="251" spans="1:2">
      <c r="A251" s="2" t="s">
        <v>522</v>
      </c>
      <c r="B251" s="1">
        <v>0.97457433344375644</v>
      </c>
    </row>
    <row r="252" spans="1:2">
      <c r="A252" s="2" t="s">
        <v>298</v>
      </c>
      <c r="B252" s="1">
        <v>0.97457433344375644</v>
      </c>
    </row>
    <row r="253" spans="1:2">
      <c r="A253" s="2" t="s">
        <v>524</v>
      </c>
      <c r="B253" s="1">
        <v>0.97457433344375644</v>
      </c>
    </row>
    <row r="254" spans="1:2">
      <c r="A254" s="2" t="s">
        <v>310</v>
      </c>
      <c r="B254" s="1">
        <v>0.97457433344375644</v>
      </c>
    </row>
    <row r="255" spans="1:2">
      <c r="A255" s="2" t="s">
        <v>526</v>
      </c>
      <c r="B255" s="1">
        <v>0.97457433344375644</v>
      </c>
    </row>
    <row r="256" spans="1:2">
      <c r="A256" s="2" t="s">
        <v>14</v>
      </c>
      <c r="B256" s="1">
        <v>0.97457433344375644</v>
      </c>
    </row>
    <row r="257" spans="1:2">
      <c r="A257" s="2" t="s">
        <v>528</v>
      </c>
      <c r="B257" s="1">
        <v>0.97457433344375644</v>
      </c>
    </row>
    <row r="258" spans="1:2">
      <c r="A258" s="2" t="s">
        <v>16</v>
      </c>
      <c r="B258" s="1">
        <v>0.97457433344375644</v>
      </c>
    </row>
    <row r="259" spans="1:2">
      <c r="A259" s="2" t="s">
        <v>520</v>
      </c>
      <c r="B259" s="1">
        <v>0.97457433344375644</v>
      </c>
    </row>
    <row r="260" spans="1:2">
      <c r="A260" s="2" t="s">
        <v>926</v>
      </c>
      <c r="B260" s="1">
        <v>0.97457433344375644</v>
      </c>
    </row>
    <row r="261" spans="1:2">
      <c r="A261" s="2" t="s">
        <v>608</v>
      </c>
      <c r="B261" s="1">
        <v>0.97457433344375644</v>
      </c>
    </row>
    <row r="262" spans="1:2">
      <c r="A262" s="2" t="s">
        <v>32</v>
      </c>
      <c r="B262" s="1">
        <v>0.97457433344375644</v>
      </c>
    </row>
    <row r="263" spans="1:2">
      <c r="A263" s="2" t="s">
        <v>610</v>
      </c>
      <c r="B263" s="1">
        <v>0.97457433344375644</v>
      </c>
    </row>
    <row r="264" spans="1:2">
      <c r="A264" s="2" t="s">
        <v>368</v>
      </c>
      <c r="B264" s="1">
        <v>0.97457433344375644</v>
      </c>
    </row>
    <row r="265" spans="1:2">
      <c r="A265" s="2" t="s">
        <v>612</v>
      </c>
      <c r="B265" s="1">
        <v>0.97457433344375644</v>
      </c>
    </row>
    <row r="266" spans="1:2">
      <c r="A266" s="2" t="s">
        <v>42</v>
      </c>
      <c r="B266" s="1">
        <v>0.97457433344375644</v>
      </c>
    </row>
    <row r="267" spans="1:2">
      <c r="A267" s="2" t="s">
        <v>614</v>
      </c>
      <c r="B267" s="1">
        <v>0.97457433344375644</v>
      </c>
    </row>
    <row r="268" spans="1:2">
      <c r="A268" s="2" t="s">
        <v>176</v>
      </c>
      <c r="B268" s="1">
        <v>0.97457433344375644</v>
      </c>
    </row>
    <row r="269" spans="1:2">
      <c r="A269" s="2" t="s">
        <v>600</v>
      </c>
      <c r="B269" s="1">
        <v>0.97457433344375644</v>
      </c>
    </row>
    <row r="270" spans="1:2">
      <c r="A270" s="2" t="s">
        <v>184</v>
      </c>
      <c r="B270" s="1">
        <v>0.97457433344375644</v>
      </c>
    </row>
    <row r="271" spans="1:2">
      <c r="A271" s="2" t="s">
        <v>602</v>
      </c>
      <c r="B271" s="1">
        <v>0.97457433344375644</v>
      </c>
    </row>
    <row r="272" spans="1:2">
      <c r="A272" s="2" t="s">
        <v>56</v>
      </c>
      <c r="B272" s="1">
        <v>0.97457433344375644</v>
      </c>
    </row>
    <row r="273" spans="1:2">
      <c r="A273" s="2" t="s">
        <v>604</v>
      </c>
      <c r="B273" s="1">
        <v>0.97457433344375644</v>
      </c>
    </row>
    <row r="274" spans="1:2">
      <c r="A274" s="2" t="s">
        <v>70</v>
      </c>
      <c r="B274" s="1">
        <v>0.97457433344375644</v>
      </c>
    </row>
    <row r="275" spans="1:2">
      <c r="A275" s="2" t="s">
        <v>606</v>
      </c>
      <c r="B275" s="1">
        <v>0.97457433344375644</v>
      </c>
    </row>
    <row r="276" spans="1:2">
      <c r="A276" s="2" t="s">
        <v>62</v>
      </c>
      <c r="B276" s="1">
        <v>0.97457433344375644</v>
      </c>
    </row>
    <row r="277" spans="1:2">
      <c r="A277" s="2" t="s">
        <v>968</v>
      </c>
      <c r="B277" s="1">
        <v>0.97457433344375644</v>
      </c>
    </row>
    <row r="278" spans="1:2">
      <c r="A278" s="2" t="s">
        <v>918</v>
      </c>
      <c r="B278" s="1">
        <v>0.97457433344375644</v>
      </c>
    </row>
    <row r="279" spans="1:2">
      <c r="A279" s="2" t="s">
        <v>970</v>
      </c>
      <c r="B279" s="1">
        <v>0.97457433344375644</v>
      </c>
    </row>
    <row r="280" spans="1:2">
      <c r="A280" s="2" t="s">
        <v>748</v>
      </c>
      <c r="B280" s="1">
        <v>0.97457433344375644</v>
      </c>
    </row>
    <row r="281" spans="1:2">
      <c r="A281" s="2" t="s">
        <v>972</v>
      </c>
      <c r="B281" s="1">
        <v>0.97457433344375644</v>
      </c>
    </row>
    <row r="282" spans="1:2">
      <c r="A282" s="2" t="s">
        <v>742</v>
      </c>
      <c r="B282" s="1">
        <v>0.97457433344375644</v>
      </c>
    </row>
    <row r="283" spans="1:2">
      <c r="A283" s="2" t="s">
        <v>974</v>
      </c>
      <c r="B283" s="1">
        <v>0.97457433344375644</v>
      </c>
    </row>
    <row r="284" spans="1:2">
      <c r="A284" s="2" t="s">
        <v>168</v>
      </c>
      <c r="B284" s="1">
        <v>0.97457433344375644</v>
      </c>
    </row>
    <row r="285" spans="1:2">
      <c r="A285" s="2" t="s">
        <v>534</v>
      </c>
      <c r="B285" s="1">
        <v>0.97457433344375644</v>
      </c>
    </row>
    <row r="286" spans="1:2">
      <c r="A286" s="2" t="s">
        <v>142</v>
      </c>
      <c r="B286" s="1">
        <v>0.97457433344375644</v>
      </c>
    </row>
    <row r="287" spans="1:2">
      <c r="A287" s="2" t="s">
        <v>536</v>
      </c>
      <c r="B287" s="1">
        <v>0.97457433344375644</v>
      </c>
    </row>
    <row r="288" spans="1:2">
      <c r="A288" s="2" t="s">
        <v>140</v>
      </c>
      <c r="B288" s="1">
        <v>0.97457433344375644</v>
      </c>
    </row>
    <row r="289" spans="1:2">
      <c r="A289" s="2" t="s">
        <v>538</v>
      </c>
      <c r="B289" s="1">
        <v>0.97457433344375644</v>
      </c>
    </row>
    <row r="290" spans="1:2">
      <c r="A290" s="2" t="s">
        <v>126</v>
      </c>
      <c r="B290" s="1">
        <v>0.97457433344375644</v>
      </c>
    </row>
    <row r="291" spans="1:2">
      <c r="A291" s="2" t="s">
        <v>530</v>
      </c>
      <c r="B291" s="1">
        <v>0.97457433344375644</v>
      </c>
    </row>
    <row r="292" spans="1:2">
      <c r="A292" s="2" t="s">
        <v>150</v>
      </c>
      <c r="B292" s="1">
        <v>0.97457433344375644</v>
      </c>
    </row>
    <row r="293" spans="1:2">
      <c r="A293" s="2" t="s">
        <v>532</v>
      </c>
      <c r="B293" s="1">
        <v>0.97457433344375644</v>
      </c>
    </row>
    <row r="294" spans="1:2">
      <c r="A294" s="2" t="s">
        <v>154</v>
      </c>
      <c r="B294" s="1">
        <v>0.97457433344375644</v>
      </c>
    </row>
    <row r="295" spans="1:2">
      <c r="A295" s="2" t="s">
        <v>616</v>
      </c>
      <c r="B295" s="1">
        <v>0.97457433344375644</v>
      </c>
    </row>
    <row r="296" spans="1:2">
      <c r="A296" s="2" t="s">
        <v>128</v>
      </c>
      <c r="B296" s="1">
        <v>0.97457433344375644</v>
      </c>
    </row>
    <row r="297" spans="1:2">
      <c r="A297" s="2" t="s">
        <v>618</v>
      </c>
      <c r="B297" s="1">
        <v>0.97457433344375644</v>
      </c>
    </row>
    <row r="298" spans="1:2">
      <c r="A298" s="2" t="s">
        <v>1014</v>
      </c>
      <c r="B298" s="1">
        <v>0.97457433344375644</v>
      </c>
    </row>
    <row r="299" spans="1:2">
      <c r="A299" s="2" t="s">
        <v>620</v>
      </c>
      <c r="B299" s="1">
        <v>0.97457433344375644</v>
      </c>
    </row>
    <row r="300" spans="1:2">
      <c r="A300" s="2" t="s">
        <v>86</v>
      </c>
      <c r="B300" s="1">
        <v>0.97457433344375644</v>
      </c>
    </row>
    <row r="301" spans="1:2">
      <c r="A301" s="2" t="s">
        <v>622</v>
      </c>
      <c r="B301" s="1">
        <v>0.97457433344375644</v>
      </c>
    </row>
    <row r="302" spans="1:2">
      <c r="A302" s="2" t="s">
        <v>508</v>
      </c>
      <c r="B302" s="1">
        <v>0.97457433344375644</v>
      </c>
    </row>
    <row r="303" spans="1:2">
      <c r="A303" s="2" t="s">
        <v>624</v>
      </c>
      <c r="B303" s="1">
        <v>0.97457433344375644</v>
      </c>
    </row>
    <row r="304" spans="1:2">
      <c r="A304" s="2" t="s">
        <v>518</v>
      </c>
      <c r="B304" s="1">
        <v>0.97457433344375644</v>
      </c>
    </row>
    <row r="305" spans="1:2">
      <c r="A305" s="2" t="s">
        <v>558</v>
      </c>
      <c r="B305" s="1">
        <v>0.97457433344375644</v>
      </c>
    </row>
    <row r="306" spans="1:2">
      <c r="A306" s="2" t="s">
        <v>504</v>
      </c>
      <c r="B306" s="1">
        <v>0.97457433344375644</v>
      </c>
    </row>
    <row r="307" spans="1:2">
      <c r="A307" s="2" t="s">
        <v>560</v>
      </c>
      <c r="B307" s="1">
        <v>0.97457433344375644</v>
      </c>
    </row>
    <row r="308" spans="1:2">
      <c r="A308" s="2" t="s">
        <v>672</v>
      </c>
      <c r="B308" s="1">
        <v>0.97457433344375644</v>
      </c>
    </row>
    <row r="309" spans="1:2">
      <c r="A309" s="2" t="s">
        <v>562</v>
      </c>
      <c r="B309" s="1">
        <v>0.97457433344375644</v>
      </c>
    </row>
    <row r="310" spans="1:2">
      <c r="A310" s="2" t="s">
        <v>882</v>
      </c>
      <c r="B310" s="1">
        <v>0.97457433344375644</v>
      </c>
    </row>
    <row r="311" spans="1:2">
      <c r="A311" s="2" t="s">
        <v>552</v>
      </c>
      <c r="B311" s="1">
        <v>0.97457433344375644</v>
      </c>
    </row>
    <row r="312" spans="1:2">
      <c r="A312" s="2" t="s">
        <v>702</v>
      </c>
      <c r="B312" s="1">
        <v>0.97457433344375644</v>
      </c>
    </row>
    <row r="313" spans="1:2">
      <c r="A313" s="2" t="s">
        <v>554</v>
      </c>
      <c r="B313" s="1">
        <v>0.97457433344375644</v>
      </c>
    </row>
    <row r="314" spans="1:2">
      <c r="A314" s="2" t="s">
        <v>460</v>
      </c>
      <c r="B314" s="1">
        <v>0.97457433344375644</v>
      </c>
    </row>
    <row r="315" spans="1:2">
      <c r="A315" s="2" t="s">
        <v>556</v>
      </c>
      <c r="B315" s="1">
        <v>0.97457433344375644</v>
      </c>
    </row>
    <row r="316" spans="1:2">
      <c r="A316" s="2" t="s">
        <v>456</v>
      </c>
      <c r="B316" s="1">
        <v>0.97457433344375644</v>
      </c>
    </row>
    <row r="317" spans="1:2">
      <c r="A317" s="2" t="s">
        <v>546</v>
      </c>
      <c r="B317" s="1">
        <v>0.97457433344375644</v>
      </c>
    </row>
    <row r="318" spans="1:2">
      <c r="A318" s="2" t="s">
        <v>678</v>
      </c>
      <c r="B318" s="1">
        <v>0.97457433344375644</v>
      </c>
    </row>
    <row r="319" spans="1:2">
      <c r="A319" s="2" t="s">
        <v>548</v>
      </c>
      <c r="B319" s="1">
        <v>0.97457433344375644</v>
      </c>
    </row>
    <row r="320" spans="1:2">
      <c r="A320" s="2" t="s">
        <v>888</v>
      </c>
      <c r="B320" s="1">
        <v>0.97457433344375644</v>
      </c>
    </row>
    <row r="321" spans="1:2">
      <c r="A321" s="2" t="s">
        <v>550</v>
      </c>
      <c r="B321" s="1">
        <v>0.97457433344375644</v>
      </c>
    </row>
    <row r="322" spans="1:2">
      <c r="A322" s="2" t="s">
        <v>804</v>
      </c>
      <c r="B322" s="1">
        <v>0.97457433344375644</v>
      </c>
    </row>
    <row r="323" spans="1:2">
      <c r="A323" s="2" t="s">
        <v>540</v>
      </c>
      <c r="B323" s="1">
        <v>0.97457433344375644</v>
      </c>
    </row>
    <row r="324" spans="1:2">
      <c r="A324" s="2" t="s">
        <v>798</v>
      </c>
      <c r="B324" s="1">
        <v>0.97457433344375644</v>
      </c>
    </row>
    <row r="325" spans="1:2">
      <c r="A325" s="2" t="s">
        <v>542</v>
      </c>
      <c r="B325" s="1">
        <v>0.97457433344375644</v>
      </c>
    </row>
    <row r="326" spans="1:2">
      <c r="A326" s="2" t="s">
        <v>402</v>
      </c>
      <c r="B326" s="1">
        <v>0.97457433344375644</v>
      </c>
    </row>
    <row r="327" spans="1:2">
      <c r="A327" s="2" t="s">
        <v>544</v>
      </c>
      <c r="B327" s="1">
        <v>0.97457433344375644</v>
      </c>
    </row>
    <row r="328" spans="1:2">
      <c r="A328" s="2" t="s">
        <v>206</v>
      </c>
      <c r="B328" s="1">
        <v>0.97457433344375644</v>
      </c>
    </row>
    <row r="329" spans="1:2">
      <c r="A329" s="2" t="s">
        <v>1016</v>
      </c>
      <c r="B329" s="1">
        <v>0.97457433344375644</v>
      </c>
    </row>
    <row r="330" spans="1:2">
      <c r="A330" s="2" t="s">
        <v>200</v>
      </c>
      <c r="B330" s="1">
        <v>0.97457433344375644</v>
      </c>
    </row>
    <row r="331" spans="1:2">
      <c r="A331" s="2" t="s">
        <v>1018</v>
      </c>
      <c r="B331" s="1">
        <v>0.97457433344375644</v>
      </c>
    </row>
    <row r="332" spans="1:2">
      <c r="A332" s="2" t="s">
        <v>198</v>
      </c>
      <c r="B332" s="1">
        <v>0.97457433344375644</v>
      </c>
    </row>
    <row r="333" spans="1:2">
      <c r="A333" s="2" t="s">
        <v>1020</v>
      </c>
      <c r="B333" s="1">
        <v>0.97457433344375644</v>
      </c>
    </row>
    <row r="334" spans="1:2">
      <c r="A334" s="2" t="s">
        <v>920</v>
      </c>
      <c r="B334" s="1">
        <v>0.97457433344375644</v>
      </c>
    </row>
    <row r="335" spans="1:2">
      <c r="A335" s="2" t="s">
        <v>976</v>
      </c>
      <c r="B335" s="1">
        <v>0.97457433344375644</v>
      </c>
    </row>
    <row r="336" spans="1:2">
      <c r="A336" s="2" t="s">
        <v>170</v>
      </c>
      <c r="B336" s="1">
        <v>0.97457433344375644</v>
      </c>
    </row>
    <row r="337" spans="1:2">
      <c r="A337" s="2" t="s">
        <v>414</v>
      </c>
      <c r="B337" s="1">
        <v>0.97457433344375644</v>
      </c>
    </row>
    <row r="338" spans="1:2">
      <c r="A338" s="2" t="s">
        <v>874</v>
      </c>
      <c r="B338" s="1">
        <v>0.97457433344375644</v>
      </c>
    </row>
    <row r="339" spans="1:2">
      <c r="A339" s="2" t="s">
        <v>418</v>
      </c>
      <c r="B339" s="1">
        <v>0.97457433344375644</v>
      </c>
    </row>
    <row r="340" spans="1:2">
      <c r="A340" s="2" t="s">
        <v>858</v>
      </c>
      <c r="B340" s="1">
        <v>0.97457433344375644</v>
      </c>
    </row>
    <row r="341" spans="1:2">
      <c r="A341" s="2" t="s">
        <v>422</v>
      </c>
      <c r="B341" s="1">
        <v>0.97457433344375644</v>
      </c>
    </row>
    <row r="342" spans="1:2">
      <c r="A342" s="2" t="s">
        <v>638</v>
      </c>
      <c r="B342" s="1">
        <v>0.97457433344375644</v>
      </c>
    </row>
    <row r="343" spans="1:2">
      <c r="A343" s="2" t="s">
        <v>424</v>
      </c>
      <c r="B343" s="1">
        <v>0.97457433344375644</v>
      </c>
    </row>
    <row r="344" spans="1:2">
      <c r="A344" s="2" t="s">
        <v>386</v>
      </c>
      <c r="B344" s="1">
        <v>0.97457433344375644</v>
      </c>
    </row>
    <row r="345" spans="1:2">
      <c r="A345" s="2" t="s">
        <v>788</v>
      </c>
      <c r="B345" s="1">
        <v>0.97457433344375644</v>
      </c>
    </row>
    <row r="346" spans="1:2">
      <c r="A346" s="2" t="s">
        <v>494</v>
      </c>
      <c r="B346" s="1">
        <v>0.97457433344375644</v>
      </c>
    </row>
    <row r="347" spans="1:2">
      <c r="A347" s="2" t="s">
        <v>786</v>
      </c>
      <c r="B347" s="1">
        <v>0.97457433344375644</v>
      </c>
    </row>
    <row r="348" spans="1:2">
      <c r="A348" s="2" t="s">
        <v>468</v>
      </c>
      <c r="B348" s="1">
        <v>0.97457433344375644</v>
      </c>
    </row>
    <row r="349" spans="1:2">
      <c r="A349" s="2" t="s">
        <v>784</v>
      </c>
      <c r="B349" s="1">
        <v>0.97457433344375644</v>
      </c>
    </row>
    <row r="350" spans="1:2">
      <c r="A350" s="2" t="s">
        <v>476</v>
      </c>
      <c r="B350" s="1">
        <v>0.97457433344375644</v>
      </c>
    </row>
    <row r="351" spans="1:2">
      <c r="A351" s="2" t="s">
        <v>790</v>
      </c>
      <c r="B351" s="1">
        <v>0.97457433344375644</v>
      </c>
    </row>
    <row r="352" spans="1:2">
      <c r="A352" s="2" t="s">
        <v>658</v>
      </c>
      <c r="B352" s="1">
        <v>0.97457433344375644</v>
      </c>
    </row>
    <row r="353" spans="1:2">
      <c r="A353" s="2" t="s">
        <v>412</v>
      </c>
      <c r="B353" s="1">
        <v>0.97457433344375644</v>
      </c>
    </row>
    <row r="354" spans="1:2">
      <c r="A354" s="2" t="s">
        <v>378</v>
      </c>
      <c r="B354" s="1">
        <v>0.97457433344375644</v>
      </c>
    </row>
    <row r="355" spans="1:2">
      <c r="A355" s="2" t="s">
        <v>438</v>
      </c>
      <c r="B355" s="1">
        <v>0.97457433344375644</v>
      </c>
    </row>
    <row r="356" spans="1:2">
      <c r="A356" s="2" t="s">
        <v>408</v>
      </c>
      <c r="B356" s="1">
        <v>0.97457433344375644</v>
      </c>
    </row>
    <row r="357" spans="1:2">
      <c r="A357" s="2" t="s">
        <v>444</v>
      </c>
      <c r="B357" s="1">
        <v>0.97457433344375644</v>
      </c>
    </row>
    <row r="358" spans="1:2">
      <c r="A358" s="2" t="s">
        <v>814</v>
      </c>
      <c r="B358" s="1">
        <v>0.97457433344375644</v>
      </c>
    </row>
    <row r="359" spans="1:2">
      <c r="A359" s="2" t="s">
        <v>436</v>
      </c>
      <c r="B359" s="1">
        <v>0.97457433344375644</v>
      </c>
    </row>
    <row r="360" spans="1:2">
      <c r="A360" s="2" t="s">
        <v>822</v>
      </c>
      <c r="B360" s="1">
        <v>0.97457433344375644</v>
      </c>
    </row>
    <row r="361" spans="1:2">
      <c r="A361" s="2" t="s">
        <v>420</v>
      </c>
      <c r="B361" s="1">
        <v>0.97457433344375644</v>
      </c>
    </row>
    <row r="362" spans="1:2">
      <c r="A362" s="2" t="s">
        <v>914</v>
      </c>
      <c r="B362" s="1">
        <v>0.97457433344375644</v>
      </c>
    </row>
    <row r="363" spans="1:2">
      <c r="A363" s="2" t="s">
        <v>416</v>
      </c>
      <c r="B363" s="1">
        <v>0.97457433344375644</v>
      </c>
    </row>
    <row r="364" spans="1:2">
      <c r="A364" s="2" t="s">
        <v>270</v>
      </c>
      <c r="B364" s="1">
        <v>0.97457433344375644</v>
      </c>
    </row>
    <row r="365" spans="1:2">
      <c r="A365" s="2" t="s">
        <v>714</v>
      </c>
      <c r="B365" s="1">
        <v>0.97457433344375644</v>
      </c>
    </row>
    <row r="366" spans="1:2">
      <c r="A366" s="2" t="s">
        <v>282</v>
      </c>
      <c r="B366" s="1">
        <v>0.97457433344375644</v>
      </c>
    </row>
    <row r="367" spans="1:2">
      <c r="A367" s="2" t="s">
        <v>428</v>
      </c>
      <c r="B367" s="1">
        <v>0.97457433344375644</v>
      </c>
    </row>
    <row r="368" spans="1:2">
      <c r="A368" s="2" t="s">
        <v>290</v>
      </c>
      <c r="B368" s="1">
        <v>0.97457433344375644</v>
      </c>
    </row>
    <row r="369" spans="1:2">
      <c r="A369" s="2" t="s">
        <v>92</v>
      </c>
      <c r="B369" s="1">
        <v>0.97457433344375644</v>
      </c>
    </row>
    <row r="370" spans="1:2">
      <c r="A370" s="2" t="s">
        <v>278</v>
      </c>
      <c r="B370" s="1">
        <v>0.97457433344375644</v>
      </c>
    </row>
    <row r="371" spans="1:2">
      <c r="A371" s="2" t="s">
        <v>90</v>
      </c>
      <c r="B371" s="1">
        <v>0.97457433344375644</v>
      </c>
    </row>
    <row r="372" spans="1:2">
      <c r="A372" s="2" t="s">
        <v>286</v>
      </c>
      <c r="B372" s="1">
        <v>0.97457433344375644</v>
      </c>
    </row>
    <row r="373" spans="1:2">
      <c r="A373" s="2" t="s">
        <v>118</v>
      </c>
      <c r="B373" s="1">
        <v>0.97457433344375644</v>
      </c>
    </row>
    <row r="374" spans="1:2">
      <c r="A374" s="2" t="s">
        <v>256</v>
      </c>
      <c r="B374" s="1">
        <v>0.97457433344375644</v>
      </c>
    </row>
    <row r="375" spans="1:2">
      <c r="A375" s="2" t="s">
        <v>116</v>
      </c>
      <c r="B375" s="1">
        <v>0.97457433344375644</v>
      </c>
    </row>
    <row r="376" spans="1:2">
      <c r="A376" s="2" t="s">
        <v>300</v>
      </c>
      <c r="B376" s="1">
        <v>0.97457433344375644</v>
      </c>
    </row>
    <row r="377" spans="1:2">
      <c r="A377" s="2" t="s">
        <v>108</v>
      </c>
      <c r="B377" s="1">
        <v>0.97457433344375644</v>
      </c>
    </row>
    <row r="378" spans="1:2">
      <c r="A378" s="2" t="s">
        <v>314</v>
      </c>
      <c r="B378" s="1">
        <v>0.97457433344375644</v>
      </c>
    </row>
    <row r="379" spans="1:2">
      <c r="A379" s="2" t="s">
        <v>110</v>
      </c>
      <c r="B379" s="1">
        <v>0.97457433344375644</v>
      </c>
    </row>
    <row r="380" spans="1:2">
      <c r="A380" s="2" t="s">
        <v>302</v>
      </c>
      <c r="B380" s="1">
        <v>0.97457433344375644</v>
      </c>
    </row>
    <row r="381" spans="1:2">
      <c r="A381" s="2" t="s">
        <v>96</v>
      </c>
      <c r="B381" s="1">
        <v>0.97457433344375644</v>
      </c>
    </row>
    <row r="382" spans="1:2">
      <c r="A382" s="2" t="s">
        <v>446</v>
      </c>
      <c r="B382" s="1">
        <v>0.97457433344375644</v>
      </c>
    </row>
    <row r="383" spans="1:2">
      <c r="A383" s="2" t="s">
        <v>98</v>
      </c>
      <c r="B383" s="1">
        <v>0.97457433344375644</v>
      </c>
    </row>
    <row r="384" spans="1:2">
      <c r="A384" s="2" t="s">
        <v>34</v>
      </c>
      <c r="B384" s="1">
        <v>0.97457433344375644</v>
      </c>
    </row>
    <row r="385" spans="1:2">
      <c r="A385" s="2" t="s">
        <v>94</v>
      </c>
      <c r="B385" s="1">
        <v>0.97457433344375644</v>
      </c>
    </row>
    <row r="386" spans="1:2">
      <c r="A386" s="2" t="s">
        <v>366</v>
      </c>
      <c r="B386" s="1">
        <v>0.97457433344375644</v>
      </c>
    </row>
    <row r="387" spans="1:2">
      <c r="A387" s="2" t="s">
        <v>104</v>
      </c>
      <c r="B387" s="1">
        <v>0.97457433344375644</v>
      </c>
    </row>
    <row r="388" spans="1:2">
      <c r="A388" s="2" t="s">
        <v>182</v>
      </c>
      <c r="B388" s="1">
        <v>0.97457433344375644</v>
      </c>
    </row>
    <row r="389" spans="1:2">
      <c r="A389" s="2" t="s">
        <v>106</v>
      </c>
      <c r="B389" s="1">
        <v>0.97457433344375644</v>
      </c>
    </row>
    <row r="390" spans="1:2">
      <c r="A390" s="2" t="s">
        <v>66</v>
      </c>
      <c r="B390" s="1">
        <v>0.97457433344375644</v>
      </c>
    </row>
    <row r="391" spans="1:2">
      <c r="A391" s="2" t="s">
        <v>100</v>
      </c>
      <c r="B391" s="1">
        <v>0.97457433344375644</v>
      </c>
    </row>
    <row r="392" spans="1:2">
      <c r="A392" s="2" t="s">
        <v>52</v>
      </c>
      <c r="B392" s="1">
        <v>0.97457433344375644</v>
      </c>
    </row>
    <row r="393" spans="1:2">
      <c r="A393" s="2" t="s">
        <v>102</v>
      </c>
      <c r="B393" s="1">
        <v>0.97457433344375644</v>
      </c>
    </row>
    <row r="394" spans="1:2">
      <c r="A394" s="2" t="s">
        <v>744</v>
      </c>
      <c r="B394" s="1">
        <v>0.97457433344375644</v>
      </c>
    </row>
    <row r="395" spans="1:2">
      <c r="A395" s="2" t="s">
        <v>112</v>
      </c>
      <c r="B395" s="1">
        <v>0.97457433344375644</v>
      </c>
    </row>
    <row r="396" spans="1:2">
      <c r="A396" s="2" t="s">
        <v>718</v>
      </c>
      <c r="B396" s="1">
        <v>0.97457433344375644</v>
      </c>
    </row>
    <row r="397" spans="1:2">
      <c r="A397" s="2" t="s">
        <v>114</v>
      </c>
      <c r="B397" s="1">
        <v>0.97457433344375644</v>
      </c>
    </row>
    <row r="398" spans="1:2">
      <c r="A398" s="2" t="s">
        <v>158</v>
      </c>
      <c r="B398" s="1">
        <v>0.97457433344375644</v>
      </c>
    </row>
    <row r="399" spans="1:2">
      <c r="A399" s="2" t="s">
        <v>88</v>
      </c>
      <c r="B399" s="1">
        <v>0.97457433344375644</v>
      </c>
    </row>
    <row r="400" spans="1:2">
      <c r="A400" s="2" t="s">
        <v>134</v>
      </c>
      <c r="B400" s="1">
        <v>0.97457433344375644</v>
      </c>
    </row>
    <row r="401" spans="1:2">
      <c r="A401" s="2" t="s">
        <v>218</v>
      </c>
      <c r="B401" s="1">
        <v>0.97457433344375644</v>
      </c>
    </row>
    <row r="402" spans="1:2">
      <c r="A402" s="2" t="s">
        <v>132</v>
      </c>
      <c r="B402" s="1">
        <v>0.97457433344375644</v>
      </c>
    </row>
    <row r="403" spans="1:2">
      <c r="A403" s="2" t="s">
        <v>216</v>
      </c>
      <c r="B403" s="1">
        <v>0.97457433344375644</v>
      </c>
    </row>
    <row r="404" spans="1:2">
      <c r="A404" s="2" t="s">
        <v>172</v>
      </c>
      <c r="B404" s="1">
        <v>0.97457433344375644</v>
      </c>
    </row>
    <row r="405" spans="1:2">
      <c r="A405" s="2" t="s">
        <v>244</v>
      </c>
      <c r="B405" s="1">
        <v>0.97457433344375644</v>
      </c>
    </row>
    <row r="406" spans="1:2">
      <c r="A406" s="2" t="s">
        <v>502</v>
      </c>
      <c r="B406" s="1">
        <v>0.97457433344375644</v>
      </c>
    </row>
    <row r="407" spans="1:2">
      <c r="A407" s="2" t="s">
        <v>242</v>
      </c>
      <c r="B407" s="1">
        <v>0.97457433344375644</v>
      </c>
    </row>
    <row r="408" spans="1:2">
      <c r="A408" s="2" t="s">
        <v>390</v>
      </c>
      <c r="B408" s="1">
        <v>0.97457433344375644</v>
      </c>
    </row>
    <row r="409" spans="1:2">
      <c r="A409" s="2" t="s">
        <v>234</v>
      </c>
      <c r="B409" s="1">
        <v>0.97457433344375644</v>
      </c>
    </row>
    <row r="410" spans="1:2">
      <c r="A410" s="2" t="s">
        <v>696</v>
      </c>
      <c r="B410" s="1">
        <v>0.97457433344375644</v>
      </c>
    </row>
    <row r="411" spans="1:2">
      <c r="A411" s="2" t="s">
        <v>236</v>
      </c>
      <c r="B411" s="1">
        <v>0.97457433344375644</v>
      </c>
    </row>
    <row r="412" spans="1:2">
      <c r="A412" s="2" t="s">
        <v>648</v>
      </c>
      <c r="B412" s="1">
        <v>0.97457433344375644</v>
      </c>
    </row>
    <row r="413" spans="1:2">
      <c r="A413" s="2" t="s">
        <v>222</v>
      </c>
      <c r="B413" s="1">
        <v>0.97457433344375644</v>
      </c>
    </row>
    <row r="414" spans="1:2">
      <c r="A414" s="2" t="s">
        <v>406</v>
      </c>
      <c r="B414" s="1">
        <v>0.97457433344375644</v>
      </c>
    </row>
    <row r="415" spans="1:2">
      <c r="A415" s="2" t="s">
        <v>224</v>
      </c>
      <c r="B415" s="1">
        <v>0.97457433344375644</v>
      </c>
    </row>
    <row r="416" spans="1:2">
      <c r="A416" s="2" t="s">
        <v>792</v>
      </c>
      <c r="B416" s="1">
        <v>0.97457433344375644</v>
      </c>
    </row>
    <row r="417" spans="1:2">
      <c r="A417" s="2" t="s">
        <v>220</v>
      </c>
      <c r="B417" s="1">
        <v>0.97457433344375644</v>
      </c>
    </row>
    <row r="418" spans="1:2">
      <c r="A418" s="2" t="s">
        <v>194</v>
      </c>
      <c r="B418" s="1">
        <v>0.97457433344375644</v>
      </c>
    </row>
    <row r="419" spans="1:2">
      <c r="A419" s="2" t="s">
        <v>230</v>
      </c>
      <c r="B419" s="1">
        <v>0.97457433344375644</v>
      </c>
    </row>
    <row r="420" spans="1:2">
      <c r="A420" s="2" t="s">
        <v>1010</v>
      </c>
      <c r="B420" s="1">
        <v>0.97457433344375644</v>
      </c>
    </row>
    <row r="421" spans="1:2">
      <c r="A421" s="2" t="s">
        <v>232</v>
      </c>
      <c r="B421" s="1">
        <v>0.97457433344375644</v>
      </c>
    </row>
    <row r="422" spans="1:2">
      <c r="A422" s="2" t="s">
        <v>870</v>
      </c>
      <c r="B422" s="1">
        <v>0.97457433344375644</v>
      </c>
    </row>
    <row r="423" spans="1:2">
      <c r="A423" s="2" t="s">
        <v>226</v>
      </c>
      <c r="B423" s="1">
        <v>0.97457433344375644</v>
      </c>
    </row>
    <row r="424" spans="1:2">
      <c r="A424" s="2" t="s">
        <v>862</v>
      </c>
      <c r="B424" s="1">
        <v>0.97457433344375644</v>
      </c>
    </row>
    <row r="425" spans="1:2">
      <c r="A425" s="2" t="s">
        <v>228</v>
      </c>
      <c r="B425" s="1">
        <v>0.97457433344375644</v>
      </c>
    </row>
    <row r="426" spans="1:2">
      <c r="A426" s="2" t="s">
        <v>878</v>
      </c>
      <c r="B426" s="1">
        <v>0.97457433344375644</v>
      </c>
    </row>
    <row r="427" spans="1:2">
      <c r="A427" s="2" t="s">
        <v>238</v>
      </c>
      <c r="B427" s="1">
        <v>0.97457433344375644</v>
      </c>
    </row>
    <row r="428" spans="1:2">
      <c r="A428" s="2" t="s">
        <v>472</v>
      </c>
      <c r="B428" s="1">
        <v>0.97457433344375644</v>
      </c>
    </row>
    <row r="429" spans="1:2">
      <c r="A429" s="2" t="s">
        <v>240</v>
      </c>
      <c r="B429" s="1">
        <v>0.97457433344375644</v>
      </c>
    </row>
    <row r="430" spans="1:2">
      <c r="A430" s="2" t="s">
        <v>898</v>
      </c>
      <c r="B430" s="1">
        <v>0.97457433344375644</v>
      </c>
    </row>
    <row r="431" spans="1:2">
      <c r="A431" s="2" t="s">
        <v>214</v>
      </c>
      <c r="B431" s="1">
        <v>0.97457433344375644</v>
      </c>
    </row>
    <row r="432" spans="1:2">
      <c r="A432" s="2" t="s">
        <v>828</v>
      </c>
      <c r="B432" s="1">
        <v>0.97457433344375644</v>
      </c>
    </row>
    <row r="433" spans="1:2">
      <c r="A433" s="2" t="s">
        <v>426</v>
      </c>
      <c r="B433" s="1">
        <v>0.97457433344375644</v>
      </c>
    </row>
    <row r="434" spans="1:2">
      <c r="A434" s="2" t="s">
        <v>826</v>
      </c>
      <c r="B434" s="1">
        <v>0.97457433344375644</v>
      </c>
    </row>
    <row r="435" spans="1:2">
      <c r="A435" s="2" t="s">
        <v>50</v>
      </c>
      <c r="B435" s="1">
        <v>0.97457433344375644</v>
      </c>
    </row>
    <row r="436" spans="1:2">
      <c r="A436" s="2" t="s">
        <v>264</v>
      </c>
      <c r="B436" s="1">
        <v>0.97457433344375644</v>
      </c>
    </row>
    <row r="437" spans="1:2">
      <c r="A437" s="2" t="s">
        <v>664</v>
      </c>
      <c r="B437" s="1">
        <v>0.97457433344375644</v>
      </c>
    </row>
    <row r="438" spans="1:2">
      <c r="A438" s="2" t="s">
        <v>274</v>
      </c>
      <c r="B438" s="1">
        <v>0.97457433344375644</v>
      </c>
    </row>
    <row r="439" spans="1:2">
      <c r="A439" s="2" t="s">
        <v>904</v>
      </c>
      <c r="B439" s="1">
        <v>0.97457433344375644</v>
      </c>
    </row>
    <row r="440" spans="1:2">
      <c r="A440" s="2" t="s">
        <v>248</v>
      </c>
      <c r="B440" s="1">
        <v>0.97457433344375644</v>
      </c>
    </row>
    <row r="441" spans="1:2">
      <c r="A441" s="2" t="s">
        <v>680</v>
      </c>
      <c r="B441" s="1">
        <v>0.97457433344375644</v>
      </c>
    </row>
    <row r="442" spans="1:2">
      <c r="A442" s="2" t="s">
        <v>312</v>
      </c>
      <c r="B442" s="1">
        <v>0.97457433344375644</v>
      </c>
    </row>
    <row r="443" spans="1:2">
      <c r="A443" s="2" t="s">
        <v>384</v>
      </c>
      <c r="B443" s="1">
        <v>0.97457433344375644</v>
      </c>
    </row>
    <row r="444" spans="1:2">
      <c r="A444" s="2" t="s">
        <v>306</v>
      </c>
      <c r="B444" s="1">
        <v>0.97457433344375644</v>
      </c>
    </row>
    <row r="445" spans="1:2">
      <c r="A445" s="2" t="s">
        <v>890</v>
      </c>
      <c r="B445" s="1">
        <v>0.97457433344375644</v>
      </c>
    </row>
    <row r="446" spans="1:2">
      <c r="A446" s="2" t="s">
        <v>752</v>
      </c>
      <c r="B446" s="1">
        <v>0.97457433344375644</v>
      </c>
    </row>
    <row r="447" spans="1:2">
      <c r="A447" s="2" t="s">
        <v>868</v>
      </c>
      <c r="B447" s="1">
        <v>0.97457433344375644</v>
      </c>
    </row>
    <row r="448" spans="1:2">
      <c r="A448" s="2" t="s">
        <v>180</v>
      </c>
      <c r="B448" s="1">
        <v>0.97457433344375644</v>
      </c>
    </row>
    <row r="449" spans="1:2">
      <c r="A449" s="2" t="s">
        <v>954</v>
      </c>
      <c r="B449" s="1">
        <v>0.97457433344375644</v>
      </c>
    </row>
    <row r="450" spans="1:2">
      <c r="A450" s="2" t="s">
        <v>76</v>
      </c>
      <c r="B450" s="1">
        <v>0.97457433344375644</v>
      </c>
    </row>
    <row r="451" spans="1:2">
      <c r="A451" s="2" t="s">
        <v>956</v>
      </c>
      <c r="B451" s="1">
        <v>0.97457433344375644</v>
      </c>
    </row>
    <row r="452" spans="1:2">
      <c r="A452" s="2" t="s">
        <v>146</v>
      </c>
      <c r="B452" s="1">
        <v>0.97457433344375644</v>
      </c>
    </row>
    <row r="453" spans="1:2">
      <c r="A453" s="2" t="s">
        <v>958</v>
      </c>
      <c r="B453" s="1">
        <v>0.97457433344375644</v>
      </c>
    </row>
    <row r="454" spans="1:2">
      <c r="A454" s="2" t="s">
        <v>120</v>
      </c>
      <c r="B454" s="1">
        <v>0.97457433344375644</v>
      </c>
    </row>
    <row r="455" spans="1:2">
      <c r="A455" s="2" t="s">
        <v>960</v>
      </c>
      <c r="B455" s="1">
        <v>0.97457433344375644</v>
      </c>
    </row>
    <row r="456" spans="1:2">
      <c r="A456" s="2" t="s">
        <v>514</v>
      </c>
      <c r="B456" s="1">
        <v>0.97457433344375644</v>
      </c>
    </row>
    <row r="457" spans="1:2">
      <c r="A457" s="2" t="s">
        <v>930</v>
      </c>
      <c r="B457" s="1">
        <v>0.97457433344375644</v>
      </c>
    </row>
    <row r="458" spans="1:2">
      <c r="A458" s="2" t="s">
        <v>698</v>
      </c>
      <c r="B458" s="1">
        <v>0.97457433344375644</v>
      </c>
    </row>
    <row r="459" spans="1:2">
      <c r="A459" s="2" t="s">
        <v>932</v>
      </c>
      <c r="B459" s="1">
        <v>0.97457433344375644</v>
      </c>
    </row>
    <row r="460" spans="1:2">
      <c r="A460" s="2" t="s">
        <v>396</v>
      </c>
      <c r="B460" s="1">
        <v>0.97457433344375644</v>
      </c>
    </row>
    <row r="461" spans="1:2">
      <c r="A461" s="2" t="s">
        <v>934</v>
      </c>
      <c r="B461" s="1">
        <v>0.97457433344375644</v>
      </c>
    </row>
    <row r="462" spans="1:2">
      <c r="A462" s="2" t="s">
        <v>782</v>
      </c>
      <c r="B462" s="1">
        <v>0.97457433344375644</v>
      </c>
    </row>
    <row r="463" spans="1:2">
      <c r="A463" s="2" t="s">
        <v>936</v>
      </c>
      <c r="B463" s="1">
        <v>0.97457433344375644</v>
      </c>
    </row>
    <row r="464" spans="1:2">
      <c r="A464" s="2" t="s">
        <v>82</v>
      </c>
      <c r="B464" s="1">
        <v>0.97457433344375644</v>
      </c>
    </row>
    <row r="465" spans="1:2">
      <c r="A465" s="2" t="s">
        <v>962</v>
      </c>
      <c r="B465" s="1">
        <v>0.97457433344375644</v>
      </c>
    </row>
    <row r="466" spans="1:2">
      <c r="A466" s="2" t="s">
        <v>668</v>
      </c>
      <c r="B466" s="1">
        <v>0.97457433344375644</v>
      </c>
    </row>
    <row r="467" spans="1:2">
      <c r="A467" s="2" t="s">
        <v>964</v>
      </c>
      <c r="B467" s="1">
        <v>0.97457433344375644</v>
      </c>
    </row>
    <row r="468" spans="1:2">
      <c r="A468" s="2" t="s">
        <v>480</v>
      </c>
      <c r="B468" s="1">
        <v>0.97457433344375644</v>
      </c>
    </row>
    <row r="469" spans="1:2">
      <c r="A469" s="2" t="s">
        <v>966</v>
      </c>
      <c r="B469" s="1">
        <v>0.97457433344375644</v>
      </c>
    </row>
    <row r="470" spans="1:2">
      <c r="A470" s="2" t="s">
        <v>818</v>
      </c>
      <c r="B470" s="1">
        <v>0.97457433344375644</v>
      </c>
    </row>
    <row r="471" spans="1:2">
      <c r="A471" s="2" t="s">
        <v>928</v>
      </c>
      <c r="B471" s="1">
        <v>0.97457433344375644</v>
      </c>
    </row>
    <row r="472" spans="1:2">
      <c r="A472" s="2" t="s">
        <v>250</v>
      </c>
      <c r="B472" s="1">
        <v>0.97457433344375644</v>
      </c>
    </row>
    <row r="473" spans="1:2">
      <c r="A473" s="2" t="s">
        <v>978</v>
      </c>
      <c r="B473" s="1">
        <v>0.97457433344375644</v>
      </c>
    </row>
    <row r="474" spans="1:2">
      <c r="A474" s="2" t="s">
        <v>292</v>
      </c>
      <c r="B474" s="1">
        <v>0.97457433344375644</v>
      </c>
    </row>
    <row r="475" spans="1:2">
      <c r="A475" s="2" t="s">
        <v>980</v>
      </c>
      <c r="B475" s="1">
        <v>0.97457433344375644</v>
      </c>
    </row>
    <row r="476" spans="1:2">
      <c r="A476" s="2" t="s">
        <v>22</v>
      </c>
      <c r="B476" s="1">
        <v>0.97457433344375644</v>
      </c>
    </row>
    <row r="477" spans="1:2">
      <c r="A477" s="2" t="s">
        <v>938</v>
      </c>
      <c r="B477" s="1">
        <v>0.97457433344375644</v>
      </c>
    </row>
    <row r="478" spans="1:2">
      <c r="A478" s="2" t="s">
        <v>72</v>
      </c>
      <c r="B478" s="1">
        <v>0.97457433344375644</v>
      </c>
    </row>
    <row r="479" spans="1:2">
      <c r="A479" s="2" t="s">
        <v>940</v>
      </c>
      <c r="B479" s="1">
        <v>0.97457433344375644</v>
      </c>
    </row>
    <row r="480" spans="1:2">
      <c r="A480" s="2" t="s">
        <v>164</v>
      </c>
      <c r="B480" s="1">
        <v>0.97457433344375644</v>
      </c>
    </row>
    <row r="481" spans="1:2">
      <c r="A481" s="2" t="s">
        <v>942</v>
      </c>
      <c r="B481" s="1">
        <v>0.97457433344375644</v>
      </c>
    </row>
    <row r="482" spans="1:2">
      <c r="A482" s="2" t="s">
        <v>642</v>
      </c>
      <c r="B482" s="1">
        <v>0.97457433344375644</v>
      </c>
    </row>
    <row r="483" spans="1:2">
      <c r="A483" s="2" t="s">
        <v>944</v>
      </c>
      <c r="B483" s="1">
        <v>0.97457433344375644</v>
      </c>
    </row>
    <row r="484" spans="1:2">
      <c r="A484" s="2" t="s">
        <v>808</v>
      </c>
      <c r="B484" s="1">
        <v>0.97457433344375644</v>
      </c>
    </row>
    <row r="485" spans="1:2">
      <c r="A485" s="2" t="s">
        <v>946</v>
      </c>
      <c r="B485" s="1">
        <v>0.97457433344375644</v>
      </c>
    </row>
    <row r="486" spans="1:2">
      <c r="A486" s="2" t="s">
        <v>910</v>
      </c>
      <c r="B486" s="1">
        <v>0.97457433344375644</v>
      </c>
    </row>
    <row r="487" spans="1:2">
      <c r="A487" s="2" t="s">
        <v>948</v>
      </c>
      <c r="B487" s="1">
        <v>0.97457433344375644</v>
      </c>
    </row>
    <row r="488" spans="1:2">
      <c r="A488" s="2" t="s">
        <v>844</v>
      </c>
      <c r="B488" s="1">
        <v>0.97457433344375644</v>
      </c>
    </row>
    <row r="489" spans="1:2">
      <c r="A489" s="2" t="s">
        <v>950</v>
      </c>
      <c r="B489" s="1">
        <v>0.97457433344375644</v>
      </c>
    </row>
    <row r="490" spans="1:2">
      <c r="A490" s="2" t="s">
        <v>262</v>
      </c>
      <c r="B490" s="1">
        <v>0.97457433344375644</v>
      </c>
    </row>
    <row r="491" spans="1:2">
      <c r="A491" s="2" t="s">
        <v>952</v>
      </c>
      <c r="B491" s="1">
        <v>0.97457433344375644</v>
      </c>
    </row>
    <row r="492" spans="1:2">
      <c r="A492" s="2" t="s">
        <v>188</v>
      </c>
      <c r="B492" s="1">
        <v>0.97457433344375644</v>
      </c>
    </row>
    <row r="493" spans="1:2">
      <c r="A493" s="2" t="s">
        <v>706</v>
      </c>
      <c r="B493" s="1">
        <v>0.97457433344375644</v>
      </c>
    </row>
    <row r="494" spans="1:2">
      <c r="A494" s="2" t="s">
        <v>924</v>
      </c>
      <c r="B494" s="1">
        <v>0.97457433344375644</v>
      </c>
    </row>
    <row r="495" spans="1:2">
      <c r="A495" s="2" t="s">
        <v>762</v>
      </c>
      <c r="B495" s="1">
        <v>0.97457433344375644</v>
      </c>
    </row>
    <row r="496" spans="1:2">
      <c r="A496" s="2" t="s">
        <v>202</v>
      </c>
      <c r="B496" s="1">
        <v>0.97457433344375644</v>
      </c>
    </row>
    <row r="497" spans="1:2">
      <c r="A497" s="2" t="s">
        <v>760</v>
      </c>
      <c r="B497" s="1">
        <v>0.97457433344375644</v>
      </c>
    </row>
    <row r="498" spans="1:2">
      <c r="A498" s="2" t="s">
        <v>850</v>
      </c>
      <c r="B498" s="1">
        <v>0.97457433344375644</v>
      </c>
    </row>
    <row r="499" spans="1:2">
      <c r="A499" s="2" t="s">
        <v>758</v>
      </c>
      <c r="B499" s="1">
        <v>0.97457433344375644</v>
      </c>
    </row>
    <row r="500" spans="1:2">
      <c r="A500" s="2" t="s">
        <v>738</v>
      </c>
      <c r="B500" s="1">
        <v>0.97457433344375644</v>
      </c>
    </row>
    <row r="501" spans="1:2">
      <c r="A501" s="2" t="s">
        <v>756</v>
      </c>
      <c r="B501" s="1">
        <v>0.97457433344375644</v>
      </c>
    </row>
    <row r="502" spans="1:2">
      <c r="A502" s="2" t="s">
        <v>498</v>
      </c>
      <c r="B502" s="1">
        <v>0.97457433344375644</v>
      </c>
    </row>
    <row r="503" spans="1:2">
      <c r="A503" s="2" t="s">
        <v>730</v>
      </c>
      <c r="B503" s="1">
        <v>0.97457433344375644</v>
      </c>
    </row>
    <row r="504" spans="1:2">
      <c r="A504" s="2" t="s">
        <v>464</v>
      </c>
      <c r="B504" s="1">
        <v>0.97457433344375644</v>
      </c>
    </row>
    <row r="505" spans="1:2">
      <c r="A505" s="2" t="s">
        <v>728</v>
      </c>
      <c r="B505" s="1">
        <v>0.97457433344375644</v>
      </c>
    </row>
    <row r="506" spans="1:2">
      <c r="A506" s="2" t="s">
        <v>296</v>
      </c>
      <c r="B506" s="1">
        <v>0.97457433344375644</v>
      </c>
    </row>
    <row r="507" spans="1:2">
      <c r="A507" s="2" t="s">
        <v>726</v>
      </c>
      <c r="B507" s="1">
        <v>0.97457433344375644</v>
      </c>
    </row>
    <row r="508" spans="1:2">
      <c r="A508" s="2" t="s">
        <v>1039</v>
      </c>
      <c r="B508" s="1">
        <v>0.97457433344375644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E5CA7-6DFD-4B90-9C9F-A077DB18CE6E}">
  <dimension ref="A1:I1070"/>
  <sheetViews>
    <sheetView workbookViewId="0">
      <selection activeCell="D7" sqref="D7"/>
    </sheetView>
  </sheetViews>
  <sheetFormatPr defaultRowHeight="14.5"/>
  <cols>
    <col min="1" max="1" width="11.26953125" style="2" customWidth="1"/>
    <col min="2" max="2" width="12.08984375" style="2" bestFit="1" customWidth="1"/>
    <col min="3" max="3" width="21.08984375" style="2" bestFit="1" customWidth="1"/>
    <col min="4" max="4" width="13.1796875" style="2" bestFit="1" customWidth="1"/>
    <col min="5" max="5" width="13.1796875" style="2" customWidth="1"/>
    <col min="6" max="6" width="14" style="2" bestFit="1" customWidth="1"/>
    <col min="7" max="7" width="13.6328125" style="2" bestFit="1" customWidth="1"/>
    <col min="8" max="8" width="13.08984375" style="2" bestFit="1" customWidth="1"/>
    <col min="9" max="9" width="13.90625" style="2" bestFit="1" customWidth="1"/>
    <col min="10" max="16384" width="8.7265625" style="2"/>
  </cols>
  <sheetData>
    <row r="1" spans="1:9">
      <c r="A1" s="2" t="s">
        <v>1022</v>
      </c>
      <c r="B1" s="2" t="s">
        <v>1023</v>
      </c>
      <c r="C1" s="2" t="s">
        <v>1027</v>
      </c>
      <c r="D1" s="3" t="s">
        <v>1028</v>
      </c>
      <c r="E1" s="3" t="s">
        <v>1034</v>
      </c>
      <c r="F1" s="2" t="s">
        <v>1030</v>
      </c>
      <c r="G1" s="2" t="s">
        <v>1031</v>
      </c>
      <c r="H1" s="2" t="s">
        <v>1032</v>
      </c>
      <c r="I1" s="2" t="s">
        <v>1033</v>
      </c>
    </row>
    <row r="2" spans="1:9">
      <c r="A2" s="2">
        <v>1</v>
      </c>
      <c r="B2" s="2">
        <v>1</v>
      </c>
      <c r="C2" s="2" t="str">
        <f>_xlfn.XLOOKUP(tbl_kpi[[#This Row],[LocationID]], tbl_location[LocationID], tbl_location[LocationName], "UNMAPPED_LOCATION")</f>
        <v>Tool Crib</v>
      </c>
      <c r="D2" s="2">
        <v>408</v>
      </c>
      <c r="E2" s="2">
        <v>420</v>
      </c>
      <c r="F2" s="2">
        <f>tbl_kpi[[#This Row],[OnHandQty]]</f>
        <v>408</v>
      </c>
      <c r="G2" s="2">
        <f>tbl_kpi[[#This Row],[CountedQty]]-tbl_kpi[[#This Row],[ExpectedQty]]</f>
        <v>12</v>
      </c>
      <c r="H2" s="2">
        <f>IF(tbl_kpi[[#This Row],[ExpectedQty]]=0, 1, MAX(0, 1 - ABS(tbl_kpi[[#This Row],[VarianceQty]]) / tbl_kpi[[#This Row],[ExpectedQty]]))</f>
        <v>0.97058823529411764</v>
      </c>
      <c r="I2" s="2" t="str">
        <f>IF(tbl_kpi[[#This Row],[AccuracyPct]] &lt; 0.98, "Y", "N")</f>
        <v>Y</v>
      </c>
    </row>
    <row r="3" spans="1:9">
      <c r="A3" s="2">
        <v>1</v>
      </c>
      <c r="B3" s="2">
        <v>6</v>
      </c>
      <c r="C3" s="2" t="str">
        <f>_xlfn.XLOOKUP(tbl_kpi[[#This Row],[LocationID]], tbl_location[LocationID], tbl_location[LocationName], "UNMAPPED_LOCATION")</f>
        <v>Miscellaneous Storage</v>
      </c>
      <c r="D3" s="2">
        <v>324</v>
      </c>
      <c r="E3" s="2">
        <v>315</v>
      </c>
      <c r="F3" s="2">
        <f>tbl_kpi[[#This Row],[OnHandQty]]</f>
        <v>324</v>
      </c>
      <c r="G3" s="2">
        <f>tbl_kpi[[#This Row],[CountedQty]]-tbl_kpi[[#This Row],[ExpectedQty]]</f>
        <v>-9</v>
      </c>
      <c r="H3" s="2">
        <f>IF(tbl_kpi[[#This Row],[ExpectedQty]]=0, 1, MAX(0, 1 - ABS(tbl_kpi[[#This Row],[VarianceQty]]) / tbl_kpi[[#This Row],[ExpectedQty]]))</f>
        <v>0.97222222222222221</v>
      </c>
      <c r="I3" s="2" t="str">
        <f>IF(tbl_kpi[[#This Row],[AccuracyPct]] &lt; 0.98, "Y", "N")</f>
        <v>Y</v>
      </c>
    </row>
    <row r="4" spans="1:9">
      <c r="A4" s="2">
        <v>1</v>
      </c>
      <c r="B4" s="2">
        <v>50</v>
      </c>
      <c r="C4" s="2" t="str">
        <f>_xlfn.XLOOKUP(tbl_kpi[[#This Row],[LocationID]], tbl_location[LocationID], tbl_location[LocationName], "UNMAPPED_LOCATION")</f>
        <v>Subassembly</v>
      </c>
      <c r="D4" s="2">
        <v>353</v>
      </c>
      <c r="E4" s="2">
        <v>353</v>
      </c>
      <c r="F4" s="2">
        <f>tbl_kpi[[#This Row],[OnHandQty]]</f>
        <v>353</v>
      </c>
      <c r="G4" s="2">
        <f>tbl_kpi[[#This Row],[CountedQty]]-tbl_kpi[[#This Row],[ExpectedQty]]</f>
        <v>0</v>
      </c>
      <c r="H4" s="2">
        <f>IF(tbl_kpi[[#This Row],[ExpectedQty]]=0, 1, MAX(0, 1 - ABS(tbl_kpi[[#This Row],[VarianceQty]]) / tbl_kpi[[#This Row],[ExpectedQty]]))</f>
        <v>1</v>
      </c>
      <c r="I4" s="2" t="str">
        <f>IF(tbl_kpi[[#This Row],[AccuracyPct]] &lt; 0.98, "Y", "N")</f>
        <v>N</v>
      </c>
    </row>
    <row r="5" spans="1:9">
      <c r="A5" s="2">
        <v>2</v>
      </c>
      <c r="B5" s="2">
        <v>1</v>
      </c>
      <c r="C5" s="2" t="str">
        <f>_xlfn.XLOOKUP(tbl_kpi[[#This Row],[LocationID]], tbl_location[LocationID], tbl_location[LocationName], "UNMAPPED_LOCATION")</f>
        <v>Tool Crib</v>
      </c>
      <c r="D5" s="2">
        <v>427</v>
      </c>
      <c r="E5" s="2">
        <v>428</v>
      </c>
      <c r="F5" s="2">
        <f>tbl_kpi[[#This Row],[OnHandQty]]</f>
        <v>427</v>
      </c>
      <c r="G5" s="2">
        <f>tbl_kpi[[#This Row],[CountedQty]]-tbl_kpi[[#This Row],[ExpectedQty]]</f>
        <v>1</v>
      </c>
      <c r="H5" s="2">
        <f>IF(tbl_kpi[[#This Row],[ExpectedQty]]=0, 1, MAX(0, 1 - ABS(tbl_kpi[[#This Row],[VarianceQty]]) / tbl_kpi[[#This Row],[ExpectedQty]]))</f>
        <v>0.99765807962529274</v>
      </c>
      <c r="I5" s="2" t="str">
        <f>IF(tbl_kpi[[#This Row],[AccuracyPct]] &lt; 0.98, "Y", "N")</f>
        <v>N</v>
      </c>
    </row>
    <row r="6" spans="1:9">
      <c r="A6" s="2">
        <v>2</v>
      </c>
      <c r="B6" s="2">
        <v>6</v>
      </c>
      <c r="C6" s="2" t="str">
        <f>_xlfn.XLOOKUP(tbl_kpi[[#This Row],[LocationID]], tbl_location[LocationID], tbl_location[LocationName], "UNMAPPED_LOCATION")</f>
        <v>Miscellaneous Storage</v>
      </c>
      <c r="D6" s="2">
        <v>318</v>
      </c>
      <c r="E6" s="2">
        <v>316</v>
      </c>
      <c r="F6" s="2">
        <f>tbl_kpi[[#This Row],[OnHandQty]]</f>
        <v>318</v>
      </c>
      <c r="G6" s="2">
        <f>tbl_kpi[[#This Row],[CountedQty]]-tbl_kpi[[#This Row],[ExpectedQty]]</f>
        <v>-2</v>
      </c>
      <c r="H6" s="2">
        <f>IF(tbl_kpi[[#This Row],[ExpectedQty]]=0, 1, MAX(0, 1 - ABS(tbl_kpi[[#This Row],[VarianceQty]]) / tbl_kpi[[#This Row],[ExpectedQty]]))</f>
        <v>0.99371069182389937</v>
      </c>
      <c r="I6" s="2" t="str">
        <f>IF(tbl_kpi[[#This Row],[AccuracyPct]] &lt; 0.98, "Y", "N")</f>
        <v>N</v>
      </c>
    </row>
    <row r="7" spans="1:9">
      <c r="A7" s="2">
        <v>2</v>
      </c>
      <c r="B7" s="2">
        <v>50</v>
      </c>
      <c r="C7" s="2" t="str">
        <f>_xlfn.XLOOKUP(tbl_kpi[[#This Row],[LocationID]], tbl_location[LocationID], tbl_location[LocationName], "UNMAPPED_LOCATION")</f>
        <v>Subassembly</v>
      </c>
      <c r="D7" s="2">
        <v>364</v>
      </c>
      <c r="E7" s="2">
        <v>354</v>
      </c>
      <c r="F7" s="2">
        <f>tbl_kpi[[#This Row],[OnHandQty]]</f>
        <v>364</v>
      </c>
      <c r="G7" s="2">
        <f>tbl_kpi[[#This Row],[CountedQty]]-tbl_kpi[[#This Row],[ExpectedQty]]</f>
        <v>-10</v>
      </c>
      <c r="H7" s="2">
        <f>IF(tbl_kpi[[#This Row],[ExpectedQty]]=0, 1, MAX(0, 1 - ABS(tbl_kpi[[#This Row],[VarianceQty]]) / tbl_kpi[[#This Row],[ExpectedQty]]))</f>
        <v>0.97252747252747251</v>
      </c>
      <c r="I7" s="2" t="str">
        <f>IF(tbl_kpi[[#This Row],[AccuracyPct]] &lt; 0.98, "Y", "N")</f>
        <v>Y</v>
      </c>
    </row>
    <row r="8" spans="1:9">
      <c r="A8" s="2">
        <v>3</v>
      </c>
      <c r="B8" s="2">
        <v>1</v>
      </c>
      <c r="C8" s="2" t="str">
        <f>_xlfn.XLOOKUP(tbl_kpi[[#This Row],[LocationID]], tbl_location[LocationID], tbl_location[LocationName], "UNMAPPED_LOCATION")</f>
        <v>Tool Crib</v>
      </c>
      <c r="D8" s="2">
        <v>585</v>
      </c>
      <c r="E8" s="2">
        <v>586</v>
      </c>
      <c r="F8" s="2">
        <f>tbl_kpi[[#This Row],[OnHandQty]]</f>
        <v>585</v>
      </c>
      <c r="G8" s="2">
        <f>tbl_kpi[[#This Row],[CountedQty]]-tbl_kpi[[#This Row],[ExpectedQty]]</f>
        <v>1</v>
      </c>
      <c r="H8" s="2">
        <f>IF(tbl_kpi[[#This Row],[ExpectedQty]]=0, 1, MAX(0, 1 - ABS(tbl_kpi[[#This Row],[VarianceQty]]) / tbl_kpi[[#This Row],[ExpectedQty]]))</f>
        <v>0.9982905982905983</v>
      </c>
      <c r="I8" s="2" t="str">
        <f>IF(tbl_kpi[[#This Row],[AccuracyPct]] &lt; 0.98, "Y", "N")</f>
        <v>N</v>
      </c>
    </row>
    <row r="9" spans="1:9">
      <c r="A9" s="2">
        <v>3</v>
      </c>
      <c r="B9" s="2">
        <v>6</v>
      </c>
      <c r="C9" s="2" t="str">
        <f>_xlfn.XLOOKUP(tbl_kpi[[#This Row],[LocationID]], tbl_location[LocationID], tbl_location[LocationName], "UNMAPPED_LOCATION")</f>
        <v>Miscellaneous Storage</v>
      </c>
      <c r="D9" s="2">
        <v>443</v>
      </c>
      <c r="E9" s="2">
        <v>431</v>
      </c>
      <c r="F9" s="2">
        <f>tbl_kpi[[#This Row],[OnHandQty]]</f>
        <v>443</v>
      </c>
      <c r="G9" s="2">
        <f>tbl_kpi[[#This Row],[CountedQty]]-tbl_kpi[[#This Row],[ExpectedQty]]</f>
        <v>-12</v>
      </c>
      <c r="H9" s="2">
        <f>IF(tbl_kpi[[#This Row],[ExpectedQty]]=0, 1, MAX(0, 1 - ABS(tbl_kpi[[#This Row],[VarianceQty]]) / tbl_kpi[[#This Row],[ExpectedQty]]))</f>
        <v>0.97291196388261847</v>
      </c>
      <c r="I9" s="2" t="str">
        <f>IF(tbl_kpi[[#This Row],[AccuracyPct]] &lt; 0.98, "Y", "N")</f>
        <v>Y</v>
      </c>
    </row>
    <row r="10" spans="1:9">
      <c r="A10" s="2">
        <v>3</v>
      </c>
      <c r="B10" s="2">
        <v>50</v>
      </c>
      <c r="C10" s="2" t="str">
        <f>_xlfn.XLOOKUP(tbl_kpi[[#This Row],[LocationID]], tbl_location[LocationID], tbl_location[LocationName], "UNMAPPED_LOCATION")</f>
        <v>Subassembly</v>
      </c>
      <c r="D10" s="2">
        <v>324</v>
      </c>
      <c r="E10" s="2">
        <v>333</v>
      </c>
      <c r="F10" s="2">
        <f>tbl_kpi[[#This Row],[OnHandQty]]</f>
        <v>324</v>
      </c>
      <c r="G10" s="2">
        <f>tbl_kpi[[#This Row],[CountedQty]]-tbl_kpi[[#This Row],[ExpectedQty]]</f>
        <v>9</v>
      </c>
      <c r="H10" s="2">
        <f>IF(tbl_kpi[[#This Row],[ExpectedQty]]=0, 1, MAX(0, 1 - ABS(tbl_kpi[[#This Row],[VarianceQty]]) / tbl_kpi[[#This Row],[ExpectedQty]]))</f>
        <v>0.97222222222222221</v>
      </c>
      <c r="I10" s="2" t="str">
        <f>IF(tbl_kpi[[#This Row],[AccuracyPct]] &lt; 0.98, "Y", "N")</f>
        <v>Y</v>
      </c>
    </row>
    <row r="11" spans="1:9">
      <c r="A11" s="2">
        <v>4</v>
      </c>
      <c r="B11" s="2">
        <v>1</v>
      </c>
      <c r="C11" s="2" t="str">
        <f>_xlfn.XLOOKUP(tbl_kpi[[#This Row],[LocationID]], tbl_location[LocationID], tbl_location[LocationName], "UNMAPPED_LOCATION")</f>
        <v>Tool Crib</v>
      </c>
      <c r="D11" s="2">
        <v>512</v>
      </c>
      <c r="E11" s="2">
        <v>497</v>
      </c>
      <c r="F11" s="2">
        <f>tbl_kpi[[#This Row],[OnHandQty]]</f>
        <v>512</v>
      </c>
      <c r="G11" s="2">
        <f>tbl_kpi[[#This Row],[CountedQty]]-tbl_kpi[[#This Row],[ExpectedQty]]</f>
        <v>-15</v>
      </c>
      <c r="H11" s="2">
        <f>IF(tbl_kpi[[#This Row],[ExpectedQty]]=0, 1, MAX(0, 1 - ABS(tbl_kpi[[#This Row],[VarianceQty]]) / tbl_kpi[[#This Row],[ExpectedQty]]))</f>
        <v>0.970703125</v>
      </c>
      <c r="I11" s="2" t="str">
        <f>IF(tbl_kpi[[#This Row],[AccuracyPct]] &lt; 0.98, "Y", "N")</f>
        <v>Y</v>
      </c>
    </row>
    <row r="12" spans="1:9">
      <c r="A12" s="2">
        <v>4</v>
      </c>
      <c r="B12" s="2">
        <v>6</v>
      </c>
      <c r="C12" s="2" t="str">
        <f>_xlfn.XLOOKUP(tbl_kpi[[#This Row],[LocationID]], tbl_location[LocationID], tbl_location[LocationName], "UNMAPPED_LOCATION")</f>
        <v>Miscellaneous Storage</v>
      </c>
      <c r="D12" s="2">
        <v>422</v>
      </c>
      <c r="E12" s="2">
        <v>429</v>
      </c>
      <c r="F12" s="2">
        <f>tbl_kpi[[#This Row],[OnHandQty]]</f>
        <v>422</v>
      </c>
      <c r="G12" s="2">
        <f>tbl_kpi[[#This Row],[CountedQty]]-tbl_kpi[[#This Row],[ExpectedQty]]</f>
        <v>7</v>
      </c>
      <c r="H12" s="2">
        <f>IF(tbl_kpi[[#This Row],[ExpectedQty]]=0, 1, MAX(0, 1 - ABS(tbl_kpi[[#This Row],[VarianceQty]]) / tbl_kpi[[#This Row],[ExpectedQty]]))</f>
        <v>0.98341232227488151</v>
      </c>
      <c r="I12" s="2" t="str">
        <f>IF(tbl_kpi[[#This Row],[AccuracyPct]] &lt; 0.98, "Y", "N")</f>
        <v>N</v>
      </c>
    </row>
    <row r="13" spans="1:9">
      <c r="A13" s="2">
        <v>4</v>
      </c>
      <c r="B13" s="2">
        <v>50</v>
      </c>
      <c r="C13" s="2" t="str">
        <f>_xlfn.XLOOKUP(tbl_kpi[[#This Row],[LocationID]], tbl_location[LocationID], tbl_location[LocationName], "UNMAPPED_LOCATION")</f>
        <v>Subassembly</v>
      </c>
      <c r="D13" s="2">
        <v>388</v>
      </c>
      <c r="E13" s="2">
        <v>378</v>
      </c>
      <c r="F13" s="2">
        <f>tbl_kpi[[#This Row],[OnHandQty]]</f>
        <v>388</v>
      </c>
      <c r="G13" s="2">
        <f>tbl_kpi[[#This Row],[CountedQty]]-tbl_kpi[[#This Row],[ExpectedQty]]</f>
        <v>-10</v>
      </c>
      <c r="H13" s="2">
        <f>IF(tbl_kpi[[#This Row],[ExpectedQty]]=0, 1, MAX(0, 1 - ABS(tbl_kpi[[#This Row],[VarianceQty]]) / tbl_kpi[[#This Row],[ExpectedQty]]))</f>
        <v>0.97422680412371132</v>
      </c>
      <c r="I13" s="2" t="str">
        <f>IF(tbl_kpi[[#This Row],[AccuracyPct]] &lt; 0.98, "Y", "N")</f>
        <v>Y</v>
      </c>
    </row>
    <row r="14" spans="1:9">
      <c r="A14" s="2">
        <v>316</v>
      </c>
      <c r="B14" s="2">
        <v>5</v>
      </c>
      <c r="C14" s="2" t="str">
        <f>_xlfn.XLOOKUP(tbl_kpi[[#This Row],[LocationID]], tbl_location[LocationID], tbl_location[LocationName], "UNMAPPED_LOCATION")</f>
        <v>Metal Storage</v>
      </c>
      <c r="D14" s="2">
        <v>532</v>
      </c>
      <c r="E14" s="2">
        <v>527</v>
      </c>
      <c r="F14" s="2">
        <f>tbl_kpi[[#This Row],[OnHandQty]]</f>
        <v>532</v>
      </c>
      <c r="G14" s="2">
        <f>tbl_kpi[[#This Row],[CountedQty]]-tbl_kpi[[#This Row],[ExpectedQty]]</f>
        <v>-5</v>
      </c>
      <c r="H14" s="2">
        <f>IF(tbl_kpi[[#This Row],[ExpectedQty]]=0, 1, MAX(0, 1 - ABS(tbl_kpi[[#This Row],[VarianceQty]]) / tbl_kpi[[#This Row],[ExpectedQty]]))</f>
        <v>0.99060150375939848</v>
      </c>
      <c r="I14" s="2" t="str">
        <f>IF(tbl_kpi[[#This Row],[AccuracyPct]] &lt; 0.98, "Y", "N")</f>
        <v>N</v>
      </c>
    </row>
    <row r="15" spans="1:9">
      <c r="A15" s="2">
        <v>316</v>
      </c>
      <c r="B15" s="2">
        <v>10</v>
      </c>
      <c r="C15" s="2" t="str">
        <f>_xlfn.XLOOKUP(tbl_kpi[[#This Row],[LocationID]], tbl_location[LocationID], tbl_location[LocationName], "UNMAPPED_LOCATION")</f>
        <v>Frame Forming</v>
      </c>
      <c r="D15" s="2">
        <v>388</v>
      </c>
      <c r="E15" s="2">
        <v>395</v>
      </c>
      <c r="F15" s="2">
        <f>tbl_kpi[[#This Row],[OnHandQty]]</f>
        <v>388</v>
      </c>
      <c r="G15" s="2">
        <f>tbl_kpi[[#This Row],[CountedQty]]-tbl_kpi[[#This Row],[ExpectedQty]]</f>
        <v>7</v>
      </c>
      <c r="H15" s="2">
        <f>IF(tbl_kpi[[#This Row],[ExpectedQty]]=0, 1, MAX(0, 1 - ABS(tbl_kpi[[#This Row],[VarianceQty]]) / tbl_kpi[[#This Row],[ExpectedQty]]))</f>
        <v>0.98195876288659789</v>
      </c>
      <c r="I15" s="2" t="str">
        <f>IF(tbl_kpi[[#This Row],[AccuracyPct]] &lt; 0.98, "Y", "N")</f>
        <v>N</v>
      </c>
    </row>
    <row r="16" spans="1:9">
      <c r="A16" s="2">
        <v>316</v>
      </c>
      <c r="B16" s="2">
        <v>50</v>
      </c>
      <c r="C16" s="2" t="str">
        <f>_xlfn.XLOOKUP(tbl_kpi[[#This Row],[LocationID]], tbl_location[LocationID], tbl_location[LocationName], "UNMAPPED_LOCATION")</f>
        <v>Subassembly</v>
      </c>
      <c r="D16" s="2">
        <v>441</v>
      </c>
      <c r="E16" s="2">
        <v>447</v>
      </c>
      <c r="F16" s="2">
        <f>tbl_kpi[[#This Row],[OnHandQty]]</f>
        <v>441</v>
      </c>
      <c r="G16" s="2">
        <f>tbl_kpi[[#This Row],[CountedQty]]-tbl_kpi[[#This Row],[ExpectedQty]]</f>
        <v>6</v>
      </c>
      <c r="H16" s="2">
        <f>IF(tbl_kpi[[#This Row],[ExpectedQty]]=0, 1, MAX(0, 1 - ABS(tbl_kpi[[#This Row],[VarianceQty]]) / tbl_kpi[[#This Row],[ExpectedQty]]))</f>
        <v>0.98639455782312924</v>
      </c>
      <c r="I16" s="2" t="str">
        <f>IF(tbl_kpi[[#This Row],[AccuracyPct]] &lt; 0.98, "Y", "N")</f>
        <v>N</v>
      </c>
    </row>
    <row r="17" spans="1:9">
      <c r="A17" s="2">
        <v>317</v>
      </c>
      <c r="B17" s="2">
        <v>1</v>
      </c>
      <c r="C17" s="2" t="str">
        <f>_xlfn.XLOOKUP(tbl_kpi[[#This Row],[LocationID]], tbl_location[LocationID], tbl_location[LocationName], "UNMAPPED_LOCATION")</f>
        <v>Tool Crib</v>
      </c>
      <c r="D17" s="2">
        <v>283</v>
      </c>
      <c r="E17" s="2">
        <v>286</v>
      </c>
      <c r="F17" s="2">
        <f>tbl_kpi[[#This Row],[OnHandQty]]</f>
        <v>283</v>
      </c>
      <c r="G17" s="2">
        <f>tbl_kpi[[#This Row],[CountedQty]]-tbl_kpi[[#This Row],[ExpectedQty]]</f>
        <v>3</v>
      </c>
      <c r="H17" s="2">
        <f>IF(tbl_kpi[[#This Row],[ExpectedQty]]=0, 1, MAX(0, 1 - ABS(tbl_kpi[[#This Row],[VarianceQty]]) / tbl_kpi[[#This Row],[ExpectedQty]]))</f>
        <v>0.98939929328621912</v>
      </c>
      <c r="I17" s="2" t="str">
        <f>IF(tbl_kpi[[#This Row],[AccuracyPct]] &lt; 0.98, "Y", "N")</f>
        <v>N</v>
      </c>
    </row>
    <row r="18" spans="1:9">
      <c r="A18" s="2">
        <v>317</v>
      </c>
      <c r="B18" s="2">
        <v>5</v>
      </c>
      <c r="C18" s="2" t="str">
        <f>_xlfn.XLOOKUP(tbl_kpi[[#This Row],[LocationID]], tbl_location[LocationID], tbl_location[LocationName], "UNMAPPED_LOCATION")</f>
        <v>Metal Storage</v>
      </c>
      <c r="D18" s="2">
        <v>158</v>
      </c>
      <c r="E18" s="2">
        <v>162</v>
      </c>
      <c r="F18" s="2">
        <f>tbl_kpi[[#This Row],[OnHandQty]]</f>
        <v>158</v>
      </c>
      <c r="G18" s="2">
        <f>tbl_kpi[[#This Row],[CountedQty]]-tbl_kpi[[#This Row],[ExpectedQty]]</f>
        <v>4</v>
      </c>
      <c r="H18" s="2">
        <f>IF(tbl_kpi[[#This Row],[ExpectedQty]]=0, 1, MAX(0, 1 - ABS(tbl_kpi[[#This Row],[VarianceQty]]) / tbl_kpi[[#This Row],[ExpectedQty]]))</f>
        <v>0.97468354430379744</v>
      </c>
      <c r="I18" s="2" t="str">
        <f>IF(tbl_kpi[[#This Row],[AccuracyPct]] &lt; 0.98, "Y", "N")</f>
        <v>Y</v>
      </c>
    </row>
    <row r="19" spans="1:9">
      <c r="A19" s="2">
        <v>317</v>
      </c>
      <c r="B19" s="2">
        <v>50</v>
      </c>
      <c r="C19" s="2" t="str">
        <f>_xlfn.XLOOKUP(tbl_kpi[[#This Row],[LocationID]], tbl_location[LocationID], tbl_location[LocationName], "UNMAPPED_LOCATION")</f>
        <v>Subassembly</v>
      </c>
      <c r="D19" s="2">
        <v>152</v>
      </c>
      <c r="E19" s="2">
        <v>155</v>
      </c>
      <c r="F19" s="2">
        <f>tbl_kpi[[#This Row],[OnHandQty]]</f>
        <v>152</v>
      </c>
      <c r="G19" s="2">
        <f>tbl_kpi[[#This Row],[CountedQty]]-tbl_kpi[[#This Row],[ExpectedQty]]</f>
        <v>3</v>
      </c>
      <c r="H19" s="2">
        <f>IF(tbl_kpi[[#This Row],[ExpectedQty]]=0, 1, MAX(0, 1 - ABS(tbl_kpi[[#This Row],[VarianceQty]]) / tbl_kpi[[#This Row],[ExpectedQty]]))</f>
        <v>0.98026315789473684</v>
      </c>
      <c r="I19" s="2" t="str">
        <f>IF(tbl_kpi[[#This Row],[AccuracyPct]] &lt; 0.98, "Y", "N")</f>
        <v>N</v>
      </c>
    </row>
    <row r="20" spans="1:9">
      <c r="A20" s="2">
        <v>318</v>
      </c>
      <c r="B20" s="2">
        <v>1</v>
      </c>
      <c r="C20" s="2" t="str">
        <f>_xlfn.XLOOKUP(tbl_kpi[[#This Row],[LocationID]], tbl_location[LocationID], tbl_location[LocationName], "UNMAPPED_LOCATION")</f>
        <v>Tool Crib</v>
      </c>
      <c r="D20" s="2">
        <v>136</v>
      </c>
      <c r="E20" s="2">
        <v>139</v>
      </c>
      <c r="F20" s="2">
        <f>tbl_kpi[[#This Row],[OnHandQty]]</f>
        <v>136</v>
      </c>
      <c r="G20" s="2">
        <f>tbl_kpi[[#This Row],[CountedQty]]-tbl_kpi[[#This Row],[ExpectedQty]]</f>
        <v>3</v>
      </c>
      <c r="H20" s="2">
        <f>IF(tbl_kpi[[#This Row],[ExpectedQty]]=0, 1, MAX(0, 1 - ABS(tbl_kpi[[#This Row],[VarianceQty]]) / tbl_kpi[[#This Row],[ExpectedQty]]))</f>
        <v>0.9779411764705882</v>
      </c>
      <c r="I20" s="2" t="str">
        <f>IF(tbl_kpi[[#This Row],[AccuracyPct]] &lt; 0.98, "Y", "N")</f>
        <v>Y</v>
      </c>
    </row>
    <row r="21" spans="1:9">
      <c r="A21" s="2">
        <v>318</v>
      </c>
      <c r="B21" s="2">
        <v>5</v>
      </c>
      <c r="C21" s="2" t="str">
        <f>_xlfn.XLOOKUP(tbl_kpi[[#This Row],[LocationID]], tbl_location[LocationID], tbl_location[LocationName], "UNMAPPED_LOCATION")</f>
        <v>Metal Storage</v>
      </c>
      <c r="D21" s="2">
        <v>171</v>
      </c>
      <c r="E21" s="2">
        <v>172</v>
      </c>
      <c r="F21" s="2">
        <f>tbl_kpi[[#This Row],[OnHandQty]]</f>
        <v>171</v>
      </c>
      <c r="G21" s="2">
        <f>tbl_kpi[[#This Row],[CountedQty]]-tbl_kpi[[#This Row],[ExpectedQty]]</f>
        <v>1</v>
      </c>
      <c r="H21" s="2">
        <f>IF(tbl_kpi[[#This Row],[ExpectedQty]]=0, 1, MAX(0, 1 - ABS(tbl_kpi[[#This Row],[VarianceQty]]) / tbl_kpi[[#This Row],[ExpectedQty]]))</f>
        <v>0.99415204678362579</v>
      </c>
      <c r="I21" s="2" t="str">
        <f>IF(tbl_kpi[[#This Row],[AccuracyPct]] &lt; 0.98, "Y", "N")</f>
        <v>N</v>
      </c>
    </row>
    <row r="22" spans="1:9">
      <c r="A22" s="2">
        <v>318</v>
      </c>
      <c r="B22" s="2">
        <v>50</v>
      </c>
      <c r="C22" s="2" t="str">
        <f>_xlfn.XLOOKUP(tbl_kpi[[#This Row],[LocationID]], tbl_location[LocationID], tbl_location[LocationName], "UNMAPPED_LOCATION")</f>
        <v>Subassembly</v>
      </c>
      <c r="D22" s="2">
        <v>132</v>
      </c>
      <c r="E22" s="2">
        <v>131</v>
      </c>
      <c r="F22" s="2">
        <f>tbl_kpi[[#This Row],[OnHandQty]]</f>
        <v>132</v>
      </c>
      <c r="G22" s="2">
        <f>tbl_kpi[[#This Row],[CountedQty]]-tbl_kpi[[#This Row],[ExpectedQty]]</f>
        <v>-1</v>
      </c>
      <c r="H22" s="2">
        <f>IF(tbl_kpi[[#This Row],[ExpectedQty]]=0, 1, MAX(0, 1 - ABS(tbl_kpi[[#This Row],[VarianceQty]]) / tbl_kpi[[#This Row],[ExpectedQty]]))</f>
        <v>0.99242424242424243</v>
      </c>
      <c r="I22" s="2" t="str">
        <f>IF(tbl_kpi[[#This Row],[AccuracyPct]] &lt; 0.98, "Y", "N")</f>
        <v>N</v>
      </c>
    </row>
    <row r="23" spans="1:9">
      <c r="A23" s="2">
        <v>319</v>
      </c>
      <c r="B23" s="2">
        <v>1</v>
      </c>
      <c r="C23" s="2" t="str">
        <f>_xlfn.XLOOKUP(tbl_kpi[[#This Row],[LocationID]], tbl_location[LocationID], tbl_location[LocationName], "UNMAPPED_LOCATION")</f>
        <v>Tool Crib</v>
      </c>
      <c r="D23" s="2">
        <v>308</v>
      </c>
      <c r="E23" s="2">
        <v>309</v>
      </c>
      <c r="F23" s="2">
        <f>tbl_kpi[[#This Row],[OnHandQty]]</f>
        <v>308</v>
      </c>
      <c r="G23" s="2">
        <f>tbl_kpi[[#This Row],[CountedQty]]-tbl_kpi[[#This Row],[ExpectedQty]]</f>
        <v>1</v>
      </c>
      <c r="H23" s="2">
        <f>IF(tbl_kpi[[#This Row],[ExpectedQty]]=0, 1, MAX(0, 1 - ABS(tbl_kpi[[#This Row],[VarianceQty]]) / tbl_kpi[[#This Row],[ExpectedQty]]))</f>
        <v>0.99675324675324672</v>
      </c>
      <c r="I23" s="2" t="str">
        <f>IF(tbl_kpi[[#This Row],[AccuracyPct]] &lt; 0.98, "Y", "N")</f>
        <v>N</v>
      </c>
    </row>
    <row r="24" spans="1:9">
      <c r="A24" s="2">
        <v>319</v>
      </c>
      <c r="B24" s="2">
        <v>5</v>
      </c>
      <c r="C24" s="2" t="str">
        <f>_xlfn.XLOOKUP(tbl_kpi[[#This Row],[LocationID]], tbl_location[LocationID], tbl_location[LocationName], "UNMAPPED_LOCATION")</f>
        <v>Metal Storage</v>
      </c>
      <c r="D24" s="2">
        <v>184</v>
      </c>
      <c r="E24" s="2">
        <v>188</v>
      </c>
      <c r="F24" s="2">
        <f>tbl_kpi[[#This Row],[OnHandQty]]</f>
        <v>184</v>
      </c>
      <c r="G24" s="2">
        <f>tbl_kpi[[#This Row],[CountedQty]]-tbl_kpi[[#This Row],[ExpectedQty]]</f>
        <v>4</v>
      </c>
      <c r="H24" s="2">
        <f>IF(tbl_kpi[[#This Row],[ExpectedQty]]=0, 1, MAX(0, 1 - ABS(tbl_kpi[[#This Row],[VarianceQty]]) / tbl_kpi[[#This Row],[ExpectedQty]]))</f>
        <v>0.97826086956521741</v>
      </c>
      <c r="I24" s="2" t="str">
        <f>IF(tbl_kpi[[#This Row],[AccuracyPct]] &lt; 0.98, "Y", "N")</f>
        <v>Y</v>
      </c>
    </row>
    <row r="25" spans="1:9">
      <c r="A25" s="2">
        <v>319</v>
      </c>
      <c r="B25" s="2">
        <v>50</v>
      </c>
      <c r="C25" s="2" t="str">
        <f>_xlfn.XLOOKUP(tbl_kpi[[#This Row],[LocationID]], tbl_location[LocationID], tbl_location[LocationName], "UNMAPPED_LOCATION")</f>
        <v>Subassembly</v>
      </c>
      <c r="D25" s="2">
        <v>305</v>
      </c>
      <c r="E25" s="2">
        <v>300</v>
      </c>
      <c r="F25" s="2">
        <f>tbl_kpi[[#This Row],[OnHandQty]]</f>
        <v>305</v>
      </c>
      <c r="G25" s="2">
        <f>tbl_kpi[[#This Row],[CountedQty]]-tbl_kpi[[#This Row],[ExpectedQty]]</f>
        <v>-5</v>
      </c>
      <c r="H25" s="2">
        <f>IF(tbl_kpi[[#This Row],[ExpectedQty]]=0, 1, MAX(0, 1 - ABS(tbl_kpi[[#This Row],[VarianceQty]]) / tbl_kpi[[#This Row],[ExpectedQty]]))</f>
        <v>0.98360655737704916</v>
      </c>
      <c r="I25" s="2" t="str">
        <f>IF(tbl_kpi[[#This Row],[AccuracyPct]] &lt; 0.98, "Y", "N")</f>
        <v>N</v>
      </c>
    </row>
    <row r="26" spans="1:9">
      <c r="A26" s="2">
        <v>320</v>
      </c>
      <c r="B26" s="2">
        <v>1</v>
      </c>
      <c r="C26" s="2" t="str">
        <f>_xlfn.XLOOKUP(tbl_kpi[[#This Row],[LocationID]], tbl_location[LocationID], tbl_location[LocationName], "UNMAPPED_LOCATION")</f>
        <v>Tool Crib</v>
      </c>
      <c r="D26" s="2">
        <v>481</v>
      </c>
      <c r="E26" s="2">
        <v>481</v>
      </c>
      <c r="F26" s="2">
        <f>tbl_kpi[[#This Row],[OnHandQty]]</f>
        <v>481</v>
      </c>
      <c r="G26" s="2">
        <f>tbl_kpi[[#This Row],[CountedQty]]-tbl_kpi[[#This Row],[ExpectedQty]]</f>
        <v>0</v>
      </c>
      <c r="H26" s="2">
        <f>IF(tbl_kpi[[#This Row],[ExpectedQty]]=0, 1, MAX(0, 1 - ABS(tbl_kpi[[#This Row],[VarianceQty]]) / tbl_kpi[[#This Row],[ExpectedQty]]))</f>
        <v>1</v>
      </c>
      <c r="I26" s="2" t="str">
        <f>IF(tbl_kpi[[#This Row],[AccuracyPct]] &lt; 0.98, "Y", "N")</f>
        <v>N</v>
      </c>
    </row>
    <row r="27" spans="1:9">
      <c r="A27" s="2">
        <v>320</v>
      </c>
      <c r="B27" s="2">
        <v>5</v>
      </c>
      <c r="C27" s="2" t="str">
        <f>_xlfn.XLOOKUP(tbl_kpi[[#This Row],[LocationID]], tbl_location[LocationID], tbl_location[LocationName], "UNMAPPED_LOCATION")</f>
        <v>Metal Storage</v>
      </c>
      <c r="D27" s="2">
        <v>372</v>
      </c>
      <c r="E27" s="2">
        <v>362</v>
      </c>
      <c r="F27" s="2">
        <f>tbl_kpi[[#This Row],[OnHandQty]]</f>
        <v>372</v>
      </c>
      <c r="G27" s="2">
        <f>tbl_kpi[[#This Row],[CountedQty]]-tbl_kpi[[#This Row],[ExpectedQty]]</f>
        <v>-10</v>
      </c>
      <c r="H27" s="2">
        <f>IF(tbl_kpi[[#This Row],[ExpectedQty]]=0, 1, MAX(0, 1 - ABS(tbl_kpi[[#This Row],[VarianceQty]]) / tbl_kpi[[#This Row],[ExpectedQty]]))</f>
        <v>0.9731182795698925</v>
      </c>
      <c r="I27" s="2" t="str">
        <f>IF(tbl_kpi[[#This Row],[AccuracyPct]] &lt; 0.98, "Y", "N")</f>
        <v>Y</v>
      </c>
    </row>
    <row r="28" spans="1:9">
      <c r="A28" s="2">
        <v>320</v>
      </c>
      <c r="B28" s="2">
        <v>50</v>
      </c>
      <c r="C28" s="2" t="str">
        <f>_xlfn.XLOOKUP(tbl_kpi[[#This Row],[LocationID]], tbl_location[LocationID], tbl_location[LocationName], "UNMAPPED_LOCATION")</f>
        <v>Subassembly</v>
      </c>
      <c r="D28" s="2">
        <v>283</v>
      </c>
      <c r="E28" s="2">
        <v>285</v>
      </c>
      <c r="F28" s="2">
        <f>tbl_kpi[[#This Row],[OnHandQty]]</f>
        <v>283</v>
      </c>
      <c r="G28" s="2">
        <f>tbl_kpi[[#This Row],[CountedQty]]-tbl_kpi[[#This Row],[ExpectedQty]]</f>
        <v>2</v>
      </c>
      <c r="H28" s="2">
        <f>IF(tbl_kpi[[#This Row],[ExpectedQty]]=0, 1, MAX(0, 1 - ABS(tbl_kpi[[#This Row],[VarianceQty]]) / tbl_kpi[[#This Row],[ExpectedQty]]))</f>
        <v>0.99293286219081267</v>
      </c>
      <c r="I28" s="2" t="str">
        <f>IF(tbl_kpi[[#This Row],[AccuracyPct]] &lt; 0.98, "Y", "N")</f>
        <v>N</v>
      </c>
    </row>
    <row r="29" spans="1:9">
      <c r="A29" s="2">
        <v>321</v>
      </c>
      <c r="B29" s="2">
        <v>1</v>
      </c>
      <c r="C29" s="2" t="str">
        <f>_xlfn.XLOOKUP(tbl_kpi[[#This Row],[LocationID]], tbl_location[LocationID], tbl_location[LocationName], "UNMAPPED_LOCATION")</f>
        <v>Tool Crib</v>
      </c>
      <c r="D29" s="2">
        <v>569</v>
      </c>
      <c r="E29" s="2">
        <v>554</v>
      </c>
      <c r="F29" s="2">
        <f>tbl_kpi[[#This Row],[OnHandQty]]</f>
        <v>569</v>
      </c>
      <c r="G29" s="2">
        <f>tbl_kpi[[#This Row],[CountedQty]]-tbl_kpi[[#This Row],[ExpectedQty]]</f>
        <v>-15</v>
      </c>
      <c r="H29" s="2">
        <f>IF(tbl_kpi[[#This Row],[ExpectedQty]]=0, 1, MAX(0, 1 - ABS(tbl_kpi[[#This Row],[VarianceQty]]) / tbl_kpi[[#This Row],[ExpectedQty]]))</f>
        <v>0.97363796133567659</v>
      </c>
      <c r="I29" s="2" t="str">
        <f>IF(tbl_kpi[[#This Row],[AccuracyPct]] &lt; 0.98, "Y", "N")</f>
        <v>Y</v>
      </c>
    </row>
    <row r="30" spans="1:9">
      <c r="A30" s="2">
        <v>321</v>
      </c>
      <c r="B30" s="2">
        <v>5</v>
      </c>
      <c r="C30" s="2" t="str">
        <f>_xlfn.XLOOKUP(tbl_kpi[[#This Row],[LocationID]], tbl_location[LocationID], tbl_location[LocationName], "UNMAPPED_LOCATION")</f>
        <v>Metal Storage</v>
      </c>
      <c r="D30" s="2">
        <v>540</v>
      </c>
      <c r="E30" s="2">
        <v>538</v>
      </c>
      <c r="F30" s="2">
        <f>tbl_kpi[[#This Row],[OnHandQty]]</f>
        <v>540</v>
      </c>
      <c r="G30" s="2">
        <f>tbl_kpi[[#This Row],[CountedQty]]-tbl_kpi[[#This Row],[ExpectedQty]]</f>
        <v>-2</v>
      </c>
      <c r="H30" s="2">
        <f>IF(tbl_kpi[[#This Row],[ExpectedQty]]=0, 1, MAX(0, 1 - ABS(tbl_kpi[[#This Row],[VarianceQty]]) / tbl_kpi[[#This Row],[ExpectedQty]]))</f>
        <v>0.99629629629629635</v>
      </c>
      <c r="I30" s="2" t="str">
        <f>IF(tbl_kpi[[#This Row],[AccuracyPct]] &lt; 0.98, "Y", "N")</f>
        <v>N</v>
      </c>
    </row>
    <row r="31" spans="1:9">
      <c r="A31" s="2">
        <v>321</v>
      </c>
      <c r="B31" s="2">
        <v>50</v>
      </c>
      <c r="C31" s="2" t="str">
        <f>_xlfn.XLOOKUP(tbl_kpi[[#This Row],[LocationID]], tbl_location[LocationID], tbl_location[LocationName], "UNMAPPED_LOCATION")</f>
        <v>Subassembly</v>
      </c>
      <c r="D31" s="2">
        <v>641</v>
      </c>
      <c r="E31" s="2">
        <v>624</v>
      </c>
      <c r="F31" s="2">
        <f>tbl_kpi[[#This Row],[OnHandQty]]</f>
        <v>641</v>
      </c>
      <c r="G31" s="2">
        <f>tbl_kpi[[#This Row],[CountedQty]]-tbl_kpi[[#This Row],[ExpectedQty]]</f>
        <v>-17</v>
      </c>
      <c r="H31" s="2">
        <f>IF(tbl_kpi[[#This Row],[ExpectedQty]]=0, 1, MAX(0, 1 - ABS(tbl_kpi[[#This Row],[VarianceQty]]) / tbl_kpi[[#This Row],[ExpectedQty]]))</f>
        <v>0.97347893915756634</v>
      </c>
      <c r="I31" s="2" t="str">
        <f>IF(tbl_kpi[[#This Row],[AccuracyPct]] &lt; 0.98, "Y", "N")</f>
        <v>Y</v>
      </c>
    </row>
    <row r="32" spans="1:9">
      <c r="A32" s="2">
        <v>322</v>
      </c>
      <c r="B32" s="2">
        <v>1</v>
      </c>
      <c r="C32" s="2" t="str">
        <f>_xlfn.XLOOKUP(tbl_kpi[[#This Row],[LocationID]], tbl_location[LocationID], tbl_location[LocationName], "UNMAPPED_LOCATION")</f>
        <v>Tool Crib</v>
      </c>
      <c r="D32" s="2">
        <v>622</v>
      </c>
      <c r="E32" s="2">
        <v>615</v>
      </c>
      <c r="F32" s="2">
        <f>tbl_kpi[[#This Row],[OnHandQty]]</f>
        <v>622</v>
      </c>
      <c r="G32" s="2">
        <f>tbl_kpi[[#This Row],[CountedQty]]-tbl_kpi[[#This Row],[ExpectedQty]]</f>
        <v>-7</v>
      </c>
      <c r="H32" s="2">
        <f>IF(tbl_kpi[[#This Row],[ExpectedQty]]=0, 1, MAX(0, 1 - ABS(tbl_kpi[[#This Row],[VarianceQty]]) / tbl_kpi[[#This Row],[ExpectedQty]]))</f>
        <v>0.9887459807073955</v>
      </c>
      <c r="I32" s="2" t="str">
        <f>IF(tbl_kpi[[#This Row],[AccuracyPct]] &lt; 0.98, "Y", "N")</f>
        <v>N</v>
      </c>
    </row>
    <row r="33" spans="1:9">
      <c r="A33" s="2">
        <v>322</v>
      </c>
      <c r="B33" s="2">
        <v>5</v>
      </c>
      <c r="C33" s="2" t="str">
        <f>_xlfn.XLOOKUP(tbl_kpi[[#This Row],[LocationID]], tbl_location[LocationID], tbl_location[LocationName], "UNMAPPED_LOCATION")</f>
        <v>Metal Storage</v>
      </c>
      <c r="D33" s="2">
        <v>587</v>
      </c>
      <c r="E33" s="2">
        <v>598</v>
      </c>
      <c r="F33" s="2">
        <f>tbl_kpi[[#This Row],[OnHandQty]]</f>
        <v>587</v>
      </c>
      <c r="G33" s="2">
        <f>tbl_kpi[[#This Row],[CountedQty]]-tbl_kpi[[#This Row],[ExpectedQty]]</f>
        <v>11</v>
      </c>
      <c r="H33" s="2">
        <f>IF(tbl_kpi[[#This Row],[ExpectedQty]]=0, 1, MAX(0, 1 - ABS(tbl_kpi[[#This Row],[VarianceQty]]) / tbl_kpi[[#This Row],[ExpectedQty]]))</f>
        <v>0.98126064735945484</v>
      </c>
      <c r="I33" s="2" t="str">
        <f>IF(tbl_kpi[[#This Row],[AccuracyPct]] &lt; 0.98, "Y", "N")</f>
        <v>N</v>
      </c>
    </row>
    <row r="34" spans="1:9">
      <c r="A34" s="2">
        <v>322</v>
      </c>
      <c r="B34" s="2">
        <v>50</v>
      </c>
      <c r="C34" s="2" t="str">
        <f>_xlfn.XLOOKUP(tbl_kpi[[#This Row],[LocationID]], tbl_location[LocationID], tbl_location[LocationName], "UNMAPPED_LOCATION")</f>
        <v>Subassembly</v>
      </c>
      <c r="D34" s="2">
        <v>475</v>
      </c>
      <c r="E34" s="2">
        <v>476</v>
      </c>
      <c r="F34" s="2">
        <f>tbl_kpi[[#This Row],[OnHandQty]]</f>
        <v>475</v>
      </c>
      <c r="G34" s="2">
        <f>tbl_kpi[[#This Row],[CountedQty]]-tbl_kpi[[#This Row],[ExpectedQty]]</f>
        <v>1</v>
      </c>
      <c r="H34" s="2">
        <f>IF(tbl_kpi[[#This Row],[ExpectedQty]]=0, 1, MAX(0, 1 - ABS(tbl_kpi[[#This Row],[VarianceQty]]) / tbl_kpi[[#This Row],[ExpectedQty]]))</f>
        <v>0.99789473684210528</v>
      </c>
      <c r="I34" s="2" t="str">
        <f>IF(tbl_kpi[[#This Row],[AccuracyPct]] &lt; 0.98, "Y", "N")</f>
        <v>N</v>
      </c>
    </row>
    <row r="35" spans="1:9">
      <c r="A35" s="2">
        <v>323</v>
      </c>
      <c r="B35" s="2">
        <v>1</v>
      </c>
      <c r="C35" s="2" t="str">
        <f>_xlfn.XLOOKUP(tbl_kpi[[#This Row],[LocationID]], tbl_location[LocationID], tbl_location[LocationName], "UNMAPPED_LOCATION")</f>
        <v>Tool Crib</v>
      </c>
      <c r="D35" s="2">
        <v>603</v>
      </c>
      <c r="E35" s="2">
        <v>596</v>
      </c>
      <c r="F35" s="2">
        <f>tbl_kpi[[#This Row],[OnHandQty]]</f>
        <v>603</v>
      </c>
      <c r="G35" s="2">
        <f>tbl_kpi[[#This Row],[CountedQty]]-tbl_kpi[[#This Row],[ExpectedQty]]</f>
        <v>-7</v>
      </c>
      <c r="H35" s="2">
        <f>IF(tbl_kpi[[#This Row],[ExpectedQty]]=0, 1, MAX(0, 1 - ABS(tbl_kpi[[#This Row],[VarianceQty]]) / tbl_kpi[[#This Row],[ExpectedQty]]))</f>
        <v>0.988391376451078</v>
      </c>
      <c r="I35" s="2" t="str">
        <f>IF(tbl_kpi[[#This Row],[AccuracyPct]] &lt; 0.98, "Y", "N")</f>
        <v>N</v>
      </c>
    </row>
    <row r="36" spans="1:9">
      <c r="A36" s="2">
        <v>323</v>
      </c>
      <c r="B36" s="2">
        <v>5</v>
      </c>
      <c r="C36" s="2" t="str">
        <f>_xlfn.XLOOKUP(tbl_kpi[[#This Row],[LocationID]], tbl_location[LocationID], tbl_location[LocationName], "UNMAPPED_LOCATION")</f>
        <v>Metal Storage</v>
      </c>
      <c r="D36" s="2">
        <v>568</v>
      </c>
      <c r="E36" s="2">
        <v>568</v>
      </c>
      <c r="F36" s="2">
        <f>tbl_kpi[[#This Row],[OnHandQty]]</f>
        <v>568</v>
      </c>
      <c r="G36" s="2">
        <f>tbl_kpi[[#This Row],[CountedQty]]-tbl_kpi[[#This Row],[ExpectedQty]]</f>
        <v>0</v>
      </c>
      <c r="H36" s="2">
        <f>IF(tbl_kpi[[#This Row],[ExpectedQty]]=0, 1, MAX(0, 1 - ABS(tbl_kpi[[#This Row],[VarianceQty]]) / tbl_kpi[[#This Row],[ExpectedQty]]))</f>
        <v>1</v>
      </c>
      <c r="I36" s="2" t="str">
        <f>IF(tbl_kpi[[#This Row],[AccuracyPct]] &lt; 0.98, "Y", "N")</f>
        <v>N</v>
      </c>
    </row>
    <row r="37" spans="1:9">
      <c r="A37" s="2">
        <v>323</v>
      </c>
      <c r="B37" s="2">
        <v>50</v>
      </c>
      <c r="C37" s="2" t="str">
        <f>_xlfn.XLOOKUP(tbl_kpi[[#This Row],[LocationID]], tbl_location[LocationID], tbl_location[LocationName], "UNMAPPED_LOCATION")</f>
        <v>Subassembly</v>
      </c>
      <c r="D37" s="2">
        <v>513</v>
      </c>
      <c r="E37" s="2">
        <v>520</v>
      </c>
      <c r="F37" s="2">
        <f>tbl_kpi[[#This Row],[OnHandQty]]</f>
        <v>513</v>
      </c>
      <c r="G37" s="2">
        <f>tbl_kpi[[#This Row],[CountedQty]]-tbl_kpi[[#This Row],[ExpectedQty]]</f>
        <v>7</v>
      </c>
      <c r="H37" s="2">
        <f>IF(tbl_kpi[[#This Row],[ExpectedQty]]=0, 1, MAX(0, 1 - ABS(tbl_kpi[[#This Row],[VarianceQty]]) / tbl_kpi[[#This Row],[ExpectedQty]]))</f>
        <v>0.9863547758284601</v>
      </c>
      <c r="I37" s="2" t="str">
        <f>IF(tbl_kpi[[#This Row],[AccuracyPct]] &lt; 0.98, "Y", "N")</f>
        <v>N</v>
      </c>
    </row>
    <row r="38" spans="1:9">
      <c r="A38" s="2">
        <v>324</v>
      </c>
      <c r="B38" s="2">
        <v>1</v>
      </c>
      <c r="C38" s="2" t="str">
        <f>_xlfn.XLOOKUP(tbl_kpi[[#This Row],[LocationID]], tbl_location[LocationID], tbl_location[LocationName], "UNMAPPED_LOCATION")</f>
        <v>Tool Crib</v>
      </c>
      <c r="D38" s="2">
        <v>585</v>
      </c>
      <c r="E38" s="2">
        <v>585</v>
      </c>
      <c r="F38" s="2">
        <f>tbl_kpi[[#This Row],[OnHandQty]]</f>
        <v>585</v>
      </c>
      <c r="G38" s="2">
        <f>tbl_kpi[[#This Row],[CountedQty]]-tbl_kpi[[#This Row],[ExpectedQty]]</f>
        <v>0</v>
      </c>
      <c r="H38" s="2">
        <f>IF(tbl_kpi[[#This Row],[ExpectedQty]]=0, 1, MAX(0, 1 - ABS(tbl_kpi[[#This Row],[VarianceQty]]) / tbl_kpi[[#This Row],[ExpectedQty]]))</f>
        <v>1</v>
      </c>
      <c r="I38" s="2" t="str">
        <f>IF(tbl_kpi[[#This Row],[AccuracyPct]] &lt; 0.98, "Y", "N")</f>
        <v>N</v>
      </c>
    </row>
    <row r="39" spans="1:9">
      <c r="A39" s="2">
        <v>324</v>
      </c>
      <c r="B39" s="2">
        <v>5</v>
      </c>
      <c r="C39" s="2" t="str">
        <f>_xlfn.XLOOKUP(tbl_kpi[[#This Row],[LocationID]], tbl_location[LocationID], tbl_location[LocationName], "UNMAPPED_LOCATION")</f>
        <v>Metal Storage</v>
      </c>
      <c r="D39" s="2">
        <v>568</v>
      </c>
      <c r="E39" s="2">
        <v>583</v>
      </c>
      <c r="F39" s="2">
        <f>tbl_kpi[[#This Row],[OnHandQty]]</f>
        <v>568</v>
      </c>
      <c r="G39" s="2">
        <f>tbl_kpi[[#This Row],[CountedQty]]-tbl_kpi[[#This Row],[ExpectedQty]]</f>
        <v>15</v>
      </c>
      <c r="H39" s="2">
        <f>IF(tbl_kpi[[#This Row],[ExpectedQty]]=0, 1, MAX(0, 1 - ABS(tbl_kpi[[#This Row],[VarianceQty]]) / tbl_kpi[[#This Row],[ExpectedQty]]))</f>
        <v>0.97359154929577463</v>
      </c>
      <c r="I39" s="2" t="str">
        <f>IF(tbl_kpi[[#This Row],[AccuracyPct]] &lt; 0.98, "Y", "N")</f>
        <v>Y</v>
      </c>
    </row>
    <row r="40" spans="1:9">
      <c r="A40" s="2">
        <v>324</v>
      </c>
      <c r="B40" s="2">
        <v>50</v>
      </c>
      <c r="C40" s="2" t="str">
        <f>_xlfn.XLOOKUP(tbl_kpi[[#This Row],[LocationID]], tbl_location[LocationID], tbl_location[LocationName], "UNMAPPED_LOCATION")</f>
        <v>Subassembly</v>
      </c>
      <c r="D40" s="2">
        <v>476</v>
      </c>
      <c r="E40" s="2">
        <v>469</v>
      </c>
      <c r="F40" s="2">
        <f>tbl_kpi[[#This Row],[OnHandQty]]</f>
        <v>476</v>
      </c>
      <c r="G40" s="2">
        <f>tbl_kpi[[#This Row],[CountedQty]]-tbl_kpi[[#This Row],[ExpectedQty]]</f>
        <v>-7</v>
      </c>
      <c r="H40" s="2">
        <f>IF(tbl_kpi[[#This Row],[ExpectedQty]]=0, 1, MAX(0, 1 - ABS(tbl_kpi[[#This Row],[VarianceQty]]) / tbl_kpi[[#This Row],[ExpectedQty]]))</f>
        <v>0.98529411764705888</v>
      </c>
      <c r="I40" s="2" t="str">
        <f>IF(tbl_kpi[[#This Row],[AccuracyPct]] &lt; 0.98, "Y", "N")</f>
        <v>N</v>
      </c>
    </row>
    <row r="41" spans="1:9">
      <c r="A41" s="2">
        <v>325</v>
      </c>
      <c r="B41" s="2">
        <v>1</v>
      </c>
      <c r="C41" s="2" t="str">
        <f>_xlfn.XLOOKUP(tbl_kpi[[#This Row],[LocationID]], tbl_location[LocationID], tbl_location[LocationName], "UNMAPPED_LOCATION")</f>
        <v>Tool Crib</v>
      </c>
      <c r="D41" s="2">
        <v>569</v>
      </c>
      <c r="E41" s="2">
        <v>554</v>
      </c>
      <c r="F41" s="2">
        <f>tbl_kpi[[#This Row],[OnHandQty]]</f>
        <v>569</v>
      </c>
      <c r="G41" s="2">
        <f>tbl_kpi[[#This Row],[CountedQty]]-tbl_kpi[[#This Row],[ExpectedQty]]</f>
        <v>-15</v>
      </c>
      <c r="H41" s="2">
        <f>IF(tbl_kpi[[#This Row],[ExpectedQty]]=0, 1, MAX(0, 1 - ABS(tbl_kpi[[#This Row],[VarianceQty]]) / tbl_kpi[[#This Row],[ExpectedQty]]))</f>
        <v>0.97363796133567659</v>
      </c>
      <c r="I41" s="2" t="str">
        <f>IF(tbl_kpi[[#This Row],[AccuracyPct]] &lt; 0.98, "Y", "N")</f>
        <v>Y</v>
      </c>
    </row>
    <row r="42" spans="1:9">
      <c r="A42" s="2">
        <v>325</v>
      </c>
      <c r="B42" s="2">
        <v>6</v>
      </c>
      <c r="C42" s="2" t="str">
        <f>_xlfn.XLOOKUP(tbl_kpi[[#This Row],[LocationID]], tbl_location[LocationID], tbl_location[LocationName], "UNMAPPED_LOCATION")</f>
        <v>Miscellaneous Storage</v>
      </c>
      <c r="D42" s="2">
        <v>540</v>
      </c>
      <c r="E42" s="2">
        <v>554</v>
      </c>
      <c r="F42" s="2">
        <f>tbl_kpi[[#This Row],[OnHandQty]]</f>
        <v>540</v>
      </c>
      <c r="G42" s="2">
        <f>tbl_kpi[[#This Row],[CountedQty]]-tbl_kpi[[#This Row],[ExpectedQty]]</f>
        <v>14</v>
      </c>
      <c r="H42" s="2">
        <f>IF(tbl_kpi[[#This Row],[ExpectedQty]]=0, 1, MAX(0, 1 - ABS(tbl_kpi[[#This Row],[VarianceQty]]) / tbl_kpi[[#This Row],[ExpectedQty]]))</f>
        <v>0.97407407407407409</v>
      </c>
      <c r="I42" s="2" t="str">
        <f>IF(tbl_kpi[[#This Row],[AccuracyPct]] &lt; 0.98, "Y", "N")</f>
        <v>Y</v>
      </c>
    </row>
    <row r="43" spans="1:9">
      <c r="A43" s="2">
        <v>325</v>
      </c>
      <c r="B43" s="2">
        <v>60</v>
      </c>
      <c r="C43" s="2" t="str">
        <f>_xlfn.XLOOKUP(tbl_kpi[[#This Row],[LocationID]], tbl_location[LocationID], tbl_location[LocationName], "UNMAPPED_LOCATION")</f>
        <v>Final Assembly</v>
      </c>
      <c r="D43" s="2">
        <v>641</v>
      </c>
      <c r="E43" s="2">
        <v>626</v>
      </c>
      <c r="F43" s="2">
        <f>tbl_kpi[[#This Row],[OnHandQty]]</f>
        <v>641</v>
      </c>
      <c r="G43" s="2">
        <f>tbl_kpi[[#This Row],[CountedQty]]-tbl_kpi[[#This Row],[ExpectedQty]]</f>
        <v>-15</v>
      </c>
      <c r="H43" s="2">
        <f>IF(tbl_kpi[[#This Row],[ExpectedQty]]=0, 1, MAX(0, 1 - ABS(tbl_kpi[[#This Row],[VarianceQty]]) / tbl_kpi[[#This Row],[ExpectedQty]]))</f>
        <v>0.97659906396255847</v>
      </c>
      <c r="I43" s="2" t="str">
        <f>IF(tbl_kpi[[#This Row],[AccuracyPct]] &lt; 0.98, "Y", "N")</f>
        <v>Y</v>
      </c>
    </row>
    <row r="44" spans="1:9">
      <c r="A44" s="2">
        <v>326</v>
      </c>
      <c r="B44" s="2">
        <v>1</v>
      </c>
      <c r="C44" s="2" t="str">
        <f>_xlfn.XLOOKUP(tbl_kpi[[#This Row],[LocationID]], tbl_location[LocationID], tbl_location[LocationName], "UNMAPPED_LOCATION")</f>
        <v>Tool Crib</v>
      </c>
      <c r="D44" s="2">
        <v>622</v>
      </c>
      <c r="E44" s="2">
        <v>629</v>
      </c>
      <c r="F44" s="2">
        <f>tbl_kpi[[#This Row],[OnHandQty]]</f>
        <v>622</v>
      </c>
      <c r="G44" s="2">
        <f>tbl_kpi[[#This Row],[CountedQty]]-tbl_kpi[[#This Row],[ExpectedQty]]</f>
        <v>7</v>
      </c>
      <c r="H44" s="2">
        <f>IF(tbl_kpi[[#This Row],[ExpectedQty]]=0, 1, MAX(0, 1 - ABS(tbl_kpi[[#This Row],[VarianceQty]]) / tbl_kpi[[#This Row],[ExpectedQty]]))</f>
        <v>0.9887459807073955</v>
      </c>
      <c r="I44" s="2" t="str">
        <f>IF(tbl_kpi[[#This Row],[AccuracyPct]] &lt; 0.98, "Y", "N")</f>
        <v>N</v>
      </c>
    </row>
    <row r="45" spans="1:9">
      <c r="A45" s="2">
        <v>326</v>
      </c>
      <c r="B45" s="2">
        <v>6</v>
      </c>
      <c r="C45" s="2" t="str">
        <f>_xlfn.XLOOKUP(tbl_kpi[[#This Row],[LocationID]], tbl_location[LocationID], tbl_location[LocationName], "UNMAPPED_LOCATION")</f>
        <v>Miscellaneous Storage</v>
      </c>
      <c r="D45" s="2">
        <v>587</v>
      </c>
      <c r="E45" s="2">
        <v>600</v>
      </c>
      <c r="F45" s="2">
        <f>tbl_kpi[[#This Row],[OnHandQty]]</f>
        <v>587</v>
      </c>
      <c r="G45" s="2">
        <f>tbl_kpi[[#This Row],[CountedQty]]-tbl_kpi[[#This Row],[ExpectedQty]]</f>
        <v>13</v>
      </c>
      <c r="H45" s="2">
        <f>IF(tbl_kpi[[#This Row],[ExpectedQty]]=0, 1, MAX(0, 1 - ABS(tbl_kpi[[#This Row],[VarianceQty]]) / tbl_kpi[[#This Row],[ExpectedQty]]))</f>
        <v>0.97785349233390118</v>
      </c>
      <c r="I45" s="2" t="str">
        <f>IF(tbl_kpi[[#This Row],[AccuracyPct]] &lt; 0.98, "Y", "N")</f>
        <v>Y</v>
      </c>
    </row>
    <row r="46" spans="1:9">
      <c r="A46" s="2">
        <v>326</v>
      </c>
      <c r="B46" s="2">
        <v>60</v>
      </c>
      <c r="C46" s="2" t="str">
        <f>_xlfn.XLOOKUP(tbl_kpi[[#This Row],[LocationID]], tbl_location[LocationID], tbl_location[LocationName], "UNMAPPED_LOCATION")</f>
        <v>Final Assembly</v>
      </c>
      <c r="D46" s="2">
        <v>475</v>
      </c>
      <c r="E46" s="2">
        <v>463</v>
      </c>
      <c r="F46" s="2">
        <f>tbl_kpi[[#This Row],[OnHandQty]]</f>
        <v>475</v>
      </c>
      <c r="G46" s="2">
        <f>tbl_kpi[[#This Row],[CountedQty]]-tbl_kpi[[#This Row],[ExpectedQty]]</f>
        <v>-12</v>
      </c>
      <c r="H46" s="2">
        <f>IF(tbl_kpi[[#This Row],[ExpectedQty]]=0, 1, MAX(0, 1 - ABS(tbl_kpi[[#This Row],[VarianceQty]]) / tbl_kpi[[#This Row],[ExpectedQty]]))</f>
        <v>0.97473684210526312</v>
      </c>
      <c r="I46" s="2" t="str">
        <f>IF(tbl_kpi[[#This Row],[AccuracyPct]] &lt; 0.98, "Y", "N")</f>
        <v>Y</v>
      </c>
    </row>
    <row r="47" spans="1:9">
      <c r="A47" s="2">
        <v>327</v>
      </c>
      <c r="B47" s="2">
        <v>5</v>
      </c>
      <c r="C47" s="2" t="str">
        <f>_xlfn.XLOOKUP(tbl_kpi[[#This Row],[LocationID]], tbl_location[LocationID], tbl_location[LocationName], "UNMAPPED_LOCATION")</f>
        <v>Metal Storage</v>
      </c>
      <c r="D47" s="2">
        <v>408</v>
      </c>
      <c r="E47" s="2">
        <v>408</v>
      </c>
      <c r="F47" s="2">
        <f>tbl_kpi[[#This Row],[OnHandQty]]</f>
        <v>408</v>
      </c>
      <c r="G47" s="2">
        <f>tbl_kpi[[#This Row],[CountedQty]]-tbl_kpi[[#This Row],[ExpectedQty]]</f>
        <v>0</v>
      </c>
      <c r="H47" s="2">
        <f>IF(tbl_kpi[[#This Row],[ExpectedQty]]=0, 1, MAX(0, 1 - ABS(tbl_kpi[[#This Row],[VarianceQty]]) / tbl_kpi[[#This Row],[ExpectedQty]]))</f>
        <v>1</v>
      </c>
      <c r="I47" s="2" t="str">
        <f>IF(tbl_kpi[[#This Row],[AccuracyPct]] &lt; 0.98, "Y", "N")</f>
        <v>N</v>
      </c>
    </row>
    <row r="48" spans="1:9">
      <c r="A48" s="2">
        <v>327</v>
      </c>
      <c r="B48" s="2">
        <v>10</v>
      </c>
      <c r="C48" s="2" t="str">
        <f>_xlfn.XLOOKUP(tbl_kpi[[#This Row],[LocationID]], tbl_location[LocationID], tbl_location[LocationName], "UNMAPPED_LOCATION")</f>
        <v>Frame Forming</v>
      </c>
      <c r="D48" s="2">
        <v>443</v>
      </c>
      <c r="E48" s="2">
        <v>449</v>
      </c>
      <c r="F48" s="2">
        <f>tbl_kpi[[#This Row],[OnHandQty]]</f>
        <v>443</v>
      </c>
      <c r="G48" s="2">
        <f>tbl_kpi[[#This Row],[CountedQty]]-tbl_kpi[[#This Row],[ExpectedQty]]</f>
        <v>6</v>
      </c>
      <c r="H48" s="2">
        <f>IF(tbl_kpi[[#This Row],[ExpectedQty]]=0, 1, MAX(0, 1 - ABS(tbl_kpi[[#This Row],[VarianceQty]]) / tbl_kpi[[#This Row],[ExpectedQty]]))</f>
        <v>0.98645598194130923</v>
      </c>
      <c r="I48" s="2" t="str">
        <f>IF(tbl_kpi[[#This Row],[AccuracyPct]] &lt; 0.98, "Y", "N")</f>
        <v>N</v>
      </c>
    </row>
    <row r="49" spans="1:9">
      <c r="A49" s="2">
        <v>327</v>
      </c>
      <c r="B49" s="2">
        <v>50</v>
      </c>
      <c r="C49" s="2" t="str">
        <f>_xlfn.XLOOKUP(tbl_kpi[[#This Row],[LocationID]], tbl_location[LocationID], tbl_location[LocationName], "UNMAPPED_LOCATION")</f>
        <v>Subassembly</v>
      </c>
      <c r="D49" s="2">
        <v>513</v>
      </c>
      <c r="E49" s="2">
        <v>515</v>
      </c>
      <c r="F49" s="2">
        <f>tbl_kpi[[#This Row],[OnHandQty]]</f>
        <v>513</v>
      </c>
      <c r="G49" s="2">
        <f>tbl_kpi[[#This Row],[CountedQty]]-tbl_kpi[[#This Row],[ExpectedQty]]</f>
        <v>2</v>
      </c>
      <c r="H49" s="2">
        <f>IF(tbl_kpi[[#This Row],[ExpectedQty]]=0, 1, MAX(0, 1 - ABS(tbl_kpi[[#This Row],[VarianceQty]]) / tbl_kpi[[#This Row],[ExpectedQty]]))</f>
        <v>0.99610136452241715</v>
      </c>
      <c r="I49" s="2" t="str">
        <f>IF(tbl_kpi[[#This Row],[AccuracyPct]] &lt; 0.98, "Y", "N")</f>
        <v>N</v>
      </c>
    </row>
    <row r="50" spans="1:9">
      <c r="A50" s="2">
        <v>328</v>
      </c>
      <c r="B50" s="2">
        <v>5</v>
      </c>
      <c r="C50" s="2" t="str">
        <f>_xlfn.XLOOKUP(tbl_kpi[[#This Row],[LocationID]], tbl_location[LocationID], tbl_location[LocationName], "UNMAPPED_LOCATION")</f>
        <v>Metal Storage</v>
      </c>
      <c r="D50" s="2">
        <v>568</v>
      </c>
      <c r="E50" s="2">
        <v>576</v>
      </c>
      <c r="F50" s="2">
        <f>tbl_kpi[[#This Row],[OnHandQty]]</f>
        <v>568</v>
      </c>
      <c r="G50" s="2">
        <f>tbl_kpi[[#This Row],[CountedQty]]-tbl_kpi[[#This Row],[ExpectedQty]]</f>
        <v>8</v>
      </c>
      <c r="H50" s="2">
        <f>IF(tbl_kpi[[#This Row],[ExpectedQty]]=0, 1, MAX(0, 1 - ABS(tbl_kpi[[#This Row],[VarianceQty]]) / tbl_kpi[[#This Row],[ExpectedQty]]))</f>
        <v>0.9859154929577465</v>
      </c>
      <c r="I50" s="2" t="str">
        <f>IF(tbl_kpi[[#This Row],[AccuracyPct]] &lt; 0.98, "Y", "N")</f>
        <v>N</v>
      </c>
    </row>
    <row r="51" spans="1:9">
      <c r="A51" s="2">
        <v>328</v>
      </c>
      <c r="B51" s="2">
        <v>10</v>
      </c>
      <c r="C51" s="2" t="str">
        <f>_xlfn.XLOOKUP(tbl_kpi[[#This Row],[LocationID]], tbl_location[LocationID], tbl_location[LocationName], "UNMAPPED_LOCATION")</f>
        <v>Frame Forming</v>
      </c>
      <c r="D51" s="2">
        <v>585</v>
      </c>
      <c r="E51" s="2">
        <v>575</v>
      </c>
      <c r="F51" s="2">
        <f>tbl_kpi[[#This Row],[OnHandQty]]</f>
        <v>585</v>
      </c>
      <c r="G51" s="2">
        <f>tbl_kpi[[#This Row],[CountedQty]]-tbl_kpi[[#This Row],[ExpectedQty]]</f>
        <v>-10</v>
      </c>
      <c r="H51" s="2">
        <f>IF(tbl_kpi[[#This Row],[ExpectedQty]]=0, 1, MAX(0, 1 - ABS(tbl_kpi[[#This Row],[VarianceQty]]) / tbl_kpi[[#This Row],[ExpectedQty]]))</f>
        <v>0.98290598290598286</v>
      </c>
      <c r="I51" s="2" t="str">
        <f>IF(tbl_kpi[[#This Row],[AccuracyPct]] &lt; 0.98, "Y", "N")</f>
        <v>N</v>
      </c>
    </row>
    <row r="52" spans="1:9">
      <c r="A52" s="2">
        <v>328</v>
      </c>
      <c r="B52" s="2">
        <v>50</v>
      </c>
      <c r="C52" s="2" t="str">
        <f>_xlfn.XLOOKUP(tbl_kpi[[#This Row],[LocationID]], tbl_location[LocationID], tbl_location[LocationName], "UNMAPPED_LOCATION")</f>
        <v>Subassembly</v>
      </c>
      <c r="D52" s="2">
        <v>476</v>
      </c>
      <c r="E52" s="2">
        <v>467</v>
      </c>
      <c r="F52" s="2">
        <f>tbl_kpi[[#This Row],[OnHandQty]]</f>
        <v>476</v>
      </c>
      <c r="G52" s="2">
        <f>tbl_kpi[[#This Row],[CountedQty]]-tbl_kpi[[#This Row],[ExpectedQty]]</f>
        <v>-9</v>
      </c>
      <c r="H52" s="2">
        <f>IF(tbl_kpi[[#This Row],[ExpectedQty]]=0, 1, MAX(0, 1 - ABS(tbl_kpi[[#This Row],[VarianceQty]]) / tbl_kpi[[#This Row],[ExpectedQty]]))</f>
        <v>0.98109243697478987</v>
      </c>
      <c r="I52" s="2" t="str">
        <f>IF(tbl_kpi[[#This Row],[AccuracyPct]] &lt; 0.98, "Y", "N")</f>
        <v>N</v>
      </c>
    </row>
    <row r="53" spans="1:9">
      <c r="A53" s="2">
        <v>329</v>
      </c>
      <c r="B53" s="2">
        <v>5</v>
      </c>
      <c r="C53" s="2" t="str">
        <f>_xlfn.XLOOKUP(tbl_kpi[[#This Row],[LocationID]], tbl_location[LocationID], tbl_location[LocationName], "UNMAPPED_LOCATION")</f>
        <v>Metal Storage</v>
      </c>
      <c r="D53" s="2">
        <v>558</v>
      </c>
      <c r="E53" s="2">
        <v>566</v>
      </c>
      <c r="F53" s="2">
        <f>tbl_kpi[[#This Row],[OnHandQty]]</f>
        <v>558</v>
      </c>
      <c r="G53" s="2">
        <f>tbl_kpi[[#This Row],[CountedQty]]-tbl_kpi[[#This Row],[ExpectedQty]]</f>
        <v>8</v>
      </c>
      <c r="H53" s="2">
        <f>IF(tbl_kpi[[#This Row],[ExpectedQty]]=0, 1, MAX(0, 1 - ABS(tbl_kpi[[#This Row],[VarianceQty]]) / tbl_kpi[[#This Row],[ExpectedQty]]))</f>
        <v>0.98566308243727596</v>
      </c>
      <c r="I53" s="2" t="str">
        <f>IF(tbl_kpi[[#This Row],[AccuracyPct]] &lt; 0.98, "Y", "N")</f>
        <v>N</v>
      </c>
    </row>
    <row r="54" spans="1:9">
      <c r="A54" s="2">
        <v>329</v>
      </c>
      <c r="B54" s="2">
        <v>10</v>
      </c>
      <c r="C54" s="2" t="str">
        <f>_xlfn.XLOOKUP(tbl_kpi[[#This Row],[LocationID]], tbl_location[LocationID], tbl_location[LocationName], "UNMAPPED_LOCATION")</f>
        <v>Frame Forming</v>
      </c>
      <c r="D54" s="2">
        <v>576</v>
      </c>
      <c r="E54" s="2">
        <v>593</v>
      </c>
      <c r="F54" s="2">
        <f>tbl_kpi[[#This Row],[OnHandQty]]</f>
        <v>576</v>
      </c>
      <c r="G54" s="2">
        <f>tbl_kpi[[#This Row],[CountedQty]]-tbl_kpi[[#This Row],[ExpectedQty]]</f>
        <v>17</v>
      </c>
      <c r="H54" s="2">
        <f>IF(tbl_kpi[[#This Row],[ExpectedQty]]=0, 1, MAX(0, 1 - ABS(tbl_kpi[[#This Row],[VarianceQty]]) / tbl_kpi[[#This Row],[ExpectedQty]]))</f>
        <v>0.97048611111111116</v>
      </c>
      <c r="I54" s="2" t="str">
        <f>IF(tbl_kpi[[#This Row],[AccuracyPct]] &lt; 0.98, "Y", "N")</f>
        <v>Y</v>
      </c>
    </row>
    <row r="55" spans="1:9">
      <c r="A55" s="2">
        <v>329</v>
      </c>
      <c r="B55" s="2">
        <v>50</v>
      </c>
      <c r="C55" s="2" t="str">
        <f>_xlfn.XLOOKUP(tbl_kpi[[#This Row],[LocationID]], tbl_location[LocationID], tbl_location[LocationName], "UNMAPPED_LOCATION")</f>
        <v>Subassembly</v>
      </c>
      <c r="D55" s="2">
        <v>467</v>
      </c>
      <c r="E55" s="2">
        <v>467</v>
      </c>
      <c r="F55" s="2">
        <f>tbl_kpi[[#This Row],[OnHandQty]]</f>
        <v>467</v>
      </c>
      <c r="G55" s="2">
        <f>tbl_kpi[[#This Row],[CountedQty]]-tbl_kpi[[#This Row],[ExpectedQty]]</f>
        <v>0</v>
      </c>
      <c r="H55" s="2">
        <f>IF(tbl_kpi[[#This Row],[ExpectedQty]]=0, 1, MAX(0, 1 - ABS(tbl_kpi[[#This Row],[VarianceQty]]) / tbl_kpi[[#This Row],[ExpectedQty]]))</f>
        <v>1</v>
      </c>
      <c r="I55" s="2" t="str">
        <f>IF(tbl_kpi[[#This Row],[AccuracyPct]] &lt; 0.98, "Y", "N")</f>
        <v>N</v>
      </c>
    </row>
    <row r="56" spans="1:9">
      <c r="A56" s="2">
        <v>330</v>
      </c>
      <c r="B56" s="2">
        <v>5</v>
      </c>
      <c r="C56" s="2" t="str">
        <f>_xlfn.XLOOKUP(tbl_kpi[[#This Row],[LocationID]], tbl_location[LocationID], tbl_location[LocationName], "UNMAPPED_LOCATION")</f>
        <v>Metal Storage</v>
      </c>
      <c r="D56" s="2">
        <v>548</v>
      </c>
      <c r="E56" s="2">
        <v>553</v>
      </c>
      <c r="F56" s="2">
        <f>tbl_kpi[[#This Row],[OnHandQty]]</f>
        <v>548</v>
      </c>
      <c r="G56" s="2">
        <f>tbl_kpi[[#This Row],[CountedQty]]-tbl_kpi[[#This Row],[ExpectedQty]]</f>
        <v>5</v>
      </c>
      <c r="H56" s="2">
        <f>IF(tbl_kpi[[#This Row],[ExpectedQty]]=0, 1, MAX(0, 1 - ABS(tbl_kpi[[#This Row],[VarianceQty]]) / tbl_kpi[[#This Row],[ExpectedQty]]))</f>
        <v>0.99087591240875916</v>
      </c>
      <c r="I56" s="2" t="str">
        <f>IF(tbl_kpi[[#This Row],[AccuracyPct]] &lt; 0.98, "Y", "N")</f>
        <v>N</v>
      </c>
    </row>
    <row r="57" spans="1:9">
      <c r="A57" s="2">
        <v>330</v>
      </c>
      <c r="B57" s="2">
        <v>10</v>
      </c>
      <c r="C57" s="2" t="str">
        <f>_xlfn.XLOOKUP(tbl_kpi[[#This Row],[LocationID]], tbl_location[LocationID], tbl_location[LocationName], "UNMAPPED_LOCATION")</f>
        <v>Frame Forming</v>
      </c>
      <c r="D57" s="2">
        <v>566</v>
      </c>
      <c r="E57" s="2">
        <v>558</v>
      </c>
      <c r="F57" s="2">
        <f>tbl_kpi[[#This Row],[OnHandQty]]</f>
        <v>566</v>
      </c>
      <c r="G57" s="2">
        <f>tbl_kpi[[#This Row],[CountedQty]]-tbl_kpi[[#This Row],[ExpectedQty]]</f>
        <v>-8</v>
      </c>
      <c r="H57" s="2">
        <f>IF(tbl_kpi[[#This Row],[ExpectedQty]]=0, 1, MAX(0, 1 - ABS(tbl_kpi[[#This Row],[VarianceQty]]) / tbl_kpi[[#This Row],[ExpectedQty]]))</f>
        <v>0.98586572438162545</v>
      </c>
      <c r="I57" s="2" t="str">
        <f>IF(tbl_kpi[[#This Row],[AccuracyPct]] &lt; 0.98, "Y", "N")</f>
        <v>N</v>
      </c>
    </row>
    <row r="58" spans="1:9">
      <c r="A58" s="2">
        <v>330</v>
      </c>
      <c r="B58" s="2">
        <v>50</v>
      </c>
      <c r="C58" s="2" t="str">
        <f>_xlfn.XLOOKUP(tbl_kpi[[#This Row],[LocationID]], tbl_location[LocationID], tbl_location[LocationName], "UNMAPPED_LOCATION")</f>
        <v>Subassembly</v>
      </c>
      <c r="D58" s="2">
        <v>457</v>
      </c>
      <c r="E58" s="2">
        <v>468</v>
      </c>
      <c r="F58" s="2">
        <f>tbl_kpi[[#This Row],[OnHandQty]]</f>
        <v>457</v>
      </c>
      <c r="G58" s="2">
        <f>tbl_kpi[[#This Row],[CountedQty]]-tbl_kpi[[#This Row],[ExpectedQty]]</f>
        <v>11</v>
      </c>
      <c r="H58" s="2">
        <f>IF(tbl_kpi[[#This Row],[ExpectedQty]]=0, 1, MAX(0, 1 - ABS(tbl_kpi[[#This Row],[VarianceQty]]) / tbl_kpi[[#This Row],[ExpectedQty]]))</f>
        <v>0.97592997811816196</v>
      </c>
      <c r="I58" s="2" t="str">
        <f>IF(tbl_kpi[[#This Row],[AccuracyPct]] &lt; 0.98, "Y", "N")</f>
        <v>Y</v>
      </c>
    </row>
    <row r="59" spans="1:9">
      <c r="A59" s="2">
        <v>331</v>
      </c>
      <c r="B59" s="2">
        <v>5</v>
      </c>
      <c r="C59" s="2" t="str">
        <f>_xlfn.XLOOKUP(tbl_kpi[[#This Row],[LocationID]], tbl_location[LocationID], tbl_location[LocationName], "UNMAPPED_LOCATION")</f>
        <v>Metal Storage</v>
      </c>
      <c r="D59" s="2">
        <v>574</v>
      </c>
      <c r="E59" s="2">
        <v>565</v>
      </c>
      <c r="F59" s="2">
        <f>tbl_kpi[[#This Row],[OnHandQty]]</f>
        <v>574</v>
      </c>
      <c r="G59" s="2">
        <f>tbl_kpi[[#This Row],[CountedQty]]-tbl_kpi[[#This Row],[ExpectedQty]]</f>
        <v>-9</v>
      </c>
      <c r="H59" s="2">
        <f>IF(tbl_kpi[[#This Row],[ExpectedQty]]=0, 1, MAX(0, 1 - ABS(tbl_kpi[[#This Row],[VarianceQty]]) / tbl_kpi[[#This Row],[ExpectedQty]]))</f>
        <v>0.98432055749128922</v>
      </c>
      <c r="I59" s="2" t="str">
        <f>IF(tbl_kpi[[#This Row],[AccuracyPct]] &lt; 0.98, "Y", "N")</f>
        <v>N</v>
      </c>
    </row>
    <row r="60" spans="1:9">
      <c r="A60" s="2">
        <v>331</v>
      </c>
      <c r="B60" s="2">
        <v>10</v>
      </c>
      <c r="C60" s="2" t="str">
        <f>_xlfn.XLOOKUP(tbl_kpi[[#This Row],[LocationID]], tbl_location[LocationID], tbl_location[LocationName], "UNMAPPED_LOCATION")</f>
        <v>Frame Forming</v>
      </c>
      <c r="D60" s="2">
        <v>441</v>
      </c>
      <c r="E60" s="2">
        <v>447</v>
      </c>
      <c r="F60" s="2">
        <f>tbl_kpi[[#This Row],[OnHandQty]]</f>
        <v>441</v>
      </c>
      <c r="G60" s="2">
        <f>tbl_kpi[[#This Row],[CountedQty]]-tbl_kpi[[#This Row],[ExpectedQty]]</f>
        <v>6</v>
      </c>
      <c r="H60" s="2">
        <f>IF(tbl_kpi[[#This Row],[ExpectedQty]]=0, 1, MAX(0, 1 - ABS(tbl_kpi[[#This Row],[VarianceQty]]) / tbl_kpi[[#This Row],[ExpectedQty]]))</f>
        <v>0.98639455782312924</v>
      </c>
      <c r="I60" s="2" t="str">
        <f>IF(tbl_kpi[[#This Row],[AccuracyPct]] &lt; 0.98, "Y", "N")</f>
        <v>N</v>
      </c>
    </row>
    <row r="61" spans="1:9">
      <c r="A61" s="2">
        <v>331</v>
      </c>
      <c r="B61" s="2">
        <v>50</v>
      </c>
      <c r="C61" s="2" t="str">
        <f>_xlfn.XLOOKUP(tbl_kpi[[#This Row],[LocationID]], tbl_location[LocationID], tbl_location[LocationName], "UNMAPPED_LOCATION")</f>
        <v>Subassembly</v>
      </c>
      <c r="D61" s="2">
        <v>390</v>
      </c>
      <c r="E61" s="2">
        <v>384</v>
      </c>
      <c r="F61" s="2">
        <f>tbl_kpi[[#This Row],[OnHandQty]]</f>
        <v>390</v>
      </c>
      <c r="G61" s="2">
        <f>tbl_kpi[[#This Row],[CountedQty]]-tbl_kpi[[#This Row],[ExpectedQty]]</f>
        <v>-6</v>
      </c>
      <c r="H61" s="2">
        <f>IF(tbl_kpi[[#This Row],[ExpectedQty]]=0, 1, MAX(0, 1 - ABS(tbl_kpi[[#This Row],[VarianceQty]]) / tbl_kpi[[#This Row],[ExpectedQty]]))</f>
        <v>0.98461538461538467</v>
      </c>
      <c r="I61" s="2" t="str">
        <f>IF(tbl_kpi[[#This Row],[AccuracyPct]] &lt; 0.98, "Y", "N")</f>
        <v>N</v>
      </c>
    </row>
    <row r="62" spans="1:9">
      <c r="A62" s="2">
        <v>332</v>
      </c>
      <c r="B62" s="2">
        <v>5</v>
      </c>
      <c r="C62" s="2" t="str">
        <f>_xlfn.XLOOKUP(tbl_kpi[[#This Row],[LocationID]], tbl_location[LocationID], tbl_location[LocationName], "UNMAPPED_LOCATION")</f>
        <v>Metal Storage</v>
      </c>
      <c r="D62" s="2">
        <v>344</v>
      </c>
      <c r="E62" s="2">
        <v>334</v>
      </c>
      <c r="F62" s="2">
        <f>tbl_kpi[[#This Row],[OnHandQty]]</f>
        <v>344</v>
      </c>
      <c r="G62" s="2">
        <f>tbl_kpi[[#This Row],[CountedQty]]-tbl_kpi[[#This Row],[ExpectedQty]]</f>
        <v>-10</v>
      </c>
      <c r="H62" s="2">
        <f>IF(tbl_kpi[[#This Row],[ExpectedQty]]=0, 1, MAX(0, 1 - ABS(tbl_kpi[[#This Row],[VarianceQty]]) / tbl_kpi[[#This Row],[ExpectedQty]]))</f>
        <v>0.97093023255813948</v>
      </c>
      <c r="I62" s="2" t="str">
        <f>IF(tbl_kpi[[#This Row],[AccuracyPct]] &lt; 0.98, "Y", "N")</f>
        <v>Y</v>
      </c>
    </row>
    <row r="63" spans="1:9">
      <c r="A63" s="2">
        <v>332</v>
      </c>
      <c r="B63" s="2">
        <v>10</v>
      </c>
      <c r="C63" s="2" t="str">
        <f>_xlfn.XLOOKUP(tbl_kpi[[#This Row],[LocationID]], tbl_location[LocationID], tbl_location[LocationName], "UNMAPPED_LOCATION")</f>
        <v>Frame Forming</v>
      </c>
      <c r="D63" s="2">
        <v>233</v>
      </c>
      <c r="E63" s="2">
        <v>234</v>
      </c>
      <c r="F63" s="2">
        <f>tbl_kpi[[#This Row],[OnHandQty]]</f>
        <v>233</v>
      </c>
      <c r="G63" s="2">
        <f>tbl_kpi[[#This Row],[CountedQty]]-tbl_kpi[[#This Row],[ExpectedQty]]</f>
        <v>1</v>
      </c>
      <c r="H63" s="2">
        <f>IF(tbl_kpi[[#This Row],[ExpectedQty]]=0, 1, MAX(0, 1 - ABS(tbl_kpi[[#This Row],[VarianceQty]]) / tbl_kpi[[#This Row],[ExpectedQty]]))</f>
        <v>0.99570815450643779</v>
      </c>
      <c r="I63" s="2" t="str">
        <f>IF(tbl_kpi[[#This Row],[AccuracyPct]] &lt; 0.98, "Y", "N")</f>
        <v>N</v>
      </c>
    </row>
    <row r="64" spans="1:9">
      <c r="A64" s="2">
        <v>332</v>
      </c>
      <c r="B64" s="2">
        <v>50</v>
      </c>
      <c r="C64" s="2" t="str">
        <f>_xlfn.XLOOKUP(tbl_kpi[[#This Row],[LocationID]], tbl_location[LocationID], tbl_location[LocationName], "UNMAPPED_LOCATION")</f>
        <v>Subassembly</v>
      </c>
      <c r="D64" s="2">
        <v>267</v>
      </c>
      <c r="E64" s="2">
        <v>273</v>
      </c>
      <c r="F64" s="2">
        <f>tbl_kpi[[#This Row],[OnHandQty]]</f>
        <v>267</v>
      </c>
      <c r="G64" s="2">
        <f>tbl_kpi[[#This Row],[CountedQty]]-tbl_kpi[[#This Row],[ExpectedQty]]</f>
        <v>6</v>
      </c>
      <c r="H64" s="2">
        <f>IF(tbl_kpi[[#This Row],[ExpectedQty]]=0, 1, MAX(0, 1 - ABS(tbl_kpi[[#This Row],[VarianceQty]]) / tbl_kpi[[#This Row],[ExpectedQty]]))</f>
        <v>0.97752808988764039</v>
      </c>
      <c r="I64" s="2" t="str">
        <f>IF(tbl_kpi[[#This Row],[AccuracyPct]] &lt; 0.98, "Y", "N")</f>
        <v>Y</v>
      </c>
    </row>
    <row r="65" spans="1:9">
      <c r="A65" s="2">
        <v>341</v>
      </c>
      <c r="B65" s="2">
        <v>1</v>
      </c>
      <c r="C65" s="2" t="str">
        <f>_xlfn.XLOOKUP(tbl_kpi[[#This Row],[LocationID]], tbl_location[LocationID], tbl_location[LocationName], "UNMAPPED_LOCATION")</f>
        <v>Tool Crib</v>
      </c>
      <c r="D65" s="2">
        <v>372</v>
      </c>
      <c r="E65" s="2">
        <v>362</v>
      </c>
      <c r="F65" s="2">
        <f>tbl_kpi[[#This Row],[OnHandQty]]</f>
        <v>372</v>
      </c>
      <c r="G65" s="2">
        <f>tbl_kpi[[#This Row],[CountedQty]]-tbl_kpi[[#This Row],[ExpectedQty]]</f>
        <v>-10</v>
      </c>
      <c r="H65" s="2">
        <f>IF(tbl_kpi[[#This Row],[ExpectedQty]]=0, 1, MAX(0, 1 - ABS(tbl_kpi[[#This Row],[VarianceQty]]) / tbl_kpi[[#This Row],[ExpectedQty]]))</f>
        <v>0.9731182795698925</v>
      </c>
      <c r="I65" s="2" t="str">
        <f>IF(tbl_kpi[[#This Row],[AccuracyPct]] &lt; 0.98, "Y", "N")</f>
        <v>Y</v>
      </c>
    </row>
    <row r="66" spans="1:9">
      <c r="A66" s="2">
        <v>341</v>
      </c>
      <c r="B66" s="2">
        <v>50</v>
      </c>
      <c r="C66" s="2" t="str">
        <f>_xlfn.XLOOKUP(tbl_kpi[[#This Row],[LocationID]], tbl_location[LocationID], tbl_location[LocationName], "UNMAPPED_LOCATION")</f>
        <v>Subassembly</v>
      </c>
      <c r="D66" s="2">
        <v>392</v>
      </c>
      <c r="E66" s="2">
        <v>384</v>
      </c>
      <c r="F66" s="2">
        <f>tbl_kpi[[#This Row],[OnHandQty]]</f>
        <v>392</v>
      </c>
      <c r="G66" s="2">
        <f>tbl_kpi[[#This Row],[CountedQty]]-tbl_kpi[[#This Row],[ExpectedQty]]</f>
        <v>-8</v>
      </c>
      <c r="H66" s="2">
        <f>IF(tbl_kpi[[#This Row],[ExpectedQty]]=0, 1, MAX(0, 1 - ABS(tbl_kpi[[#This Row],[VarianceQty]]) / tbl_kpi[[#This Row],[ExpectedQty]]))</f>
        <v>0.97959183673469385</v>
      </c>
      <c r="I66" s="2" t="str">
        <f>IF(tbl_kpi[[#This Row],[AccuracyPct]] &lt; 0.98, "Y", "N")</f>
        <v>Y</v>
      </c>
    </row>
    <row r="67" spans="1:9">
      <c r="A67" s="2">
        <v>341</v>
      </c>
      <c r="B67" s="2">
        <v>60</v>
      </c>
      <c r="C67" s="2" t="str">
        <f>_xlfn.XLOOKUP(tbl_kpi[[#This Row],[LocationID]], tbl_location[LocationID], tbl_location[LocationName], "UNMAPPED_LOCATION")</f>
        <v>Final Assembly</v>
      </c>
      <c r="D67" s="2">
        <v>339</v>
      </c>
      <c r="E67" s="2">
        <v>344</v>
      </c>
      <c r="F67" s="2">
        <f>tbl_kpi[[#This Row],[OnHandQty]]</f>
        <v>339</v>
      </c>
      <c r="G67" s="2">
        <f>tbl_kpi[[#This Row],[CountedQty]]-tbl_kpi[[#This Row],[ExpectedQty]]</f>
        <v>5</v>
      </c>
      <c r="H67" s="2">
        <f>IF(tbl_kpi[[#This Row],[ExpectedQty]]=0, 1, MAX(0, 1 - ABS(tbl_kpi[[#This Row],[VarianceQty]]) / tbl_kpi[[#This Row],[ExpectedQty]]))</f>
        <v>0.98525073746312686</v>
      </c>
      <c r="I67" s="2" t="str">
        <f>IF(tbl_kpi[[#This Row],[AccuracyPct]] &lt; 0.98, "Y", "N")</f>
        <v>N</v>
      </c>
    </row>
    <row r="68" spans="1:9">
      <c r="A68" s="2">
        <v>342</v>
      </c>
      <c r="B68" s="2">
        <v>1</v>
      </c>
      <c r="C68" s="2" t="str">
        <f>_xlfn.XLOOKUP(tbl_kpi[[#This Row],[LocationID]], tbl_location[LocationID], tbl_location[LocationName], "UNMAPPED_LOCATION")</f>
        <v>Tool Crib</v>
      </c>
      <c r="D68" s="2">
        <v>369</v>
      </c>
      <c r="E68" s="2">
        <v>376</v>
      </c>
      <c r="F68" s="2">
        <f>tbl_kpi[[#This Row],[OnHandQty]]</f>
        <v>369</v>
      </c>
      <c r="G68" s="2">
        <f>tbl_kpi[[#This Row],[CountedQty]]-tbl_kpi[[#This Row],[ExpectedQty]]</f>
        <v>7</v>
      </c>
      <c r="H68" s="2">
        <f>IF(tbl_kpi[[#This Row],[ExpectedQty]]=0, 1, MAX(0, 1 - ABS(tbl_kpi[[#This Row],[VarianceQty]]) / tbl_kpi[[#This Row],[ExpectedQty]]))</f>
        <v>0.98102981029810299</v>
      </c>
      <c r="I68" s="2" t="str">
        <f>IF(tbl_kpi[[#This Row],[AccuracyPct]] &lt; 0.98, "Y", "N")</f>
        <v>N</v>
      </c>
    </row>
    <row r="69" spans="1:9">
      <c r="A69" s="2">
        <v>342</v>
      </c>
      <c r="B69" s="2">
        <v>50</v>
      </c>
      <c r="C69" s="2" t="str">
        <f>_xlfn.XLOOKUP(tbl_kpi[[#This Row],[LocationID]], tbl_location[LocationID], tbl_location[LocationName], "UNMAPPED_LOCATION")</f>
        <v>Subassembly</v>
      </c>
      <c r="D69" s="2">
        <v>388</v>
      </c>
      <c r="E69" s="2">
        <v>386</v>
      </c>
      <c r="F69" s="2">
        <f>tbl_kpi[[#This Row],[OnHandQty]]</f>
        <v>388</v>
      </c>
      <c r="G69" s="2">
        <f>tbl_kpi[[#This Row],[CountedQty]]-tbl_kpi[[#This Row],[ExpectedQty]]</f>
        <v>-2</v>
      </c>
      <c r="H69" s="2">
        <f>IF(tbl_kpi[[#This Row],[ExpectedQty]]=0, 1, MAX(0, 1 - ABS(tbl_kpi[[#This Row],[VarianceQty]]) / tbl_kpi[[#This Row],[ExpectedQty]]))</f>
        <v>0.99484536082474229</v>
      </c>
      <c r="I69" s="2" t="str">
        <f>IF(tbl_kpi[[#This Row],[AccuracyPct]] &lt; 0.98, "Y", "N")</f>
        <v>N</v>
      </c>
    </row>
    <row r="70" spans="1:9">
      <c r="A70" s="2">
        <v>342</v>
      </c>
      <c r="B70" s="2">
        <v>60</v>
      </c>
      <c r="C70" s="2" t="str">
        <f>_xlfn.XLOOKUP(tbl_kpi[[#This Row],[LocationID]], tbl_location[LocationID], tbl_location[LocationName], "UNMAPPED_LOCATION")</f>
        <v>Final Assembly</v>
      </c>
      <c r="D70" s="2">
        <v>336</v>
      </c>
      <c r="E70" s="2">
        <v>331</v>
      </c>
      <c r="F70" s="2">
        <f>tbl_kpi[[#This Row],[OnHandQty]]</f>
        <v>336</v>
      </c>
      <c r="G70" s="2">
        <f>tbl_kpi[[#This Row],[CountedQty]]-tbl_kpi[[#This Row],[ExpectedQty]]</f>
        <v>-5</v>
      </c>
      <c r="H70" s="2">
        <f>IF(tbl_kpi[[#This Row],[ExpectedQty]]=0, 1, MAX(0, 1 - ABS(tbl_kpi[[#This Row],[VarianceQty]]) / tbl_kpi[[#This Row],[ExpectedQty]]))</f>
        <v>0.98511904761904767</v>
      </c>
      <c r="I70" s="2" t="str">
        <f>IF(tbl_kpi[[#This Row],[AccuracyPct]] &lt; 0.98, "Y", "N")</f>
        <v>N</v>
      </c>
    </row>
    <row r="71" spans="1:9">
      <c r="A71" s="2">
        <v>343</v>
      </c>
      <c r="B71" s="2">
        <v>1</v>
      </c>
      <c r="C71" s="2" t="str">
        <f>_xlfn.XLOOKUP(tbl_kpi[[#This Row],[LocationID]], tbl_location[LocationID], tbl_location[LocationName], "UNMAPPED_LOCATION")</f>
        <v>Tool Crib</v>
      </c>
      <c r="D71" s="2">
        <v>568</v>
      </c>
      <c r="E71" s="2">
        <v>578</v>
      </c>
      <c r="F71" s="2">
        <f>tbl_kpi[[#This Row],[OnHandQty]]</f>
        <v>568</v>
      </c>
      <c r="G71" s="2">
        <f>tbl_kpi[[#This Row],[CountedQty]]-tbl_kpi[[#This Row],[ExpectedQty]]</f>
        <v>10</v>
      </c>
      <c r="H71" s="2">
        <f>IF(tbl_kpi[[#This Row],[ExpectedQty]]=0, 1, MAX(0, 1 - ABS(tbl_kpi[[#This Row],[VarianceQty]]) / tbl_kpi[[#This Row],[ExpectedQty]]))</f>
        <v>0.98239436619718312</v>
      </c>
      <c r="I71" s="2" t="str">
        <f>IF(tbl_kpi[[#This Row],[AccuracyPct]] &lt; 0.98, "Y", "N")</f>
        <v>N</v>
      </c>
    </row>
    <row r="72" spans="1:9">
      <c r="A72" s="2">
        <v>343</v>
      </c>
      <c r="B72" s="2">
        <v>50</v>
      </c>
      <c r="C72" s="2" t="str">
        <f>_xlfn.XLOOKUP(tbl_kpi[[#This Row],[LocationID]], tbl_location[LocationID], tbl_location[LocationName], "UNMAPPED_LOCATION")</f>
        <v>Subassembly</v>
      </c>
      <c r="D72" s="2">
        <v>606</v>
      </c>
      <c r="E72" s="2">
        <v>621</v>
      </c>
      <c r="F72" s="2">
        <f>tbl_kpi[[#This Row],[OnHandQty]]</f>
        <v>606</v>
      </c>
      <c r="G72" s="2">
        <f>tbl_kpi[[#This Row],[CountedQty]]-tbl_kpi[[#This Row],[ExpectedQty]]</f>
        <v>15</v>
      </c>
      <c r="H72" s="2">
        <f>IF(tbl_kpi[[#This Row],[ExpectedQty]]=0, 1, MAX(0, 1 - ABS(tbl_kpi[[#This Row],[VarianceQty]]) / tbl_kpi[[#This Row],[ExpectedQty]]))</f>
        <v>0.97524752475247523</v>
      </c>
      <c r="I72" s="2" t="str">
        <f>IF(tbl_kpi[[#This Row],[AccuracyPct]] &lt; 0.98, "Y", "N")</f>
        <v>Y</v>
      </c>
    </row>
    <row r="73" spans="1:9">
      <c r="A73" s="2">
        <v>343</v>
      </c>
      <c r="B73" s="2">
        <v>60</v>
      </c>
      <c r="C73" s="2" t="str">
        <f>_xlfn.XLOOKUP(tbl_kpi[[#This Row],[LocationID]], tbl_location[LocationID], tbl_location[LocationName], "UNMAPPED_LOCATION")</f>
        <v>Final Assembly</v>
      </c>
      <c r="D73" s="2">
        <v>499</v>
      </c>
      <c r="E73" s="2">
        <v>494</v>
      </c>
      <c r="F73" s="2">
        <f>tbl_kpi[[#This Row],[OnHandQty]]</f>
        <v>499</v>
      </c>
      <c r="G73" s="2">
        <f>tbl_kpi[[#This Row],[CountedQty]]-tbl_kpi[[#This Row],[ExpectedQty]]</f>
        <v>-5</v>
      </c>
      <c r="H73" s="2">
        <f>IF(tbl_kpi[[#This Row],[ExpectedQty]]=0, 1, MAX(0, 1 - ABS(tbl_kpi[[#This Row],[VarianceQty]]) / tbl_kpi[[#This Row],[ExpectedQty]]))</f>
        <v>0.98997995991983967</v>
      </c>
      <c r="I73" s="2" t="str">
        <f>IF(tbl_kpi[[#This Row],[AccuracyPct]] &lt; 0.98, "Y", "N")</f>
        <v>N</v>
      </c>
    </row>
    <row r="74" spans="1:9">
      <c r="A74" s="2">
        <v>344</v>
      </c>
      <c r="B74" s="2">
        <v>1</v>
      </c>
      <c r="C74" s="2" t="str">
        <f>_xlfn.XLOOKUP(tbl_kpi[[#This Row],[LocationID]], tbl_location[LocationID], tbl_location[LocationName], "UNMAPPED_LOCATION")</f>
        <v>Tool Crib</v>
      </c>
      <c r="D74" s="2">
        <v>358</v>
      </c>
      <c r="E74" s="2">
        <v>353</v>
      </c>
      <c r="F74" s="2">
        <f>tbl_kpi[[#This Row],[OnHandQty]]</f>
        <v>358</v>
      </c>
      <c r="G74" s="2">
        <f>tbl_kpi[[#This Row],[CountedQty]]-tbl_kpi[[#This Row],[ExpectedQty]]</f>
        <v>-5</v>
      </c>
      <c r="H74" s="2">
        <f>IF(tbl_kpi[[#This Row],[ExpectedQty]]=0, 1, MAX(0, 1 - ABS(tbl_kpi[[#This Row],[VarianceQty]]) / tbl_kpi[[#This Row],[ExpectedQty]]))</f>
        <v>0.98603351955307261</v>
      </c>
      <c r="I74" s="2" t="str">
        <f>IF(tbl_kpi[[#This Row],[AccuracyPct]] &lt; 0.98, "Y", "N")</f>
        <v>N</v>
      </c>
    </row>
    <row r="75" spans="1:9">
      <c r="A75" s="2">
        <v>344</v>
      </c>
      <c r="B75" s="2">
        <v>50</v>
      </c>
      <c r="C75" s="2" t="str">
        <f>_xlfn.XLOOKUP(tbl_kpi[[#This Row],[LocationID]], tbl_location[LocationID], tbl_location[LocationName], "UNMAPPED_LOCATION")</f>
        <v>Subassembly</v>
      </c>
      <c r="D75" s="2">
        <v>332</v>
      </c>
      <c r="E75" s="2">
        <v>326</v>
      </c>
      <c r="F75" s="2">
        <f>tbl_kpi[[#This Row],[OnHandQty]]</f>
        <v>332</v>
      </c>
      <c r="G75" s="2">
        <f>tbl_kpi[[#This Row],[CountedQty]]-tbl_kpi[[#This Row],[ExpectedQty]]</f>
        <v>-6</v>
      </c>
      <c r="H75" s="2">
        <f>IF(tbl_kpi[[#This Row],[ExpectedQty]]=0, 1, MAX(0, 1 - ABS(tbl_kpi[[#This Row],[VarianceQty]]) / tbl_kpi[[#This Row],[ExpectedQty]]))</f>
        <v>0.98192771084337349</v>
      </c>
      <c r="I75" s="2" t="str">
        <f>IF(tbl_kpi[[#This Row],[AccuracyPct]] &lt; 0.98, "Y", "N")</f>
        <v>N</v>
      </c>
    </row>
    <row r="76" spans="1:9">
      <c r="A76" s="2">
        <v>344</v>
      </c>
      <c r="B76" s="2">
        <v>60</v>
      </c>
      <c r="C76" s="2" t="str">
        <f>_xlfn.XLOOKUP(tbl_kpi[[#This Row],[LocationID]], tbl_location[LocationID], tbl_location[LocationName], "UNMAPPED_LOCATION")</f>
        <v>Final Assembly</v>
      </c>
      <c r="D76" s="2">
        <v>382</v>
      </c>
      <c r="E76" s="2">
        <v>376</v>
      </c>
      <c r="F76" s="2">
        <f>tbl_kpi[[#This Row],[OnHandQty]]</f>
        <v>382</v>
      </c>
      <c r="G76" s="2">
        <f>tbl_kpi[[#This Row],[CountedQty]]-tbl_kpi[[#This Row],[ExpectedQty]]</f>
        <v>-6</v>
      </c>
      <c r="H76" s="2">
        <f>IF(tbl_kpi[[#This Row],[ExpectedQty]]=0, 1, MAX(0, 1 - ABS(tbl_kpi[[#This Row],[VarianceQty]]) / tbl_kpi[[#This Row],[ExpectedQty]]))</f>
        <v>0.98429319371727753</v>
      </c>
      <c r="I76" s="2" t="str">
        <f>IF(tbl_kpi[[#This Row],[AccuracyPct]] &lt; 0.98, "Y", "N")</f>
        <v>N</v>
      </c>
    </row>
    <row r="77" spans="1:9">
      <c r="A77" s="2">
        <v>345</v>
      </c>
      <c r="B77" s="2">
        <v>1</v>
      </c>
      <c r="C77" s="2" t="str">
        <f>_xlfn.XLOOKUP(tbl_kpi[[#This Row],[LocationID]], tbl_location[LocationID], tbl_location[LocationName], "UNMAPPED_LOCATION")</f>
        <v>Tool Crib</v>
      </c>
      <c r="D77" s="2">
        <v>321</v>
      </c>
      <c r="E77" s="2">
        <v>315</v>
      </c>
      <c r="F77" s="2">
        <f>tbl_kpi[[#This Row],[OnHandQty]]</f>
        <v>321</v>
      </c>
      <c r="G77" s="2">
        <f>tbl_kpi[[#This Row],[CountedQty]]-tbl_kpi[[#This Row],[ExpectedQty]]</f>
        <v>-6</v>
      </c>
      <c r="H77" s="2">
        <f>IF(tbl_kpi[[#This Row],[ExpectedQty]]=0, 1, MAX(0, 1 - ABS(tbl_kpi[[#This Row],[VarianceQty]]) / tbl_kpi[[#This Row],[ExpectedQty]]))</f>
        <v>0.98130841121495327</v>
      </c>
      <c r="I77" s="2" t="str">
        <f>IF(tbl_kpi[[#This Row],[AccuracyPct]] &lt; 0.98, "Y", "N")</f>
        <v>N</v>
      </c>
    </row>
    <row r="78" spans="1:9">
      <c r="A78" s="2">
        <v>345</v>
      </c>
      <c r="B78" s="2">
        <v>50</v>
      </c>
      <c r="C78" s="2" t="str">
        <f>_xlfn.XLOOKUP(tbl_kpi[[#This Row],[LocationID]], tbl_location[LocationID], tbl_location[LocationName], "UNMAPPED_LOCATION")</f>
        <v>Subassembly</v>
      </c>
      <c r="D78" s="2">
        <v>315</v>
      </c>
      <c r="E78" s="2">
        <v>315</v>
      </c>
      <c r="F78" s="2">
        <f>tbl_kpi[[#This Row],[OnHandQty]]</f>
        <v>315</v>
      </c>
      <c r="G78" s="2">
        <f>tbl_kpi[[#This Row],[CountedQty]]-tbl_kpi[[#This Row],[ExpectedQty]]</f>
        <v>0</v>
      </c>
      <c r="H78" s="2">
        <f>IF(tbl_kpi[[#This Row],[ExpectedQty]]=0, 1, MAX(0, 1 - ABS(tbl_kpi[[#This Row],[VarianceQty]]) / tbl_kpi[[#This Row],[ExpectedQty]]))</f>
        <v>1</v>
      </c>
      <c r="I78" s="2" t="str">
        <f>IF(tbl_kpi[[#This Row],[AccuracyPct]] &lt; 0.98, "Y", "N")</f>
        <v>N</v>
      </c>
    </row>
    <row r="79" spans="1:9">
      <c r="A79" s="2">
        <v>345</v>
      </c>
      <c r="B79" s="2">
        <v>60</v>
      </c>
      <c r="C79" s="2" t="str">
        <f>_xlfn.XLOOKUP(tbl_kpi[[#This Row],[LocationID]], tbl_location[LocationID], tbl_location[LocationName], "UNMAPPED_LOCATION")</f>
        <v>Final Assembly</v>
      </c>
      <c r="D79" s="2">
        <v>300</v>
      </c>
      <c r="E79" s="2">
        <v>301</v>
      </c>
      <c r="F79" s="2">
        <f>tbl_kpi[[#This Row],[OnHandQty]]</f>
        <v>300</v>
      </c>
      <c r="G79" s="2">
        <f>tbl_kpi[[#This Row],[CountedQty]]-tbl_kpi[[#This Row],[ExpectedQty]]</f>
        <v>1</v>
      </c>
      <c r="H79" s="2">
        <f>IF(tbl_kpi[[#This Row],[ExpectedQty]]=0, 1, MAX(0, 1 - ABS(tbl_kpi[[#This Row],[VarianceQty]]) / tbl_kpi[[#This Row],[ExpectedQty]]))</f>
        <v>0.9966666666666667</v>
      </c>
      <c r="I79" s="2" t="str">
        <f>IF(tbl_kpi[[#This Row],[AccuracyPct]] &lt; 0.98, "Y", "N")</f>
        <v>N</v>
      </c>
    </row>
    <row r="80" spans="1:9">
      <c r="A80" s="2">
        <v>346</v>
      </c>
      <c r="B80" s="2">
        <v>1</v>
      </c>
      <c r="C80" s="2" t="str">
        <f>_xlfn.XLOOKUP(tbl_kpi[[#This Row],[LocationID]], tbl_location[LocationID], tbl_location[LocationName], "UNMAPPED_LOCATION")</f>
        <v>Tool Crib</v>
      </c>
      <c r="D80" s="2">
        <v>585</v>
      </c>
      <c r="E80" s="2">
        <v>595</v>
      </c>
      <c r="F80" s="2">
        <f>tbl_kpi[[#This Row],[OnHandQty]]</f>
        <v>585</v>
      </c>
      <c r="G80" s="2">
        <f>tbl_kpi[[#This Row],[CountedQty]]-tbl_kpi[[#This Row],[ExpectedQty]]</f>
        <v>10</v>
      </c>
      <c r="H80" s="2">
        <f>IF(tbl_kpi[[#This Row],[ExpectedQty]]=0, 1, MAX(0, 1 - ABS(tbl_kpi[[#This Row],[VarianceQty]]) / tbl_kpi[[#This Row],[ExpectedQty]]))</f>
        <v>0.98290598290598286</v>
      </c>
      <c r="I80" s="2" t="str">
        <f>IF(tbl_kpi[[#This Row],[AccuracyPct]] &lt; 0.98, "Y", "N")</f>
        <v>N</v>
      </c>
    </row>
    <row r="81" spans="1:9">
      <c r="A81" s="2">
        <v>346</v>
      </c>
      <c r="B81" s="2">
        <v>50</v>
      </c>
      <c r="C81" s="2" t="str">
        <f>_xlfn.XLOOKUP(tbl_kpi[[#This Row],[LocationID]], tbl_location[LocationID], tbl_location[LocationName], "UNMAPPED_LOCATION")</f>
        <v>Subassembly</v>
      </c>
      <c r="D81" s="2">
        <v>476</v>
      </c>
      <c r="E81" s="2">
        <v>465</v>
      </c>
      <c r="F81" s="2">
        <f>tbl_kpi[[#This Row],[OnHandQty]]</f>
        <v>476</v>
      </c>
      <c r="G81" s="2">
        <f>tbl_kpi[[#This Row],[CountedQty]]-tbl_kpi[[#This Row],[ExpectedQty]]</f>
        <v>-11</v>
      </c>
      <c r="H81" s="2">
        <f>IF(tbl_kpi[[#This Row],[ExpectedQty]]=0, 1, MAX(0, 1 - ABS(tbl_kpi[[#This Row],[VarianceQty]]) / tbl_kpi[[#This Row],[ExpectedQty]]))</f>
        <v>0.97689075630252098</v>
      </c>
      <c r="I81" s="2" t="str">
        <f>IF(tbl_kpi[[#This Row],[AccuracyPct]] &lt; 0.98, "Y", "N")</f>
        <v>Y</v>
      </c>
    </row>
    <row r="82" spans="1:9">
      <c r="A82" s="2">
        <v>346</v>
      </c>
      <c r="B82" s="2">
        <v>60</v>
      </c>
      <c r="C82" s="2" t="str">
        <f>_xlfn.XLOOKUP(tbl_kpi[[#This Row],[LocationID]], tbl_location[LocationID], tbl_location[LocationName], "UNMAPPED_LOCATION")</f>
        <v>Final Assembly</v>
      </c>
      <c r="D82" s="2">
        <v>641</v>
      </c>
      <c r="E82" s="2">
        <v>656</v>
      </c>
      <c r="F82" s="2">
        <f>tbl_kpi[[#This Row],[OnHandQty]]</f>
        <v>641</v>
      </c>
      <c r="G82" s="2">
        <f>tbl_kpi[[#This Row],[CountedQty]]-tbl_kpi[[#This Row],[ExpectedQty]]</f>
        <v>15</v>
      </c>
      <c r="H82" s="2">
        <f>IF(tbl_kpi[[#This Row],[ExpectedQty]]=0, 1, MAX(0, 1 - ABS(tbl_kpi[[#This Row],[VarianceQty]]) / tbl_kpi[[#This Row],[ExpectedQty]]))</f>
        <v>0.97659906396255847</v>
      </c>
      <c r="I82" s="2" t="str">
        <f>IF(tbl_kpi[[#This Row],[AccuracyPct]] &lt; 0.98, "Y", "N")</f>
        <v>Y</v>
      </c>
    </row>
    <row r="83" spans="1:9">
      <c r="A83" s="2">
        <v>347</v>
      </c>
      <c r="B83" s="2">
        <v>1</v>
      </c>
      <c r="C83" s="2" t="str">
        <f>_xlfn.XLOOKUP(tbl_kpi[[#This Row],[LocationID]], tbl_location[LocationID], tbl_location[LocationName], "UNMAPPED_LOCATION")</f>
        <v>Tool Crib</v>
      </c>
      <c r="D83" s="2">
        <v>318</v>
      </c>
      <c r="E83" s="2">
        <v>315</v>
      </c>
      <c r="F83" s="2">
        <f>tbl_kpi[[#This Row],[OnHandQty]]</f>
        <v>318</v>
      </c>
      <c r="G83" s="2">
        <f>tbl_kpi[[#This Row],[CountedQty]]-tbl_kpi[[#This Row],[ExpectedQty]]</f>
        <v>-3</v>
      </c>
      <c r="H83" s="2">
        <f>IF(tbl_kpi[[#This Row],[ExpectedQty]]=0, 1, MAX(0, 1 - ABS(tbl_kpi[[#This Row],[VarianceQty]]) / tbl_kpi[[#This Row],[ExpectedQty]]))</f>
        <v>0.99056603773584906</v>
      </c>
      <c r="I83" s="2" t="str">
        <f>IF(tbl_kpi[[#This Row],[AccuracyPct]] &lt; 0.98, "Y", "N")</f>
        <v>N</v>
      </c>
    </row>
    <row r="84" spans="1:9">
      <c r="A84" s="2">
        <v>347</v>
      </c>
      <c r="B84" s="2">
        <v>50</v>
      </c>
      <c r="C84" s="2" t="str">
        <f>_xlfn.XLOOKUP(tbl_kpi[[#This Row],[LocationID]], tbl_location[LocationID], tbl_location[LocationName], "UNMAPPED_LOCATION")</f>
        <v>Subassembly</v>
      </c>
      <c r="D84" s="2">
        <v>246</v>
      </c>
      <c r="E84" s="2">
        <v>244</v>
      </c>
      <c r="F84" s="2">
        <f>tbl_kpi[[#This Row],[OnHandQty]]</f>
        <v>246</v>
      </c>
      <c r="G84" s="2">
        <f>tbl_kpi[[#This Row],[CountedQty]]-tbl_kpi[[#This Row],[ExpectedQty]]</f>
        <v>-2</v>
      </c>
      <c r="H84" s="2">
        <f>IF(tbl_kpi[[#This Row],[ExpectedQty]]=0, 1, MAX(0, 1 - ABS(tbl_kpi[[#This Row],[VarianceQty]]) / tbl_kpi[[#This Row],[ExpectedQty]]))</f>
        <v>0.99186991869918695</v>
      </c>
      <c r="I84" s="2" t="str">
        <f>IF(tbl_kpi[[#This Row],[AccuracyPct]] &lt; 0.98, "Y", "N")</f>
        <v>N</v>
      </c>
    </row>
    <row r="85" spans="1:9">
      <c r="A85" s="2">
        <v>347</v>
      </c>
      <c r="B85" s="2">
        <v>60</v>
      </c>
      <c r="C85" s="2" t="str">
        <f>_xlfn.XLOOKUP(tbl_kpi[[#This Row],[LocationID]], tbl_location[LocationID], tbl_location[LocationName], "UNMAPPED_LOCATION")</f>
        <v>Final Assembly</v>
      </c>
      <c r="D85" s="2">
        <v>332</v>
      </c>
      <c r="E85" s="2">
        <v>336</v>
      </c>
      <c r="F85" s="2">
        <f>tbl_kpi[[#This Row],[OnHandQty]]</f>
        <v>332</v>
      </c>
      <c r="G85" s="2">
        <f>tbl_kpi[[#This Row],[CountedQty]]-tbl_kpi[[#This Row],[ExpectedQty]]</f>
        <v>4</v>
      </c>
      <c r="H85" s="2">
        <f>IF(tbl_kpi[[#This Row],[ExpectedQty]]=0, 1, MAX(0, 1 - ABS(tbl_kpi[[#This Row],[VarianceQty]]) / tbl_kpi[[#This Row],[ExpectedQty]]))</f>
        <v>0.98795180722891562</v>
      </c>
      <c r="I85" s="2" t="str">
        <f>IF(tbl_kpi[[#This Row],[AccuracyPct]] &lt; 0.98, "Y", "N")</f>
        <v>N</v>
      </c>
    </row>
    <row r="86" spans="1:9">
      <c r="A86" s="2">
        <v>348</v>
      </c>
      <c r="B86" s="2">
        <v>1</v>
      </c>
      <c r="C86" s="2" t="str">
        <f>_xlfn.XLOOKUP(tbl_kpi[[#This Row],[LocationID]], tbl_location[LocationID], tbl_location[LocationName], "UNMAPPED_LOCATION")</f>
        <v>Tool Crib</v>
      </c>
      <c r="D86" s="2">
        <v>323</v>
      </c>
      <c r="E86" s="2">
        <v>315</v>
      </c>
      <c r="F86" s="2">
        <f>tbl_kpi[[#This Row],[OnHandQty]]</f>
        <v>323</v>
      </c>
      <c r="G86" s="2">
        <f>tbl_kpi[[#This Row],[CountedQty]]-tbl_kpi[[#This Row],[ExpectedQty]]</f>
        <v>-8</v>
      </c>
      <c r="H86" s="2">
        <f>IF(tbl_kpi[[#This Row],[ExpectedQty]]=0, 1, MAX(0, 1 - ABS(tbl_kpi[[#This Row],[VarianceQty]]) / tbl_kpi[[#This Row],[ExpectedQty]]))</f>
        <v>0.97523219814241491</v>
      </c>
      <c r="I86" s="2" t="str">
        <f>IF(tbl_kpi[[#This Row],[AccuracyPct]] &lt; 0.98, "Y", "N")</f>
        <v>Y</v>
      </c>
    </row>
    <row r="87" spans="1:9">
      <c r="A87" s="2">
        <v>348</v>
      </c>
      <c r="B87" s="2">
        <v>50</v>
      </c>
      <c r="C87" s="2" t="str">
        <f>_xlfn.XLOOKUP(tbl_kpi[[#This Row],[LocationID]], tbl_location[LocationID], tbl_location[LocationName], "UNMAPPED_LOCATION")</f>
        <v>Subassembly</v>
      </c>
      <c r="D87" s="2">
        <v>251</v>
      </c>
      <c r="E87" s="2">
        <v>255</v>
      </c>
      <c r="F87" s="2">
        <f>tbl_kpi[[#This Row],[OnHandQty]]</f>
        <v>251</v>
      </c>
      <c r="G87" s="2">
        <f>tbl_kpi[[#This Row],[CountedQty]]-tbl_kpi[[#This Row],[ExpectedQty]]</f>
        <v>4</v>
      </c>
      <c r="H87" s="2">
        <f>IF(tbl_kpi[[#This Row],[ExpectedQty]]=0, 1, MAX(0, 1 - ABS(tbl_kpi[[#This Row],[VarianceQty]]) / tbl_kpi[[#This Row],[ExpectedQty]]))</f>
        <v>0.98406374501992033</v>
      </c>
      <c r="I87" s="2" t="str">
        <f>IF(tbl_kpi[[#This Row],[AccuracyPct]] &lt; 0.98, "Y", "N")</f>
        <v>N</v>
      </c>
    </row>
    <row r="88" spans="1:9">
      <c r="A88" s="2">
        <v>348</v>
      </c>
      <c r="B88" s="2">
        <v>60</v>
      </c>
      <c r="C88" s="2" t="str">
        <f>_xlfn.XLOOKUP(tbl_kpi[[#This Row],[LocationID]], tbl_location[LocationID], tbl_location[LocationName], "UNMAPPED_LOCATION")</f>
        <v>Final Assembly</v>
      </c>
      <c r="D88" s="2">
        <v>337</v>
      </c>
      <c r="E88" s="2">
        <v>336</v>
      </c>
      <c r="F88" s="2">
        <f>tbl_kpi[[#This Row],[OnHandQty]]</f>
        <v>337</v>
      </c>
      <c r="G88" s="2">
        <f>tbl_kpi[[#This Row],[CountedQty]]-tbl_kpi[[#This Row],[ExpectedQty]]</f>
        <v>-1</v>
      </c>
      <c r="H88" s="2">
        <f>IF(tbl_kpi[[#This Row],[ExpectedQty]]=0, 1, MAX(0, 1 - ABS(tbl_kpi[[#This Row],[VarianceQty]]) / tbl_kpi[[#This Row],[ExpectedQty]]))</f>
        <v>0.9970326409495549</v>
      </c>
      <c r="I88" s="2" t="str">
        <f>IF(tbl_kpi[[#This Row],[AccuracyPct]] &lt; 0.98, "Y", "N")</f>
        <v>N</v>
      </c>
    </row>
    <row r="89" spans="1:9">
      <c r="A89" s="2">
        <v>349</v>
      </c>
      <c r="B89" s="2">
        <v>1</v>
      </c>
      <c r="C89" s="2" t="str">
        <f>_xlfn.XLOOKUP(tbl_kpi[[#This Row],[LocationID]], tbl_location[LocationID], tbl_location[LocationName], "UNMAPPED_LOCATION")</f>
        <v>Tool Crib</v>
      </c>
      <c r="D89" s="2">
        <v>328</v>
      </c>
      <c r="E89" s="2">
        <v>338</v>
      </c>
      <c r="F89" s="2">
        <f>tbl_kpi[[#This Row],[OnHandQty]]</f>
        <v>328</v>
      </c>
      <c r="G89" s="2">
        <f>tbl_kpi[[#This Row],[CountedQty]]-tbl_kpi[[#This Row],[ExpectedQty]]</f>
        <v>10</v>
      </c>
      <c r="H89" s="2">
        <f>IF(tbl_kpi[[#This Row],[ExpectedQty]]=0, 1, MAX(0, 1 - ABS(tbl_kpi[[#This Row],[VarianceQty]]) / tbl_kpi[[#This Row],[ExpectedQty]]))</f>
        <v>0.96951219512195119</v>
      </c>
      <c r="I89" s="2" t="str">
        <f>IF(tbl_kpi[[#This Row],[AccuracyPct]] &lt; 0.98, "Y", "N")</f>
        <v>Y</v>
      </c>
    </row>
    <row r="90" spans="1:9">
      <c r="A90" s="2">
        <v>349</v>
      </c>
      <c r="B90" s="2">
        <v>50</v>
      </c>
      <c r="C90" s="2" t="str">
        <f>_xlfn.XLOOKUP(tbl_kpi[[#This Row],[LocationID]], tbl_location[LocationID], tbl_location[LocationName], "UNMAPPED_LOCATION")</f>
        <v>Subassembly</v>
      </c>
      <c r="D90" s="2">
        <v>256</v>
      </c>
      <c r="E90" s="2">
        <v>255</v>
      </c>
      <c r="F90" s="2">
        <f>tbl_kpi[[#This Row],[OnHandQty]]</f>
        <v>256</v>
      </c>
      <c r="G90" s="2">
        <f>tbl_kpi[[#This Row],[CountedQty]]-tbl_kpi[[#This Row],[ExpectedQty]]</f>
        <v>-1</v>
      </c>
      <c r="H90" s="2">
        <f>IF(tbl_kpi[[#This Row],[ExpectedQty]]=0, 1, MAX(0, 1 - ABS(tbl_kpi[[#This Row],[VarianceQty]]) / tbl_kpi[[#This Row],[ExpectedQty]]))</f>
        <v>0.99609375</v>
      </c>
      <c r="I90" s="2" t="str">
        <f>IF(tbl_kpi[[#This Row],[AccuracyPct]] &lt; 0.98, "Y", "N")</f>
        <v>N</v>
      </c>
    </row>
    <row r="91" spans="1:9">
      <c r="A91" s="2">
        <v>349</v>
      </c>
      <c r="B91" s="2">
        <v>60</v>
      </c>
      <c r="C91" s="2" t="str">
        <f>_xlfn.XLOOKUP(tbl_kpi[[#This Row],[LocationID]], tbl_location[LocationID], tbl_location[LocationName], "UNMAPPED_LOCATION")</f>
        <v>Final Assembly</v>
      </c>
      <c r="D91" s="2">
        <v>342</v>
      </c>
      <c r="E91" s="2">
        <v>332</v>
      </c>
      <c r="F91" s="2">
        <f>tbl_kpi[[#This Row],[OnHandQty]]</f>
        <v>342</v>
      </c>
      <c r="G91" s="2">
        <f>tbl_kpi[[#This Row],[CountedQty]]-tbl_kpi[[#This Row],[ExpectedQty]]</f>
        <v>-10</v>
      </c>
      <c r="H91" s="2">
        <f>IF(tbl_kpi[[#This Row],[ExpectedQty]]=0, 1, MAX(0, 1 - ABS(tbl_kpi[[#This Row],[VarianceQty]]) / tbl_kpi[[#This Row],[ExpectedQty]]))</f>
        <v>0.97076023391812871</v>
      </c>
      <c r="I91" s="2" t="str">
        <f>IF(tbl_kpi[[#This Row],[AccuracyPct]] &lt; 0.98, "Y", "N")</f>
        <v>Y</v>
      </c>
    </row>
    <row r="92" spans="1:9">
      <c r="A92" s="2">
        <v>350</v>
      </c>
      <c r="B92" s="2">
        <v>5</v>
      </c>
      <c r="C92" s="2" t="str">
        <f>_xlfn.XLOOKUP(tbl_kpi[[#This Row],[LocationID]], tbl_location[LocationID], tbl_location[LocationName], "UNMAPPED_LOCATION")</f>
        <v>Metal Storage</v>
      </c>
      <c r="D92" s="2">
        <v>622</v>
      </c>
      <c r="E92" s="2">
        <v>617</v>
      </c>
      <c r="F92" s="2">
        <f>tbl_kpi[[#This Row],[OnHandQty]]</f>
        <v>622</v>
      </c>
      <c r="G92" s="2">
        <f>tbl_kpi[[#This Row],[CountedQty]]-tbl_kpi[[#This Row],[ExpectedQty]]</f>
        <v>-5</v>
      </c>
      <c r="H92" s="2">
        <f>IF(tbl_kpi[[#This Row],[ExpectedQty]]=0, 1, MAX(0, 1 - ABS(tbl_kpi[[#This Row],[VarianceQty]]) / tbl_kpi[[#This Row],[ExpectedQty]]))</f>
        <v>0.99196141479099675</v>
      </c>
      <c r="I92" s="2" t="str">
        <f>IF(tbl_kpi[[#This Row],[AccuracyPct]] &lt; 0.98, "Y", "N")</f>
        <v>N</v>
      </c>
    </row>
    <row r="93" spans="1:9">
      <c r="A93" s="2">
        <v>350</v>
      </c>
      <c r="B93" s="2">
        <v>10</v>
      </c>
      <c r="C93" s="2" t="str">
        <f>_xlfn.XLOOKUP(tbl_kpi[[#This Row],[LocationID]], tbl_location[LocationID], tbl_location[LocationName], "UNMAPPED_LOCATION")</f>
        <v>Frame Forming</v>
      </c>
      <c r="D93" s="2">
        <v>406</v>
      </c>
      <c r="E93" s="2">
        <v>417</v>
      </c>
      <c r="F93" s="2">
        <f>tbl_kpi[[#This Row],[OnHandQty]]</f>
        <v>406</v>
      </c>
      <c r="G93" s="2">
        <f>tbl_kpi[[#This Row],[CountedQty]]-tbl_kpi[[#This Row],[ExpectedQty]]</f>
        <v>11</v>
      </c>
      <c r="H93" s="2">
        <f>IF(tbl_kpi[[#This Row],[ExpectedQty]]=0, 1, MAX(0, 1 - ABS(tbl_kpi[[#This Row],[VarianceQty]]) / tbl_kpi[[#This Row],[ExpectedQty]]))</f>
        <v>0.97290640394088668</v>
      </c>
      <c r="I93" s="2" t="str">
        <f>IF(tbl_kpi[[#This Row],[AccuracyPct]] &lt; 0.98, "Y", "N")</f>
        <v>Y</v>
      </c>
    </row>
    <row r="94" spans="1:9">
      <c r="A94" s="2">
        <v>350</v>
      </c>
      <c r="B94" s="2">
        <v>50</v>
      </c>
      <c r="C94" s="2" t="str">
        <f>_xlfn.XLOOKUP(tbl_kpi[[#This Row],[LocationID]], tbl_location[LocationID], tbl_location[LocationName], "UNMAPPED_LOCATION")</f>
        <v>Subassembly</v>
      </c>
      <c r="D94" s="2">
        <v>313</v>
      </c>
      <c r="E94" s="2">
        <v>321</v>
      </c>
      <c r="F94" s="2">
        <f>tbl_kpi[[#This Row],[OnHandQty]]</f>
        <v>313</v>
      </c>
      <c r="G94" s="2">
        <f>tbl_kpi[[#This Row],[CountedQty]]-tbl_kpi[[#This Row],[ExpectedQty]]</f>
        <v>8</v>
      </c>
      <c r="H94" s="2">
        <f>IF(tbl_kpi[[#This Row],[ExpectedQty]]=0, 1, MAX(0, 1 - ABS(tbl_kpi[[#This Row],[VarianceQty]]) / tbl_kpi[[#This Row],[ExpectedQty]]))</f>
        <v>0.9744408945686901</v>
      </c>
      <c r="I94" s="2" t="str">
        <f>IF(tbl_kpi[[#This Row],[AccuracyPct]] &lt; 0.98, "Y", "N")</f>
        <v>Y</v>
      </c>
    </row>
    <row r="95" spans="1:9">
      <c r="A95" s="2">
        <v>351</v>
      </c>
      <c r="B95" s="2">
        <v>5</v>
      </c>
      <c r="C95" s="2" t="str">
        <f>_xlfn.XLOOKUP(tbl_kpi[[#This Row],[LocationID]], tbl_location[LocationID], tbl_location[LocationName], "UNMAPPED_LOCATION")</f>
        <v>Metal Storage</v>
      </c>
      <c r="D95" s="2">
        <v>179</v>
      </c>
      <c r="E95" s="2">
        <v>175</v>
      </c>
      <c r="F95" s="2">
        <f>tbl_kpi[[#This Row],[OnHandQty]]</f>
        <v>179</v>
      </c>
      <c r="G95" s="2">
        <f>tbl_kpi[[#This Row],[CountedQty]]-tbl_kpi[[#This Row],[ExpectedQty]]</f>
        <v>-4</v>
      </c>
      <c r="H95" s="2">
        <f>IF(tbl_kpi[[#This Row],[ExpectedQty]]=0, 1, MAX(0, 1 - ABS(tbl_kpi[[#This Row],[VarianceQty]]) / tbl_kpi[[#This Row],[ExpectedQty]]))</f>
        <v>0.97765363128491622</v>
      </c>
      <c r="I95" s="2" t="str">
        <f>IF(tbl_kpi[[#This Row],[AccuracyPct]] &lt; 0.98, "Y", "N")</f>
        <v>Y</v>
      </c>
    </row>
    <row r="96" spans="1:9">
      <c r="A96" s="2">
        <v>351</v>
      </c>
      <c r="B96" s="2">
        <v>10</v>
      </c>
      <c r="C96" s="2" t="str">
        <f>_xlfn.XLOOKUP(tbl_kpi[[#This Row],[LocationID]], tbl_location[LocationID], tbl_location[LocationName], "UNMAPPED_LOCATION")</f>
        <v>Frame Forming</v>
      </c>
      <c r="D96" s="2">
        <v>281</v>
      </c>
      <c r="E96" s="2">
        <v>275</v>
      </c>
      <c r="F96" s="2">
        <f>tbl_kpi[[#This Row],[OnHandQty]]</f>
        <v>281</v>
      </c>
      <c r="G96" s="2">
        <f>tbl_kpi[[#This Row],[CountedQty]]-tbl_kpi[[#This Row],[ExpectedQty]]</f>
        <v>-6</v>
      </c>
      <c r="H96" s="2">
        <f>IF(tbl_kpi[[#This Row],[ExpectedQty]]=0, 1, MAX(0, 1 - ABS(tbl_kpi[[#This Row],[VarianceQty]]) / tbl_kpi[[#This Row],[ExpectedQty]]))</f>
        <v>0.97864768683274017</v>
      </c>
      <c r="I96" s="2" t="str">
        <f>IF(tbl_kpi[[#This Row],[AccuracyPct]] &lt; 0.98, "Y", "N")</f>
        <v>Y</v>
      </c>
    </row>
    <row r="97" spans="1:9">
      <c r="A97" s="2">
        <v>351</v>
      </c>
      <c r="B97" s="2">
        <v>50</v>
      </c>
      <c r="C97" s="2" t="str">
        <f>_xlfn.XLOOKUP(tbl_kpi[[#This Row],[LocationID]], tbl_location[LocationID], tbl_location[LocationName], "UNMAPPED_LOCATION")</f>
        <v>Subassembly</v>
      </c>
      <c r="D97" s="2">
        <v>145</v>
      </c>
      <c r="E97" s="2">
        <v>145</v>
      </c>
      <c r="F97" s="2">
        <f>tbl_kpi[[#This Row],[OnHandQty]]</f>
        <v>145</v>
      </c>
      <c r="G97" s="2">
        <f>tbl_kpi[[#This Row],[CountedQty]]-tbl_kpi[[#This Row],[ExpectedQty]]</f>
        <v>0</v>
      </c>
      <c r="H97" s="2">
        <f>IF(tbl_kpi[[#This Row],[ExpectedQty]]=0, 1, MAX(0, 1 - ABS(tbl_kpi[[#This Row],[VarianceQty]]) / tbl_kpi[[#This Row],[ExpectedQty]]))</f>
        <v>1</v>
      </c>
      <c r="I97" s="2" t="str">
        <f>IF(tbl_kpi[[#This Row],[AccuracyPct]] &lt; 0.98, "Y", "N")</f>
        <v>N</v>
      </c>
    </row>
    <row r="98" spans="1:9">
      <c r="A98" s="2">
        <v>352</v>
      </c>
      <c r="B98" s="2">
        <v>5</v>
      </c>
      <c r="C98" s="2" t="str">
        <f>_xlfn.XLOOKUP(tbl_kpi[[#This Row],[LocationID]], tbl_location[LocationID], tbl_location[LocationName], "UNMAPPED_LOCATION")</f>
        <v>Metal Storage</v>
      </c>
      <c r="D98" s="2">
        <v>300</v>
      </c>
      <c r="E98" s="2">
        <v>292</v>
      </c>
      <c r="F98" s="2">
        <f>tbl_kpi[[#This Row],[OnHandQty]]</f>
        <v>300</v>
      </c>
      <c r="G98" s="2">
        <f>tbl_kpi[[#This Row],[CountedQty]]-tbl_kpi[[#This Row],[ExpectedQty]]</f>
        <v>-8</v>
      </c>
      <c r="H98" s="2">
        <f>IF(tbl_kpi[[#This Row],[ExpectedQty]]=0, 1, MAX(0, 1 - ABS(tbl_kpi[[#This Row],[VarianceQty]]) / tbl_kpi[[#This Row],[ExpectedQty]]))</f>
        <v>0.97333333333333338</v>
      </c>
      <c r="I98" s="2" t="str">
        <f>IF(tbl_kpi[[#This Row],[AccuracyPct]] &lt; 0.98, "Y", "N")</f>
        <v>Y</v>
      </c>
    </row>
    <row r="99" spans="1:9">
      <c r="A99" s="2">
        <v>352</v>
      </c>
      <c r="B99" s="2">
        <v>10</v>
      </c>
      <c r="C99" s="2" t="str">
        <f>_xlfn.XLOOKUP(tbl_kpi[[#This Row],[LocationID]], tbl_location[LocationID], tbl_location[LocationName], "UNMAPPED_LOCATION")</f>
        <v>Frame Forming</v>
      </c>
      <c r="D99" s="2">
        <v>278</v>
      </c>
      <c r="E99" s="2">
        <v>277</v>
      </c>
      <c r="F99" s="2">
        <f>tbl_kpi[[#This Row],[OnHandQty]]</f>
        <v>278</v>
      </c>
      <c r="G99" s="2">
        <f>tbl_kpi[[#This Row],[CountedQty]]-tbl_kpi[[#This Row],[ExpectedQty]]</f>
        <v>-1</v>
      </c>
      <c r="H99" s="2">
        <f>IF(tbl_kpi[[#This Row],[ExpectedQty]]=0, 1, MAX(0, 1 - ABS(tbl_kpi[[#This Row],[VarianceQty]]) / tbl_kpi[[#This Row],[ExpectedQty]]))</f>
        <v>0.99640287769784175</v>
      </c>
      <c r="I99" s="2" t="str">
        <f>IF(tbl_kpi[[#This Row],[AccuracyPct]] &lt; 0.98, "Y", "N")</f>
        <v>N</v>
      </c>
    </row>
    <row r="100" spans="1:9">
      <c r="A100" s="2">
        <v>352</v>
      </c>
      <c r="B100" s="2">
        <v>50</v>
      </c>
      <c r="C100" s="2" t="str">
        <f>_xlfn.XLOOKUP(tbl_kpi[[#This Row],[LocationID]], tbl_location[LocationID], tbl_location[LocationName], "UNMAPPED_LOCATION")</f>
        <v>Subassembly</v>
      </c>
      <c r="D100" s="2">
        <v>195</v>
      </c>
      <c r="E100" s="2">
        <v>196</v>
      </c>
      <c r="F100" s="2">
        <f>tbl_kpi[[#This Row],[OnHandQty]]</f>
        <v>195</v>
      </c>
      <c r="G100" s="2">
        <f>tbl_kpi[[#This Row],[CountedQty]]-tbl_kpi[[#This Row],[ExpectedQty]]</f>
        <v>1</v>
      </c>
      <c r="H100" s="2">
        <f>IF(tbl_kpi[[#This Row],[ExpectedQty]]=0, 1, MAX(0, 1 - ABS(tbl_kpi[[#This Row],[VarianceQty]]) / tbl_kpi[[#This Row],[ExpectedQty]]))</f>
        <v>0.99487179487179489</v>
      </c>
      <c r="I100" s="2" t="str">
        <f>IF(tbl_kpi[[#This Row],[AccuracyPct]] &lt; 0.98, "Y", "N")</f>
        <v>N</v>
      </c>
    </row>
    <row r="101" spans="1:9">
      <c r="A101" s="2">
        <v>355</v>
      </c>
      <c r="B101" s="2">
        <v>1</v>
      </c>
      <c r="C101" s="2" t="str">
        <f>_xlfn.XLOOKUP(tbl_kpi[[#This Row],[LocationID]], tbl_location[LocationID], tbl_location[LocationName], "UNMAPPED_LOCATION")</f>
        <v>Tool Crib</v>
      </c>
      <c r="D101" s="2">
        <v>276</v>
      </c>
      <c r="E101" s="2">
        <v>282</v>
      </c>
      <c r="F101" s="2">
        <f>tbl_kpi[[#This Row],[OnHandQty]]</f>
        <v>276</v>
      </c>
      <c r="G101" s="2">
        <f>tbl_kpi[[#This Row],[CountedQty]]-tbl_kpi[[#This Row],[ExpectedQty]]</f>
        <v>6</v>
      </c>
      <c r="H101" s="2">
        <f>IF(tbl_kpi[[#This Row],[ExpectedQty]]=0, 1, MAX(0, 1 - ABS(tbl_kpi[[#This Row],[VarianceQty]]) / tbl_kpi[[#This Row],[ExpectedQty]]))</f>
        <v>0.97826086956521741</v>
      </c>
      <c r="I101" s="2" t="str">
        <f>IF(tbl_kpi[[#This Row],[AccuracyPct]] &lt; 0.98, "Y", "N")</f>
        <v>Y</v>
      </c>
    </row>
    <row r="102" spans="1:9">
      <c r="A102" s="2">
        <v>355</v>
      </c>
      <c r="B102" s="2">
        <v>6</v>
      </c>
      <c r="C102" s="2" t="str">
        <f>_xlfn.XLOOKUP(tbl_kpi[[#This Row],[LocationID]], tbl_location[LocationID], tbl_location[LocationName], "UNMAPPED_LOCATION")</f>
        <v>Miscellaneous Storage</v>
      </c>
      <c r="D102" s="2">
        <v>257</v>
      </c>
      <c r="E102" s="2">
        <v>253</v>
      </c>
      <c r="F102" s="2">
        <f>tbl_kpi[[#This Row],[OnHandQty]]</f>
        <v>257</v>
      </c>
      <c r="G102" s="2">
        <f>tbl_kpi[[#This Row],[CountedQty]]-tbl_kpi[[#This Row],[ExpectedQty]]</f>
        <v>-4</v>
      </c>
      <c r="H102" s="2">
        <f>IF(tbl_kpi[[#This Row],[ExpectedQty]]=0, 1, MAX(0, 1 - ABS(tbl_kpi[[#This Row],[VarianceQty]]) / tbl_kpi[[#This Row],[ExpectedQty]]))</f>
        <v>0.98443579766536971</v>
      </c>
      <c r="I102" s="2" t="str">
        <f>IF(tbl_kpi[[#This Row],[AccuracyPct]] &lt; 0.98, "Y", "N")</f>
        <v>N</v>
      </c>
    </row>
    <row r="103" spans="1:9">
      <c r="A103" s="2">
        <v>355</v>
      </c>
      <c r="B103" s="2">
        <v>50</v>
      </c>
      <c r="C103" s="2" t="str">
        <f>_xlfn.XLOOKUP(tbl_kpi[[#This Row],[LocationID]], tbl_location[LocationID], tbl_location[LocationName], "UNMAPPED_LOCATION")</f>
        <v>Subassembly</v>
      </c>
      <c r="D103" s="2">
        <v>289</v>
      </c>
      <c r="E103" s="2">
        <v>293</v>
      </c>
      <c r="F103" s="2">
        <f>tbl_kpi[[#This Row],[OnHandQty]]</f>
        <v>289</v>
      </c>
      <c r="G103" s="2">
        <f>tbl_kpi[[#This Row],[CountedQty]]-tbl_kpi[[#This Row],[ExpectedQty]]</f>
        <v>4</v>
      </c>
      <c r="H103" s="2">
        <f>IF(tbl_kpi[[#This Row],[ExpectedQty]]=0, 1, MAX(0, 1 - ABS(tbl_kpi[[#This Row],[VarianceQty]]) / tbl_kpi[[#This Row],[ExpectedQty]]))</f>
        <v>0.98615916955017302</v>
      </c>
      <c r="I103" s="2" t="str">
        <f>IF(tbl_kpi[[#This Row],[AccuracyPct]] &lt; 0.98, "Y", "N")</f>
        <v>N</v>
      </c>
    </row>
    <row r="104" spans="1:9">
      <c r="A104" s="2">
        <v>356</v>
      </c>
      <c r="B104" s="2">
        <v>1</v>
      </c>
      <c r="C104" s="2" t="str">
        <f>_xlfn.XLOOKUP(tbl_kpi[[#This Row],[LocationID]], tbl_location[LocationID], tbl_location[LocationName], "UNMAPPED_LOCATION")</f>
        <v>Tool Crib</v>
      </c>
      <c r="D104" s="2">
        <v>262</v>
      </c>
      <c r="E104" s="2">
        <v>262</v>
      </c>
      <c r="F104" s="2">
        <f>tbl_kpi[[#This Row],[OnHandQty]]</f>
        <v>262</v>
      </c>
      <c r="G104" s="2">
        <f>tbl_kpi[[#This Row],[CountedQty]]-tbl_kpi[[#This Row],[ExpectedQty]]</f>
        <v>0</v>
      </c>
      <c r="H104" s="2">
        <f>IF(tbl_kpi[[#This Row],[ExpectedQty]]=0, 1, MAX(0, 1 - ABS(tbl_kpi[[#This Row],[VarianceQty]]) / tbl_kpi[[#This Row],[ExpectedQty]]))</f>
        <v>1</v>
      </c>
      <c r="I104" s="2" t="str">
        <f>IF(tbl_kpi[[#This Row],[AccuracyPct]] &lt; 0.98, "Y", "N")</f>
        <v>N</v>
      </c>
    </row>
    <row r="105" spans="1:9">
      <c r="A105" s="2">
        <v>356</v>
      </c>
      <c r="B105" s="2">
        <v>6</v>
      </c>
      <c r="C105" s="2" t="str">
        <f>_xlfn.XLOOKUP(tbl_kpi[[#This Row],[LocationID]], tbl_location[LocationID], tbl_location[LocationName], "UNMAPPED_LOCATION")</f>
        <v>Miscellaneous Storage</v>
      </c>
      <c r="D105" s="2">
        <v>243</v>
      </c>
      <c r="E105" s="2">
        <v>238</v>
      </c>
      <c r="F105" s="2">
        <f>tbl_kpi[[#This Row],[OnHandQty]]</f>
        <v>243</v>
      </c>
      <c r="G105" s="2">
        <f>tbl_kpi[[#This Row],[CountedQty]]-tbl_kpi[[#This Row],[ExpectedQty]]</f>
        <v>-5</v>
      </c>
      <c r="H105" s="2">
        <f>IF(tbl_kpi[[#This Row],[ExpectedQty]]=0, 1, MAX(0, 1 - ABS(tbl_kpi[[#This Row],[VarianceQty]]) / tbl_kpi[[#This Row],[ExpectedQty]]))</f>
        <v>0.97942386831275718</v>
      </c>
      <c r="I105" s="2" t="str">
        <f>IF(tbl_kpi[[#This Row],[AccuracyPct]] &lt; 0.98, "Y", "N")</f>
        <v>Y</v>
      </c>
    </row>
    <row r="106" spans="1:9">
      <c r="A106" s="2">
        <v>356</v>
      </c>
      <c r="B106" s="2">
        <v>50</v>
      </c>
      <c r="C106" s="2" t="str">
        <f>_xlfn.XLOOKUP(tbl_kpi[[#This Row],[LocationID]], tbl_location[LocationID], tbl_location[LocationName], "UNMAPPED_LOCATION")</f>
        <v>Subassembly</v>
      </c>
      <c r="D106" s="2">
        <v>275</v>
      </c>
      <c r="E106" s="2">
        <v>283</v>
      </c>
      <c r="F106" s="2">
        <f>tbl_kpi[[#This Row],[OnHandQty]]</f>
        <v>275</v>
      </c>
      <c r="G106" s="2">
        <f>tbl_kpi[[#This Row],[CountedQty]]-tbl_kpi[[#This Row],[ExpectedQty]]</f>
        <v>8</v>
      </c>
      <c r="H106" s="2">
        <f>IF(tbl_kpi[[#This Row],[ExpectedQty]]=0, 1, MAX(0, 1 - ABS(tbl_kpi[[#This Row],[VarianceQty]]) / tbl_kpi[[#This Row],[ExpectedQty]]))</f>
        <v>0.97090909090909094</v>
      </c>
      <c r="I106" s="2" t="str">
        <f>IF(tbl_kpi[[#This Row],[AccuracyPct]] &lt; 0.98, "Y", "N")</f>
        <v>Y</v>
      </c>
    </row>
    <row r="107" spans="1:9">
      <c r="A107" s="2">
        <v>357</v>
      </c>
      <c r="B107" s="2">
        <v>1</v>
      </c>
      <c r="C107" s="2" t="str">
        <f>_xlfn.XLOOKUP(tbl_kpi[[#This Row],[LocationID]], tbl_location[LocationID], tbl_location[LocationName], "UNMAPPED_LOCATION")</f>
        <v>Tool Crib</v>
      </c>
      <c r="D107" s="2">
        <v>248</v>
      </c>
      <c r="E107" s="2">
        <v>253</v>
      </c>
      <c r="F107" s="2">
        <f>tbl_kpi[[#This Row],[OnHandQty]]</f>
        <v>248</v>
      </c>
      <c r="G107" s="2">
        <f>tbl_kpi[[#This Row],[CountedQty]]-tbl_kpi[[#This Row],[ExpectedQty]]</f>
        <v>5</v>
      </c>
      <c r="H107" s="2">
        <f>IF(tbl_kpi[[#This Row],[ExpectedQty]]=0, 1, MAX(0, 1 - ABS(tbl_kpi[[#This Row],[VarianceQty]]) / tbl_kpi[[#This Row],[ExpectedQty]]))</f>
        <v>0.97983870967741937</v>
      </c>
      <c r="I107" s="2" t="str">
        <f>IF(tbl_kpi[[#This Row],[AccuracyPct]] &lt; 0.98, "Y", "N")</f>
        <v>Y</v>
      </c>
    </row>
    <row r="108" spans="1:9">
      <c r="A108" s="2">
        <v>357</v>
      </c>
      <c r="B108" s="2">
        <v>6</v>
      </c>
      <c r="C108" s="2" t="str">
        <f>_xlfn.XLOOKUP(tbl_kpi[[#This Row],[LocationID]], tbl_location[LocationID], tbl_location[LocationName], "UNMAPPED_LOCATION")</f>
        <v>Miscellaneous Storage</v>
      </c>
      <c r="D108" s="2">
        <v>228</v>
      </c>
      <c r="E108" s="2">
        <v>231</v>
      </c>
      <c r="F108" s="2">
        <f>tbl_kpi[[#This Row],[OnHandQty]]</f>
        <v>228</v>
      </c>
      <c r="G108" s="2">
        <f>tbl_kpi[[#This Row],[CountedQty]]-tbl_kpi[[#This Row],[ExpectedQty]]</f>
        <v>3</v>
      </c>
      <c r="H108" s="2">
        <f>IF(tbl_kpi[[#This Row],[ExpectedQty]]=0, 1, MAX(0, 1 - ABS(tbl_kpi[[#This Row],[VarianceQty]]) / tbl_kpi[[#This Row],[ExpectedQty]]))</f>
        <v>0.98684210526315785</v>
      </c>
      <c r="I108" s="2" t="str">
        <f>IF(tbl_kpi[[#This Row],[AccuracyPct]] &lt; 0.98, "Y", "N")</f>
        <v>N</v>
      </c>
    </row>
    <row r="109" spans="1:9">
      <c r="A109" s="2">
        <v>357</v>
      </c>
      <c r="B109" s="2">
        <v>50</v>
      </c>
      <c r="C109" s="2" t="str">
        <f>_xlfn.XLOOKUP(tbl_kpi[[#This Row],[LocationID]], tbl_location[LocationID], tbl_location[LocationName], "UNMAPPED_LOCATION")</f>
        <v>Subassembly</v>
      </c>
      <c r="D109" s="2">
        <v>260</v>
      </c>
      <c r="E109" s="2">
        <v>264</v>
      </c>
      <c r="F109" s="2">
        <f>tbl_kpi[[#This Row],[OnHandQty]]</f>
        <v>260</v>
      </c>
      <c r="G109" s="2">
        <f>tbl_kpi[[#This Row],[CountedQty]]-tbl_kpi[[#This Row],[ExpectedQty]]</f>
        <v>4</v>
      </c>
      <c r="H109" s="2">
        <f>IF(tbl_kpi[[#This Row],[ExpectedQty]]=0, 1, MAX(0, 1 - ABS(tbl_kpi[[#This Row],[VarianceQty]]) / tbl_kpi[[#This Row],[ExpectedQty]]))</f>
        <v>0.98461538461538467</v>
      </c>
      <c r="I109" s="2" t="str">
        <f>IF(tbl_kpi[[#This Row],[AccuracyPct]] &lt; 0.98, "Y", "N")</f>
        <v>N</v>
      </c>
    </row>
    <row r="110" spans="1:9">
      <c r="A110" s="2">
        <v>358</v>
      </c>
      <c r="B110" s="2">
        <v>1</v>
      </c>
      <c r="C110" s="2" t="str">
        <f>_xlfn.XLOOKUP(tbl_kpi[[#This Row],[LocationID]], tbl_location[LocationID], tbl_location[LocationName], "UNMAPPED_LOCATION")</f>
        <v>Tool Crib</v>
      </c>
      <c r="D110" s="2">
        <v>233</v>
      </c>
      <c r="E110" s="2">
        <v>227</v>
      </c>
      <c r="F110" s="2">
        <f>tbl_kpi[[#This Row],[OnHandQty]]</f>
        <v>233</v>
      </c>
      <c r="G110" s="2">
        <f>tbl_kpi[[#This Row],[CountedQty]]-tbl_kpi[[#This Row],[ExpectedQty]]</f>
        <v>-6</v>
      </c>
      <c r="H110" s="2">
        <f>IF(tbl_kpi[[#This Row],[ExpectedQty]]=0, 1, MAX(0, 1 - ABS(tbl_kpi[[#This Row],[VarianceQty]]) / tbl_kpi[[#This Row],[ExpectedQty]]))</f>
        <v>0.97424892703862664</v>
      </c>
      <c r="I110" s="2" t="str">
        <f>IF(tbl_kpi[[#This Row],[AccuracyPct]] &lt; 0.98, "Y", "N")</f>
        <v>Y</v>
      </c>
    </row>
    <row r="111" spans="1:9">
      <c r="A111" s="2">
        <v>358</v>
      </c>
      <c r="B111" s="2">
        <v>6</v>
      </c>
      <c r="C111" s="2" t="str">
        <f>_xlfn.XLOOKUP(tbl_kpi[[#This Row],[LocationID]], tbl_location[LocationID], tbl_location[LocationName], "UNMAPPED_LOCATION")</f>
        <v>Miscellaneous Storage</v>
      </c>
      <c r="D111" s="2">
        <v>214</v>
      </c>
      <c r="E111" s="2">
        <v>215</v>
      </c>
      <c r="F111" s="2">
        <f>tbl_kpi[[#This Row],[OnHandQty]]</f>
        <v>214</v>
      </c>
      <c r="G111" s="2">
        <f>tbl_kpi[[#This Row],[CountedQty]]-tbl_kpi[[#This Row],[ExpectedQty]]</f>
        <v>1</v>
      </c>
      <c r="H111" s="2">
        <f>IF(tbl_kpi[[#This Row],[ExpectedQty]]=0, 1, MAX(0, 1 - ABS(tbl_kpi[[#This Row],[VarianceQty]]) / tbl_kpi[[#This Row],[ExpectedQty]]))</f>
        <v>0.99532710280373837</v>
      </c>
      <c r="I111" s="2" t="str">
        <f>IF(tbl_kpi[[#This Row],[AccuracyPct]] &lt; 0.98, "Y", "N")</f>
        <v>N</v>
      </c>
    </row>
    <row r="112" spans="1:9">
      <c r="A112" s="2">
        <v>358</v>
      </c>
      <c r="B112" s="2">
        <v>50</v>
      </c>
      <c r="C112" s="2" t="str">
        <f>_xlfn.XLOOKUP(tbl_kpi[[#This Row],[LocationID]], tbl_location[LocationID], tbl_location[LocationName], "UNMAPPED_LOCATION")</f>
        <v>Subassembly</v>
      </c>
      <c r="D112" s="2">
        <v>246</v>
      </c>
      <c r="E112" s="2">
        <v>242</v>
      </c>
      <c r="F112" s="2">
        <f>tbl_kpi[[#This Row],[OnHandQty]]</f>
        <v>246</v>
      </c>
      <c r="G112" s="2">
        <f>tbl_kpi[[#This Row],[CountedQty]]-tbl_kpi[[#This Row],[ExpectedQty]]</f>
        <v>-4</v>
      </c>
      <c r="H112" s="2">
        <f>IF(tbl_kpi[[#This Row],[ExpectedQty]]=0, 1, MAX(0, 1 - ABS(tbl_kpi[[#This Row],[VarianceQty]]) / tbl_kpi[[#This Row],[ExpectedQty]]))</f>
        <v>0.98373983739837401</v>
      </c>
      <c r="I112" s="2" t="str">
        <f>IF(tbl_kpi[[#This Row],[AccuracyPct]] &lt; 0.98, "Y", "N")</f>
        <v>N</v>
      </c>
    </row>
    <row r="113" spans="1:9">
      <c r="A113" s="2">
        <v>359</v>
      </c>
      <c r="B113" s="2">
        <v>1</v>
      </c>
      <c r="C113" s="2" t="str">
        <f>_xlfn.XLOOKUP(tbl_kpi[[#This Row],[LocationID]], tbl_location[LocationID], tbl_location[LocationName], "UNMAPPED_LOCATION")</f>
        <v>Tool Crib</v>
      </c>
      <c r="D113" s="2">
        <v>369</v>
      </c>
      <c r="E113" s="2">
        <v>372</v>
      </c>
      <c r="F113" s="2">
        <f>tbl_kpi[[#This Row],[OnHandQty]]</f>
        <v>369</v>
      </c>
      <c r="G113" s="2">
        <f>tbl_kpi[[#This Row],[CountedQty]]-tbl_kpi[[#This Row],[ExpectedQty]]</f>
        <v>3</v>
      </c>
      <c r="H113" s="2">
        <f>IF(tbl_kpi[[#This Row],[ExpectedQty]]=0, 1, MAX(0, 1 - ABS(tbl_kpi[[#This Row],[VarianceQty]]) / tbl_kpi[[#This Row],[ExpectedQty]]))</f>
        <v>0.99186991869918695</v>
      </c>
      <c r="I113" s="2" t="str">
        <f>IF(tbl_kpi[[#This Row],[AccuracyPct]] &lt; 0.98, "Y", "N")</f>
        <v>N</v>
      </c>
    </row>
    <row r="114" spans="1:9">
      <c r="A114" s="2">
        <v>359</v>
      </c>
      <c r="B114" s="2">
        <v>6</v>
      </c>
      <c r="C114" s="2" t="str">
        <f>_xlfn.XLOOKUP(tbl_kpi[[#This Row],[LocationID]], tbl_location[LocationID], tbl_location[LocationName], "UNMAPPED_LOCATION")</f>
        <v>Miscellaneous Storage</v>
      </c>
      <c r="D114" s="2">
        <v>360</v>
      </c>
      <c r="E114" s="2">
        <v>350</v>
      </c>
      <c r="F114" s="2">
        <f>tbl_kpi[[#This Row],[OnHandQty]]</f>
        <v>360</v>
      </c>
      <c r="G114" s="2">
        <f>tbl_kpi[[#This Row],[CountedQty]]-tbl_kpi[[#This Row],[ExpectedQty]]</f>
        <v>-10</v>
      </c>
      <c r="H114" s="2">
        <f>IF(tbl_kpi[[#This Row],[ExpectedQty]]=0, 1, MAX(0, 1 - ABS(tbl_kpi[[#This Row],[VarianceQty]]) / tbl_kpi[[#This Row],[ExpectedQty]]))</f>
        <v>0.97222222222222221</v>
      </c>
      <c r="I114" s="2" t="str">
        <f>IF(tbl_kpi[[#This Row],[AccuracyPct]] &lt; 0.98, "Y", "N")</f>
        <v>Y</v>
      </c>
    </row>
    <row r="115" spans="1:9">
      <c r="A115" s="2">
        <v>359</v>
      </c>
      <c r="B115" s="2">
        <v>50</v>
      </c>
      <c r="C115" s="2" t="str">
        <f>_xlfn.XLOOKUP(tbl_kpi[[#This Row],[LocationID]], tbl_location[LocationID], tbl_location[LocationName], "UNMAPPED_LOCATION")</f>
        <v>Subassembly</v>
      </c>
      <c r="D115" s="2">
        <v>374</v>
      </c>
      <c r="E115" s="2">
        <v>378</v>
      </c>
      <c r="F115" s="2">
        <f>tbl_kpi[[#This Row],[OnHandQty]]</f>
        <v>374</v>
      </c>
      <c r="G115" s="2">
        <f>tbl_kpi[[#This Row],[CountedQty]]-tbl_kpi[[#This Row],[ExpectedQty]]</f>
        <v>4</v>
      </c>
      <c r="H115" s="2">
        <f>IF(tbl_kpi[[#This Row],[ExpectedQty]]=0, 1, MAX(0, 1 - ABS(tbl_kpi[[#This Row],[VarianceQty]]) / tbl_kpi[[#This Row],[ExpectedQty]]))</f>
        <v>0.98930481283422456</v>
      </c>
      <c r="I115" s="2" t="str">
        <f>IF(tbl_kpi[[#This Row],[AccuracyPct]] &lt; 0.98, "Y", "N")</f>
        <v>N</v>
      </c>
    </row>
    <row r="116" spans="1:9">
      <c r="A116" s="2">
        <v>360</v>
      </c>
      <c r="B116" s="2">
        <v>1</v>
      </c>
      <c r="C116" s="2" t="str">
        <f>_xlfn.XLOOKUP(tbl_kpi[[#This Row],[LocationID]], tbl_location[LocationID], tbl_location[LocationName], "UNMAPPED_LOCATION")</f>
        <v>Tool Crib</v>
      </c>
      <c r="D116" s="2">
        <v>363</v>
      </c>
      <c r="E116" s="2">
        <v>356</v>
      </c>
      <c r="F116" s="2">
        <f>tbl_kpi[[#This Row],[OnHandQty]]</f>
        <v>363</v>
      </c>
      <c r="G116" s="2">
        <f>tbl_kpi[[#This Row],[CountedQty]]-tbl_kpi[[#This Row],[ExpectedQty]]</f>
        <v>-7</v>
      </c>
      <c r="H116" s="2">
        <f>IF(tbl_kpi[[#This Row],[ExpectedQty]]=0, 1, MAX(0, 1 - ABS(tbl_kpi[[#This Row],[VarianceQty]]) / tbl_kpi[[#This Row],[ExpectedQty]]))</f>
        <v>0.9807162534435262</v>
      </c>
      <c r="I116" s="2" t="str">
        <f>IF(tbl_kpi[[#This Row],[AccuracyPct]] &lt; 0.98, "Y", "N")</f>
        <v>N</v>
      </c>
    </row>
    <row r="117" spans="1:9">
      <c r="A117" s="2">
        <v>360</v>
      </c>
      <c r="B117" s="2">
        <v>6</v>
      </c>
      <c r="C117" s="2" t="str">
        <f>_xlfn.XLOOKUP(tbl_kpi[[#This Row],[LocationID]], tbl_location[LocationID], tbl_location[LocationName], "UNMAPPED_LOCATION")</f>
        <v>Miscellaneous Storage</v>
      </c>
      <c r="D117" s="2">
        <v>353</v>
      </c>
      <c r="E117" s="2">
        <v>350</v>
      </c>
      <c r="F117" s="2">
        <f>tbl_kpi[[#This Row],[OnHandQty]]</f>
        <v>353</v>
      </c>
      <c r="G117" s="2">
        <f>tbl_kpi[[#This Row],[CountedQty]]-tbl_kpi[[#This Row],[ExpectedQty]]</f>
        <v>-3</v>
      </c>
      <c r="H117" s="2">
        <f>IF(tbl_kpi[[#This Row],[ExpectedQty]]=0, 1, MAX(0, 1 - ABS(tbl_kpi[[#This Row],[VarianceQty]]) / tbl_kpi[[#This Row],[ExpectedQty]]))</f>
        <v>0.99150141643059486</v>
      </c>
      <c r="I117" s="2" t="str">
        <f>IF(tbl_kpi[[#This Row],[AccuracyPct]] &lt; 0.98, "Y", "N")</f>
        <v>N</v>
      </c>
    </row>
    <row r="118" spans="1:9">
      <c r="A118" s="2">
        <v>360</v>
      </c>
      <c r="B118" s="2">
        <v>50</v>
      </c>
      <c r="C118" s="2" t="str">
        <f>_xlfn.XLOOKUP(tbl_kpi[[#This Row],[LocationID]], tbl_location[LocationID], tbl_location[LocationName], "UNMAPPED_LOCATION")</f>
        <v>Subassembly</v>
      </c>
      <c r="D118" s="2">
        <v>368</v>
      </c>
      <c r="E118" s="2">
        <v>362</v>
      </c>
      <c r="F118" s="2">
        <f>tbl_kpi[[#This Row],[OnHandQty]]</f>
        <v>368</v>
      </c>
      <c r="G118" s="2">
        <f>tbl_kpi[[#This Row],[CountedQty]]-tbl_kpi[[#This Row],[ExpectedQty]]</f>
        <v>-6</v>
      </c>
      <c r="H118" s="2">
        <f>IF(tbl_kpi[[#This Row],[ExpectedQty]]=0, 1, MAX(0, 1 - ABS(tbl_kpi[[#This Row],[VarianceQty]]) / tbl_kpi[[#This Row],[ExpectedQty]]))</f>
        <v>0.98369565217391308</v>
      </c>
      <c r="I118" s="2" t="str">
        <f>IF(tbl_kpi[[#This Row],[AccuracyPct]] &lt; 0.98, "Y", "N")</f>
        <v>N</v>
      </c>
    </row>
    <row r="119" spans="1:9">
      <c r="A119" s="2">
        <v>361</v>
      </c>
      <c r="B119" s="2">
        <v>1</v>
      </c>
      <c r="C119" s="2" t="str">
        <f>_xlfn.XLOOKUP(tbl_kpi[[#This Row],[LocationID]], tbl_location[LocationID], tbl_location[LocationName], "UNMAPPED_LOCATION")</f>
        <v>Tool Crib</v>
      </c>
      <c r="D119" s="2">
        <v>499</v>
      </c>
      <c r="E119" s="2">
        <v>511</v>
      </c>
      <c r="F119" s="2">
        <f>tbl_kpi[[#This Row],[OnHandQty]]</f>
        <v>499</v>
      </c>
      <c r="G119" s="2">
        <f>tbl_kpi[[#This Row],[CountedQty]]-tbl_kpi[[#This Row],[ExpectedQty]]</f>
        <v>12</v>
      </c>
      <c r="H119" s="2">
        <f>IF(tbl_kpi[[#This Row],[ExpectedQty]]=0, 1, MAX(0, 1 - ABS(tbl_kpi[[#This Row],[VarianceQty]]) / tbl_kpi[[#This Row],[ExpectedQty]]))</f>
        <v>0.97595190380761521</v>
      </c>
      <c r="I119" s="2" t="str">
        <f>IF(tbl_kpi[[#This Row],[AccuracyPct]] &lt; 0.98, "Y", "N")</f>
        <v>Y</v>
      </c>
    </row>
    <row r="120" spans="1:9">
      <c r="A120" s="2">
        <v>361</v>
      </c>
      <c r="B120" s="2">
        <v>6</v>
      </c>
      <c r="C120" s="2" t="str">
        <f>_xlfn.XLOOKUP(tbl_kpi[[#This Row],[LocationID]], tbl_location[LocationID], tbl_location[LocationName], "UNMAPPED_LOCATION")</f>
        <v>Miscellaneous Storage</v>
      </c>
      <c r="D120" s="2">
        <v>601</v>
      </c>
      <c r="E120" s="2">
        <v>614</v>
      </c>
      <c r="F120" s="2">
        <f>tbl_kpi[[#This Row],[OnHandQty]]</f>
        <v>601</v>
      </c>
      <c r="G120" s="2">
        <f>tbl_kpi[[#This Row],[CountedQty]]-tbl_kpi[[#This Row],[ExpectedQty]]</f>
        <v>13</v>
      </c>
      <c r="H120" s="2">
        <f>IF(tbl_kpi[[#This Row],[ExpectedQty]]=0, 1, MAX(0, 1 - ABS(tbl_kpi[[#This Row],[VarianceQty]]) / tbl_kpi[[#This Row],[ExpectedQty]]))</f>
        <v>0.97836938435940102</v>
      </c>
      <c r="I120" s="2" t="str">
        <f>IF(tbl_kpi[[#This Row],[AccuracyPct]] &lt; 0.98, "Y", "N")</f>
        <v>Y</v>
      </c>
    </row>
    <row r="121" spans="1:9">
      <c r="A121" s="2">
        <v>361</v>
      </c>
      <c r="B121" s="2">
        <v>50</v>
      </c>
      <c r="C121" s="2" t="str">
        <f>_xlfn.XLOOKUP(tbl_kpi[[#This Row],[LocationID]], tbl_location[LocationID], tbl_location[LocationName], "UNMAPPED_LOCATION")</f>
        <v>Subassembly</v>
      </c>
      <c r="D121" s="2">
        <v>531</v>
      </c>
      <c r="E121" s="2">
        <v>542</v>
      </c>
      <c r="F121" s="2">
        <f>tbl_kpi[[#This Row],[OnHandQty]]</f>
        <v>531</v>
      </c>
      <c r="G121" s="2">
        <f>tbl_kpi[[#This Row],[CountedQty]]-tbl_kpi[[#This Row],[ExpectedQty]]</f>
        <v>11</v>
      </c>
      <c r="H121" s="2">
        <f>IF(tbl_kpi[[#This Row],[ExpectedQty]]=0, 1, MAX(0, 1 - ABS(tbl_kpi[[#This Row],[VarianceQty]]) / tbl_kpi[[#This Row],[ExpectedQty]]))</f>
        <v>0.9792843691148776</v>
      </c>
      <c r="I121" s="2" t="str">
        <f>IF(tbl_kpi[[#This Row],[AccuracyPct]] &lt; 0.98, "Y", "N")</f>
        <v>Y</v>
      </c>
    </row>
    <row r="122" spans="1:9">
      <c r="A122" s="2">
        <v>362</v>
      </c>
      <c r="B122" s="2">
        <v>1</v>
      </c>
      <c r="C122" s="2" t="str">
        <f>_xlfn.XLOOKUP(tbl_kpi[[#This Row],[LocationID]], tbl_location[LocationID], tbl_location[LocationName], "UNMAPPED_LOCATION")</f>
        <v>Tool Crib</v>
      </c>
      <c r="D122" s="2">
        <v>377</v>
      </c>
      <c r="E122" s="2">
        <v>380</v>
      </c>
      <c r="F122" s="2">
        <f>tbl_kpi[[#This Row],[OnHandQty]]</f>
        <v>377</v>
      </c>
      <c r="G122" s="2">
        <f>tbl_kpi[[#This Row],[CountedQty]]-tbl_kpi[[#This Row],[ExpectedQty]]</f>
        <v>3</v>
      </c>
      <c r="H122" s="2">
        <f>IF(tbl_kpi[[#This Row],[ExpectedQty]]=0, 1, MAX(0, 1 - ABS(tbl_kpi[[#This Row],[VarianceQty]]) / tbl_kpi[[#This Row],[ExpectedQty]]))</f>
        <v>0.99204244031830235</v>
      </c>
      <c r="I122" s="2" t="str">
        <f>IF(tbl_kpi[[#This Row],[AccuracyPct]] &lt; 0.98, "Y", "N")</f>
        <v>N</v>
      </c>
    </row>
    <row r="123" spans="1:9">
      <c r="A123" s="2">
        <v>362</v>
      </c>
      <c r="B123" s="2">
        <v>6</v>
      </c>
      <c r="C123" s="2" t="str">
        <f>_xlfn.XLOOKUP(tbl_kpi[[#This Row],[LocationID]], tbl_location[LocationID], tbl_location[LocationName], "UNMAPPED_LOCATION")</f>
        <v>Miscellaneous Storage</v>
      </c>
      <c r="D123" s="2">
        <v>315</v>
      </c>
      <c r="E123" s="2">
        <v>321</v>
      </c>
      <c r="F123" s="2">
        <f>tbl_kpi[[#This Row],[OnHandQty]]</f>
        <v>315</v>
      </c>
      <c r="G123" s="2">
        <f>tbl_kpi[[#This Row],[CountedQty]]-tbl_kpi[[#This Row],[ExpectedQty]]</f>
        <v>6</v>
      </c>
      <c r="H123" s="2">
        <f>IF(tbl_kpi[[#This Row],[ExpectedQty]]=0, 1, MAX(0, 1 - ABS(tbl_kpi[[#This Row],[VarianceQty]]) / tbl_kpi[[#This Row],[ExpectedQty]]))</f>
        <v>0.98095238095238091</v>
      </c>
      <c r="I123" s="2" t="str">
        <f>IF(tbl_kpi[[#This Row],[AccuracyPct]] &lt; 0.98, "Y", "N")</f>
        <v>N</v>
      </c>
    </row>
    <row r="124" spans="1:9">
      <c r="A124" s="2">
        <v>362</v>
      </c>
      <c r="B124" s="2">
        <v>50</v>
      </c>
      <c r="C124" s="2" t="str">
        <f>_xlfn.XLOOKUP(tbl_kpi[[#This Row],[LocationID]], tbl_location[LocationID], tbl_location[LocationName], "UNMAPPED_LOCATION")</f>
        <v>Subassembly</v>
      </c>
      <c r="D124" s="2">
        <v>334</v>
      </c>
      <c r="E124" s="2">
        <v>338</v>
      </c>
      <c r="F124" s="2">
        <f>tbl_kpi[[#This Row],[OnHandQty]]</f>
        <v>334</v>
      </c>
      <c r="G124" s="2">
        <f>tbl_kpi[[#This Row],[CountedQty]]-tbl_kpi[[#This Row],[ExpectedQty]]</f>
        <v>4</v>
      </c>
      <c r="H124" s="2">
        <f>IF(tbl_kpi[[#This Row],[ExpectedQty]]=0, 1, MAX(0, 1 - ABS(tbl_kpi[[#This Row],[VarianceQty]]) / tbl_kpi[[#This Row],[ExpectedQty]]))</f>
        <v>0.9880239520958084</v>
      </c>
      <c r="I124" s="2" t="str">
        <f>IF(tbl_kpi[[#This Row],[AccuracyPct]] &lt; 0.98, "Y", "N")</f>
        <v>N</v>
      </c>
    </row>
    <row r="125" spans="1:9">
      <c r="A125" s="2">
        <v>363</v>
      </c>
      <c r="B125" s="2">
        <v>1</v>
      </c>
      <c r="C125" s="2" t="str">
        <f>_xlfn.XLOOKUP(tbl_kpi[[#This Row],[LocationID]], tbl_location[LocationID], tbl_location[LocationName], "UNMAPPED_LOCATION")</f>
        <v>Tool Crib</v>
      </c>
      <c r="D125" s="2">
        <v>499</v>
      </c>
      <c r="E125" s="2">
        <v>511</v>
      </c>
      <c r="F125" s="2">
        <f>tbl_kpi[[#This Row],[OnHandQty]]</f>
        <v>499</v>
      </c>
      <c r="G125" s="2">
        <f>tbl_kpi[[#This Row],[CountedQty]]-tbl_kpi[[#This Row],[ExpectedQty]]</f>
        <v>12</v>
      </c>
      <c r="H125" s="2">
        <f>IF(tbl_kpi[[#This Row],[ExpectedQty]]=0, 1, MAX(0, 1 - ABS(tbl_kpi[[#This Row],[VarianceQty]]) / tbl_kpi[[#This Row],[ExpectedQty]]))</f>
        <v>0.97595190380761521</v>
      </c>
      <c r="I125" s="2" t="str">
        <f>IF(tbl_kpi[[#This Row],[AccuracyPct]] &lt; 0.98, "Y", "N")</f>
        <v>Y</v>
      </c>
    </row>
    <row r="126" spans="1:9">
      <c r="A126" s="2">
        <v>363</v>
      </c>
      <c r="B126" s="2">
        <v>6</v>
      </c>
      <c r="C126" s="2" t="str">
        <f>_xlfn.XLOOKUP(tbl_kpi[[#This Row],[LocationID]], tbl_location[LocationID], tbl_location[LocationName], "UNMAPPED_LOCATION")</f>
        <v>Miscellaneous Storage</v>
      </c>
      <c r="D126" s="2">
        <v>643</v>
      </c>
      <c r="E126" s="2">
        <v>626</v>
      </c>
      <c r="F126" s="2">
        <f>tbl_kpi[[#This Row],[OnHandQty]]</f>
        <v>643</v>
      </c>
      <c r="G126" s="2">
        <f>tbl_kpi[[#This Row],[CountedQty]]-tbl_kpi[[#This Row],[ExpectedQty]]</f>
        <v>-17</v>
      </c>
      <c r="H126" s="2">
        <f>IF(tbl_kpi[[#This Row],[ExpectedQty]]=0, 1, MAX(0, 1 - ABS(tbl_kpi[[#This Row],[VarianceQty]]) / tbl_kpi[[#This Row],[ExpectedQty]]))</f>
        <v>0.97356143079315705</v>
      </c>
      <c r="I126" s="2" t="str">
        <f>IF(tbl_kpi[[#This Row],[AccuracyPct]] &lt; 0.98, "Y", "N")</f>
        <v>Y</v>
      </c>
    </row>
    <row r="127" spans="1:9">
      <c r="A127" s="2">
        <v>363</v>
      </c>
      <c r="B127" s="2">
        <v>50</v>
      </c>
      <c r="C127" s="2" t="str">
        <f>_xlfn.XLOOKUP(tbl_kpi[[#This Row],[LocationID]], tbl_location[LocationID], tbl_location[LocationName], "UNMAPPED_LOCATION")</f>
        <v>Subassembly</v>
      </c>
      <c r="D127" s="2">
        <v>619</v>
      </c>
      <c r="E127" s="2">
        <v>636</v>
      </c>
      <c r="F127" s="2">
        <f>tbl_kpi[[#This Row],[OnHandQty]]</f>
        <v>619</v>
      </c>
      <c r="G127" s="2">
        <f>tbl_kpi[[#This Row],[CountedQty]]-tbl_kpi[[#This Row],[ExpectedQty]]</f>
        <v>17</v>
      </c>
      <c r="H127" s="2">
        <f>IF(tbl_kpi[[#This Row],[ExpectedQty]]=0, 1, MAX(0, 1 - ABS(tbl_kpi[[#This Row],[VarianceQty]]) / tbl_kpi[[#This Row],[ExpectedQty]]))</f>
        <v>0.97253634894991925</v>
      </c>
      <c r="I127" s="2" t="str">
        <f>IF(tbl_kpi[[#This Row],[AccuracyPct]] &lt; 0.98, "Y", "N")</f>
        <v>Y</v>
      </c>
    </row>
    <row r="128" spans="1:9">
      <c r="A128" s="2">
        <v>364</v>
      </c>
      <c r="B128" s="2">
        <v>1</v>
      </c>
      <c r="C128" s="2" t="str">
        <f>_xlfn.XLOOKUP(tbl_kpi[[#This Row],[LocationID]], tbl_location[LocationID], tbl_location[LocationName], "UNMAPPED_LOCATION")</f>
        <v>Tool Crib</v>
      </c>
      <c r="D128" s="2">
        <v>368</v>
      </c>
      <c r="E128" s="2">
        <v>377</v>
      </c>
      <c r="F128" s="2">
        <f>tbl_kpi[[#This Row],[OnHandQty]]</f>
        <v>368</v>
      </c>
      <c r="G128" s="2">
        <f>tbl_kpi[[#This Row],[CountedQty]]-tbl_kpi[[#This Row],[ExpectedQty]]</f>
        <v>9</v>
      </c>
      <c r="H128" s="2">
        <f>IF(tbl_kpi[[#This Row],[ExpectedQty]]=0, 1, MAX(0, 1 - ABS(tbl_kpi[[#This Row],[VarianceQty]]) / tbl_kpi[[#This Row],[ExpectedQty]]))</f>
        <v>0.97554347826086951</v>
      </c>
      <c r="I128" s="2" t="str">
        <f>IF(tbl_kpi[[#This Row],[AccuracyPct]] &lt; 0.98, "Y", "N")</f>
        <v>Y</v>
      </c>
    </row>
    <row r="129" spans="1:9">
      <c r="A129" s="2">
        <v>364</v>
      </c>
      <c r="B129" s="2">
        <v>6</v>
      </c>
      <c r="C129" s="2" t="str">
        <f>_xlfn.XLOOKUP(tbl_kpi[[#This Row],[LocationID]], tbl_location[LocationID], tbl_location[LocationName], "UNMAPPED_LOCATION")</f>
        <v>Miscellaneous Storage</v>
      </c>
      <c r="D129" s="2">
        <v>358</v>
      </c>
      <c r="E129" s="2">
        <v>363</v>
      </c>
      <c r="F129" s="2">
        <f>tbl_kpi[[#This Row],[OnHandQty]]</f>
        <v>358</v>
      </c>
      <c r="G129" s="2">
        <f>tbl_kpi[[#This Row],[CountedQty]]-tbl_kpi[[#This Row],[ExpectedQty]]</f>
        <v>5</v>
      </c>
      <c r="H129" s="2">
        <f>IF(tbl_kpi[[#This Row],[ExpectedQty]]=0, 1, MAX(0, 1 - ABS(tbl_kpi[[#This Row],[VarianceQty]]) / tbl_kpi[[#This Row],[ExpectedQty]]))</f>
        <v>0.98603351955307261</v>
      </c>
      <c r="I129" s="2" t="str">
        <f>IF(tbl_kpi[[#This Row],[AccuracyPct]] &lt; 0.98, "Y", "N")</f>
        <v>N</v>
      </c>
    </row>
    <row r="130" spans="1:9">
      <c r="A130" s="2">
        <v>364</v>
      </c>
      <c r="B130" s="2">
        <v>50</v>
      </c>
      <c r="C130" s="2" t="str">
        <f>_xlfn.XLOOKUP(tbl_kpi[[#This Row],[LocationID]], tbl_location[LocationID], tbl_location[LocationName], "UNMAPPED_LOCATION")</f>
        <v>Subassembly</v>
      </c>
      <c r="D130" s="2">
        <v>326</v>
      </c>
      <c r="E130" s="2">
        <v>329</v>
      </c>
      <c r="F130" s="2">
        <f>tbl_kpi[[#This Row],[OnHandQty]]</f>
        <v>326</v>
      </c>
      <c r="G130" s="2">
        <f>tbl_kpi[[#This Row],[CountedQty]]-tbl_kpi[[#This Row],[ExpectedQty]]</f>
        <v>3</v>
      </c>
      <c r="H130" s="2">
        <f>IF(tbl_kpi[[#This Row],[ExpectedQty]]=0, 1, MAX(0, 1 - ABS(tbl_kpi[[#This Row],[VarianceQty]]) / tbl_kpi[[#This Row],[ExpectedQty]]))</f>
        <v>0.99079754601226999</v>
      </c>
      <c r="I130" s="2" t="str">
        <f>IF(tbl_kpi[[#This Row],[AccuracyPct]] &lt; 0.98, "Y", "N")</f>
        <v>N</v>
      </c>
    </row>
    <row r="131" spans="1:9">
      <c r="A131" s="2">
        <v>365</v>
      </c>
      <c r="B131" s="2">
        <v>1</v>
      </c>
      <c r="C131" s="2" t="str">
        <f>_xlfn.XLOOKUP(tbl_kpi[[#This Row],[LocationID]], tbl_location[LocationID], tbl_location[LocationName], "UNMAPPED_LOCATION")</f>
        <v>Tool Crib</v>
      </c>
      <c r="D131" s="2">
        <v>411</v>
      </c>
      <c r="E131" s="2">
        <v>406</v>
      </c>
      <c r="F131" s="2">
        <f>tbl_kpi[[#This Row],[OnHandQty]]</f>
        <v>411</v>
      </c>
      <c r="G131" s="2">
        <f>tbl_kpi[[#This Row],[CountedQty]]-tbl_kpi[[#This Row],[ExpectedQty]]</f>
        <v>-5</v>
      </c>
      <c r="H131" s="2">
        <f>IF(tbl_kpi[[#This Row],[ExpectedQty]]=0, 1, MAX(0, 1 - ABS(tbl_kpi[[#This Row],[VarianceQty]]) / tbl_kpi[[#This Row],[ExpectedQty]]))</f>
        <v>0.98783454987834551</v>
      </c>
      <c r="I131" s="2" t="str">
        <f>IF(tbl_kpi[[#This Row],[AccuracyPct]] &lt; 0.98, "Y", "N")</f>
        <v>N</v>
      </c>
    </row>
    <row r="132" spans="1:9">
      <c r="A132" s="2">
        <v>365</v>
      </c>
      <c r="B132" s="2">
        <v>6</v>
      </c>
      <c r="C132" s="2" t="str">
        <f>_xlfn.XLOOKUP(tbl_kpi[[#This Row],[LocationID]], tbl_location[LocationID], tbl_location[LocationName], "UNMAPPED_LOCATION")</f>
        <v>Miscellaneous Storage</v>
      </c>
      <c r="D132" s="2">
        <v>691</v>
      </c>
      <c r="E132" s="2">
        <v>686</v>
      </c>
      <c r="F132" s="2">
        <f>tbl_kpi[[#This Row],[OnHandQty]]</f>
        <v>691</v>
      </c>
      <c r="G132" s="2">
        <f>tbl_kpi[[#This Row],[CountedQty]]-tbl_kpi[[#This Row],[ExpectedQty]]</f>
        <v>-5</v>
      </c>
      <c r="H132" s="2">
        <f>IF(tbl_kpi[[#This Row],[ExpectedQty]]=0, 1, MAX(0, 1 - ABS(tbl_kpi[[#This Row],[VarianceQty]]) / tbl_kpi[[#This Row],[ExpectedQty]]))</f>
        <v>0.99276410998552822</v>
      </c>
      <c r="I132" s="2" t="str">
        <f>IF(tbl_kpi[[#This Row],[AccuracyPct]] &lt; 0.98, "Y", "N")</f>
        <v>N</v>
      </c>
    </row>
    <row r="133" spans="1:9">
      <c r="A133" s="2">
        <v>365</v>
      </c>
      <c r="B133" s="2">
        <v>50</v>
      </c>
      <c r="C133" s="2" t="str">
        <f>_xlfn.XLOOKUP(tbl_kpi[[#This Row],[LocationID]], tbl_location[LocationID], tbl_location[LocationName], "UNMAPPED_LOCATION")</f>
        <v>Subassembly</v>
      </c>
      <c r="D133" s="2">
        <v>619</v>
      </c>
      <c r="E133" s="2">
        <v>629</v>
      </c>
      <c r="F133" s="2">
        <f>tbl_kpi[[#This Row],[OnHandQty]]</f>
        <v>619</v>
      </c>
      <c r="G133" s="2">
        <f>tbl_kpi[[#This Row],[CountedQty]]-tbl_kpi[[#This Row],[ExpectedQty]]</f>
        <v>10</v>
      </c>
      <c r="H133" s="2">
        <f>IF(tbl_kpi[[#This Row],[ExpectedQty]]=0, 1, MAX(0, 1 - ABS(tbl_kpi[[#This Row],[VarianceQty]]) / tbl_kpi[[#This Row],[ExpectedQty]]))</f>
        <v>0.98384491114701134</v>
      </c>
      <c r="I133" s="2" t="str">
        <f>IF(tbl_kpi[[#This Row],[AccuracyPct]] &lt; 0.98, "Y", "N")</f>
        <v>N</v>
      </c>
    </row>
    <row r="134" spans="1:9">
      <c r="A134" s="2">
        <v>366</v>
      </c>
      <c r="B134" s="2">
        <v>1</v>
      </c>
      <c r="C134" s="2" t="str">
        <f>_xlfn.XLOOKUP(tbl_kpi[[#This Row],[LocationID]], tbl_location[LocationID], tbl_location[LocationName], "UNMAPPED_LOCATION")</f>
        <v>Tool Crib</v>
      </c>
      <c r="D134" s="2">
        <v>318</v>
      </c>
      <c r="E134" s="2">
        <v>320</v>
      </c>
      <c r="F134" s="2">
        <f>tbl_kpi[[#This Row],[OnHandQty]]</f>
        <v>318</v>
      </c>
      <c r="G134" s="2">
        <f>tbl_kpi[[#This Row],[CountedQty]]-tbl_kpi[[#This Row],[ExpectedQty]]</f>
        <v>2</v>
      </c>
      <c r="H134" s="2">
        <f>IF(tbl_kpi[[#This Row],[ExpectedQty]]=0, 1, MAX(0, 1 - ABS(tbl_kpi[[#This Row],[VarianceQty]]) / tbl_kpi[[#This Row],[ExpectedQty]]))</f>
        <v>0.99371069182389937</v>
      </c>
      <c r="I134" s="2" t="str">
        <f>IF(tbl_kpi[[#This Row],[AccuracyPct]] &lt; 0.98, "Y", "N")</f>
        <v>N</v>
      </c>
    </row>
    <row r="135" spans="1:9">
      <c r="A135" s="2">
        <v>366</v>
      </c>
      <c r="B135" s="2">
        <v>6</v>
      </c>
      <c r="C135" s="2" t="str">
        <f>_xlfn.XLOOKUP(tbl_kpi[[#This Row],[LocationID]], tbl_location[LocationID], tbl_location[LocationName], "UNMAPPED_LOCATION")</f>
        <v>Miscellaneous Storage</v>
      </c>
      <c r="D135" s="2">
        <v>299</v>
      </c>
      <c r="E135" s="2">
        <v>304</v>
      </c>
      <c r="F135" s="2">
        <f>tbl_kpi[[#This Row],[OnHandQty]]</f>
        <v>299</v>
      </c>
      <c r="G135" s="2">
        <f>tbl_kpi[[#This Row],[CountedQty]]-tbl_kpi[[#This Row],[ExpectedQty]]</f>
        <v>5</v>
      </c>
      <c r="H135" s="2">
        <f>IF(tbl_kpi[[#This Row],[ExpectedQty]]=0, 1, MAX(0, 1 - ABS(tbl_kpi[[#This Row],[VarianceQty]]) / tbl_kpi[[#This Row],[ExpectedQty]]))</f>
        <v>0.98327759197324416</v>
      </c>
      <c r="I135" s="2" t="str">
        <f>IF(tbl_kpi[[#This Row],[AccuracyPct]] &lt; 0.98, "Y", "N")</f>
        <v>N</v>
      </c>
    </row>
    <row r="136" spans="1:9">
      <c r="A136" s="2">
        <v>366</v>
      </c>
      <c r="B136" s="2">
        <v>50</v>
      </c>
      <c r="C136" s="2" t="str">
        <f>_xlfn.XLOOKUP(tbl_kpi[[#This Row],[LocationID]], tbl_location[LocationID], tbl_location[LocationName], "UNMAPPED_LOCATION")</f>
        <v>Subassembly</v>
      </c>
      <c r="D136" s="2">
        <v>412</v>
      </c>
      <c r="E136" s="2">
        <v>419</v>
      </c>
      <c r="F136" s="2">
        <f>tbl_kpi[[#This Row],[OnHandQty]]</f>
        <v>412</v>
      </c>
      <c r="G136" s="2">
        <f>tbl_kpi[[#This Row],[CountedQty]]-tbl_kpi[[#This Row],[ExpectedQty]]</f>
        <v>7</v>
      </c>
      <c r="H136" s="2">
        <f>IF(tbl_kpi[[#This Row],[ExpectedQty]]=0, 1, MAX(0, 1 - ABS(tbl_kpi[[#This Row],[VarianceQty]]) / tbl_kpi[[#This Row],[ExpectedQty]]))</f>
        <v>0.98300970873786409</v>
      </c>
      <c r="I136" s="2" t="str">
        <f>IF(tbl_kpi[[#This Row],[AccuracyPct]] &lt; 0.98, "Y", "N")</f>
        <v>N</v>
      </c>
    </row>
    <row r="137" spans="1:9">
      <c r="A137" s="2">
        <v>367</v>
      </c>
      <c r="B137" s="2">
        <v>1</v>
      </c>
      <c r="C137" s="2" t="str">
        <f>_xlfn.XLOOKUP(tbl_kpi[[#This Row],[LocationID]], tbl_location[LocationID], tbl_location[LocationName], "UNMAPPED_LOCATION")</f>
        <v>Tool Crib</v>
      </c>
      <c r="D137" s="2">
        <v>643</v>
      </c>
      <c r="E137" s="2">
        <v>624</v>
      </c>
      <c r="F137" s="2">
        <f>tbl_kpi[[#This Row],[OnHandQty]]</f>
        <v>643</v>
      </c>
      <c r="G137" s="2">
        <f>tbl_kpi[[#This Row],[CountedQty]]-tbl_kpi[[#This Row],[ExpectedQty]]</f>
        <v>-19</v>
      </c>
      <c r="H137" s="2">
        <f>IF(tbl_kpi[[#This Row],[ExpectedQty]]=0, 1, MAX(0, 1 - ABS(tbl_kpi[[#This Row],[VarianceQty]]) / tbl_kpi[[#This Row],[ExpectedQty]]))</f>
        <v>0.97045101088646968</v>
      </c>
      <c r="I137" s="2" t="str">
        <f>IF(tbl_kpi[[#This Row],[AccuracyPct]] &lt; 0.98, "Y", "N")</f>
        <v>Y</v>
      </c>
    </row>
    <row r="138" spans="1:9">
      <c r="A138" s="2">
        <v>367</v>
      </c>
      <c r="B138" s="2">
        <v>6</v>
      </c>
      <c r="C138" s="2" t="str">
        <f>_xlfn.XLOOKUP(tbl_kpi[[#This Row],[LocationID]], tbl_location[LocationID], tbl_location[LocationName], "UNMAPPED_LOCATION")</f>
        <v>Miscellaneous Storage</v>
      </c>
      <c r="D138" s="2">
        <v>689</v>
      </c>
      <c r="E138" s="2">
        <v>695</v>
      </c>
      <c r="F138" s="2">
        <f>tbl_kpi[[#This Row],[OnHandQty]]</f>
        <v>689</v>
      </c>
      <c r="G138" s="2">
        <f>tbl_kpi[[#This Row],[CountedQty]]-tbl_kpi[[#This Row],[ExpectedQty]]</f>
        <v>6</v>
      </c>
      <c r="H138" s="2">
        <f>IF(tbl_kpi[[#This Row],[ExpectedQty]]=0, 1, MAX(0, 1 - ABS(tbl_kpi[[#This Row],[VarianceQty]]) / tbl_kpi[[#This Row],[ExpectedQty]]))</f>
        <v>0.99129172714078373</v>
      </c>
      <c r="I138" s="2" t="str">
        <f>IF(tbl_kpi[[#This Row],[AccuracyPct]] &lt; 0.98, "Y", "N")</f>
        <v>N</v>
      </c>
    </row>
    <row r="139" spans="1:9">
      <c r="A139" s="2">
        <v>367</v>
      </c>
      <c r="B139" s="2">
        <v>50</v>
      </c>
      <c r="C139" s="2" t="str">
        <f>_xlfn.XLOOKUP(tbl_kpi[[#This Row],[LocationID]], tbl_location[LocationID], tbl_location[LocationName], "UNMAPPED_LOCATION")</f>
        <v>Subassembly</v>
      </c>
      <c r="D139" s="2">
        <v>569</v>
      </c>
      <c r="E139" s="2">
        <v>563</v>
      </c>
      <c r="F139" s="2">
        <f>tbl_kpi[[#This Row],[OnHandQty]]</f>
        <v>569</v>
      </c>
      <c r="G139" s="2">
        <f>tbl_kpi[[#This Row],[CountedQty]]-tbl_kpi[[#This Row],[ExpectedQty]]</f>
        <v>-6</v>
      </c>
      <c r="H139" s="2">
        <f>IF(tbl_kpi[[#This Row],[ExpectedQty]]=0, 1, MAX(0, 1 - ABS(tbl_kpi[[#This Row],[VarianceQty]]) / tbl_kpi[[#This Row],[ExpectedQty]]))</f>
        <v>0.98945518453427062</v>
      </c>
      <c r="I139" s="2" t="str">
        <f>IF(tbl_kpi[[#This Row],[AccuracyPct]] &lt; 0.98, "Y", "N")</f>
        <v>N</v>
      </c>
    </row>
    <row r="140" spans="1:9">
      <c r="A140" s="2">
        <v>368</v>
      </c>
      <c r="B140" s="2">
        <v>1</v>
      </c>
      <c r="C140" s="2" t="str">
        <f>_xlfn.XLOOKUP(tbl_kpi[[#This Row],[LocationID]], tbl_location[LocationID], tbl_location[LocationName], "UNMAPPED_LOCATION")</f>
        <v>Tool Crib</v>
      </c>
      <c r="D140" s="2">
        <v>369</v>
      </c>
      <c r="E140" s="2">
        <v>366</v>
      </c>
      <c r="F140" s="2">
        <f>tbl_kpi[[#This Row],[OnHandQty]]</f>
        <v>369</v>
      </c>
      <c r="G140" s="2">
        <f>tbl_kpi[[#This Row],[CountedQty]]-tbl_kpi[[#This Row],[ExpectedQty]]</f>
        <v>-3</v>
      </c>
      <c r="H140" s="2">
        <f>IF(tbl_kpi[[#This Row],[ExpectedQty]]=0, 1, MAX(0, 1 - ABS(tbl_kpi[[#This Row],[VarianceQty]]) / tbl_kpi[[#This Row],[ExpectedQty]]))</f>
        <v>0.99186991869918695</v>
      </c>
      <c r="I140" s="2" t="str">
        <f>IF(tbl_kpi[[#This Row],[AccuracyPct]] &lt; 0.98, "Y", "N")</f>
        <v>N</v>
      </c>
    </row>
    <row r="141" spans="1:9">
      <c r="A141" s="2">
        <v>368</v>
      </c>
      <c r="B141" s="2">
        <v>6</v>
      </c>
      <c r="C141" s="2" t="str">
        <f>_xlfn.XLOOKUP(tbl_kpi[[#This Row],[LocationID]], tbl_location[LocationID], tbl_location[LocationName], "UNMAPPED_LOCATION")</f>
        <v>Miscellaneous Storage</v>
      </c>
      <c r="D141" s="2">
        <v>360</v>
      </c>
      <c r="E141" s="2">
        <v>367</v>
      </c>
      <c r="F141" s="2">
        <f>tbl_kpi[[#This Row],[OnHandQty]]</f>
        <v>360</v>
      </c>
      <c r="G141" s="2">
        <f>tbl_kpi[[#This Row],[CountedQty]]-tbl_kpi[[#This Row],[ExpectedQty]]</f>
        <v>7</v>
      </c>
      <c r="H141" s="2">
        <f>IF(tbl_kpi[[#This Row],[ExpectedQty]]=0, 1, MAX(0, 1 - ABS(tbl_kpi[[#This Row],[VarianceQty]]) / tbl_kpi[[#This Row],[ExpectedQty]]))</f>
        <v>0.98055555555555551</v>
      </c>
      <c r="I141" s="2" t="str">
        <f>IF(tbl_kpi[[#This Row],[AccuracyPct]] &lt; 0.98, "Y", "N")</f>
        <v>N</v>
      </c>
    </row>
    <row r="142" spans="1:9">
      <c r="A142" s="2">
        <v>368</v>
      </c>
      <c r="B142" s="2">
        <v>50</v>
      </c>
      <c r="C142" s="2" t="str">
        <f>_xlfn.XLOOKUP(tbl_kpi[[#This Row],[LocationID]], tbl_location[LocationID], tbl_location[LocationName], "UNMAPPED_LOCATION")</f>
        <v>Subassembly</v>
      </c>
      <c r="D142" s="2">
        <v>374</v>
      </c>
      <c r="E142" s="2">
        <v>373</v>
      </c>
      <c r="F142" s="2">
        <f>tbl_kpi[[#This Row],[OnHandQty]]</f>
        <v>374</v>
      </c>
      <c r="G142" s="2">
        <f>tbl_kpi[[#This Row],[CountedQty]]-tbl_kpi[[#This Row],[ExpectedQty]]</f>
        <v>-1</v>
      </c>
      <c r="H142" s="2">
        <f>IF(tbl_kpi[[#This Row],[ExpectedQty]]=0, 1, MAX(0, 1 - ABS(tbl_kpi[[#This Row],[VarianceQty]]) / tbl_kpi[[#This Row],[ExpectedQty]]))</f>
        <v>0.99732620320855614</v>
      </c>
      <c r="I142" s="2" t="str">
        <f>IF(tbl_kpi[[#This Row],[AccuracyPct]] &lt; 0.98, "Y", "N")</f>
        <v>N</v>
      </c>
    </row>
    <row r="143" spans="1:9">
      <c r="A143" s="2">
        <v>369</v>
      </c>
      <c r="B143" s="2">
        <v>1</v>
      </c>
      <c r="C143" s="2" t="str">
        <f>_xlfn.XLOOKUP(tbl_kpi[[#This Row],[LocationID]], tbl_location[LocationID], tbl_location[LocationName], "UNMAPPED_LOCATION")</f>
        <v>Tool Crib</v>
      </c>
      <c r="D143" s="2">
        <v>363</v>
      </c>
      <c r="E143" s="2">
        <v>373</v>
      </c>
      <c r="F143" s="2">
        <f>tbl_kpi[[#This Row],[OnHandQty]]</f>
        <v>363</v>
      </c>
      <c r="G143" s="2">
        <f>tbl_kpi[[#This Row],[CountedQty]]-tbl_kpi[[#This Row],[ExpectedQty]]</f>
        <v>10</v>
      </c>
      <c r="H143" s="2">
        <f>IF(tbl_kpi[[#This Row],[ExpectedQty]]=0, 1, MAX(0, 1 - ABS(tbl_kpi[[#This Row],[VarianceQty]]) / tbl_kpi[[#This Row],[ExpectedQty]]))</f>
        <v>0.97245179063360876</v>
      </c>
      <c r="I143" s="2" t="str">
        <f>IF(tbl_kpi[[#This Row],[AccuracyPct]] &lt; 0.98, "Y", "N")</f>
        <v>Y</v>
      </c>
    </row>
    <row r="144" spans="1:9">
      <c r="A144" s="2">
        <v>369</v>
      </c>
      <c r="B144" s="2">
        <v>6</v>
      </c>
      <c r="C144" s="2" t="str">
        <f>_xlfn.XLOOKUP(tbl_kpi[[#This Row],[LocationID]], tbl_location[LocationID], tbl_location[LocationName], "UNMAPPED_LOCATION")</f>
        <v>Miscellaneous Storage</v>
      </c>
      <c r="D144" s="2">
        <v>353</v>
      </c>
      <c r="E144" s="2">
        <v>357</v>
      </c>
      <c r="F144" s="2">
        <f>tbl_kpi[[#This Row],[OnHandQty]]</f>
        <v>353</v>
      </c>
      <c r="G144" s="2">
        <f>tbl_kpi[[#This Row],[CountedQty]]-tbl_kpi[[#This Row],[ExpectedQty]]</f>
        <v>4</v>
      </c>
      <c r="H144" s="2">
        <f>IF(tbl_kpi[[#This Row],[ExpectedQty]]=0, 1, MAX(0, 1 - ABS(tbl_kpi[[#This Row],[VarianceQty]]) / tbl_kpi[[#This Row],[ExpectedQty]]))</f>
        <v>0.98866855524079322</v>
      </c>
      <c r="I144" s="2" t="str">
        <f>IF(tbl_kpi[[#This Row],[AccuracyPct]] &lt; 0.98, "Y", "N")</f>
        <v>N</v>
      </c>
    </row>
    <row r="145" spans="1:9">
      <c r="A145" s="2">
        <v>369</v>
      </c>
      <c r="B145" s="2">
        <v>50</v>
      </c>
      <c r="C145" s="2" t="str">
        <f>_xlfn.XLOOKUP(tbl_kpi[[#This Row],[LocationID]], tbl_location[LocationID], tbl_location[LocationName], "UNMAPPED_LOCATION")</f>
        <v>Subassembly</v>
      </c>
      <c r="D145" s="2">
        <v>368</v>
      </c>
      <c r="E145" s="2">
        <v>374</v>
      </c>
      <c r="F145" s="2">
        <f>tbl_kpi[[#This Row],[OnHandQty]]</f>
        <v>368</v>
      </c>
      <c r="G145" s="2">
        <f>tbl_kpi[[#This Row],[CountedQty]]-tbl_kpi[[#This Row],[ExpectedQty]]</f>
        <v>6</v>
      </c>
      <c r="H145" s="2">
        <f>IF(tbl_kpi[[#This Row],[ExpectedQty]]=0, 1, MAX(0, 1 - ABS(tbl_kpi[[#This Row],[VarianceQty]]) / tbl_kpi[[#This Row],[ExpectedQty]]))</f>
        <v>0.98369565217391308</v>
      </c>
      <c r="I145" s="2" t="str">
        <f>IF(tbl_kpi[[#This Row],[AccuracyPct]] &lt; 0.98, "Y", "N")</f>
        <v>N</v>
      </c>
    </row>
    <row r="146" spans="1:9">
      <c r="A146" s="2">
        <v>370</v>
      </c>
      <c r="B146" s="2">
        <v>1</v>
      </c>
      <c r="C146" s="2" t="str">
        <f>_xlfn.XLOOKUP(tbl_kpi[[#This Row],[LocationID]], tbl_location[LocationID], tbl_location[LocationName], "UNMAPPED_LOCATION")</f>
        <v>Tool Crib</v>
      </c>
      <c r="D146" s="2">
        <v>252</v>
      </c>
      <c r="E146" s="2">
        <v>258</v>
      </c>
      <c r="F146" s="2">
        <f>tbl_kpi[[#This Row],[OnHandQty]]</f>
        <v>252</v>
      </c>
      <c r="G146" s="2">
        <f>tbl_kpi[[#This Row],[CountedQty]]-tbl_kpi[[#This Row],[ExpectedQty]]</f>
        <v>6</v>
      </c>
      <c r="H146" s="2">
        <f>IF(tbl_kpi[[#This Row],[ExpectedQty]]=0, 1, MAX(0, 1 - ABS(tbl_kpi[[#This Row],[VarianceQty]]) / tbl_kpi[[#This Row],[ExpectedQty]]))</f>
        <v>0.97619047619047616</v>
      </c>
      <c r="I146" s="2" t="str">
        <f>IF(tbl_kpi[[#This Row],[AccuracyPct]] &lt; 0.98, "Y", "N")</f>
        <v>Y</v>
      </c>
    </row>
    <row r="147" spans="1:9">
      <c r="A147" s="2">
        <v>370</v>
      </c>
      <c r="B147" s="2">
        <v>6</v>
      </c>
      <c r="C147" s="2" t="str">
        <f>_xlfn.XLOOKUP(tbl_kpi[[#This Row],[LocationID]], tbl_location[LocationID], tbl_location[LocationName], "UNMAPPED_LOCATION")</f>
        <v>Miscellaneous Storage</v>
      </c>
      <c r="D147" s="2">
        <v>155</v>
      </c>
      <c r="E147" s="2">
        <v>151</v>
      </c>
      <c r="F147" s="2">
        <f>tbl_kpi[[#This Row],[OnHandQty]]</f>
        <v>155</v>
      </c>
      <c r="G147" s="2">
        <f>tbl_kpi[[#This Row],[CountedQty]]-tbl_kpi[[#This Row],[ExpectedQty]]</f>
        <v>-4</v>
      </c>
      <c r="H147" s="2">
        <f>IF(tbl_kpi[[#This Row],[ExpectedQty]]=0, 1, MAX(0, 1 - ABS(tbl_kpi[[#This Row],[VarianceQty]]) / tbl_kpi[[#This Row],[ExpectedQty]]))</f>
        <v>0.97419354838709682</v>
      </c>
      <c r="I147" s="2" t="str">
        <f>IF(tbl_kpi[[#This Row],[AccuracyPct]] &lt; 0.98, "Y", "N")</f>
        <v>Y</v>
      </c>
    </row>
    <row r="148" spans="1:9">
      <c r="A148" s="2">
        <v>370</v>
      </c>
      <c r="B148" s="2">
        <v>50</v>
      </c>
      <c r="C148" s="2" t="str">
        <f>_xlfn.XLOOKUP(tbl_kpi[[#This Row],[LocationID]], tbl_location[LocationID], tbl_location[LocationName], "UNMAPPED_LOCATION")</f>
        <v>Subassembly</v>
      </c>
      <c r="D148" s="2">
        <v>476</v>
      </c>
      <c r="E148" s="2">
        <v>464</v>
      </c>
      <c r="F148" s="2">
        <f>tbl_kpi[[#This Row],[OnHandQty]]</f>
        <v>476</v>
      </c>
      <c r="G148" s="2">
        <f>tbl_kpi[[#This Row],[CountedQty]]-tbl_kpi[[#This Row],[ExpectedQty]]</f>
        <v>-12</v>
      </c>
      <c r="H148" s="2">
        <f>IF(tbl_kpi[[#This Row],[ExpectedQty]]=0, 1, MAX(0, 1 - ABS(tbl_kpi[[#This Row],[VarianceQty]]) / tbl_kpi[[#This Row],[ExpectedQty]]))</f>
        <v>0.97478991596638653</v>
      </c>
      <c r="I148" s="2" t="str">
        <f>IF(tbl_kpi[[#This Row],[AccuracyPct]] &lt; 0.98, "Y", "N")</f>
        <v>Y</v>
      </c>
    </row>
    <row r="149" spans="1:9">
      <c r="A149" s="2">
        <v>371</v>
      </c>
      <c r="B149" s="2">
        <v>1</v>
      </c>
      <c r="C149" s="2" t="str">
        <f>_xlfn.XLOOKUP(tbl_kpi[[#This Row],[LocationID]], tbl_location[LocationID], tbl_location[LocationName], "UNMAPPED_LOCATION")</f>
        <v>Tool Crib</v>
      </c>
      <c r="D149" s="2">
        <v>585</v>
      </c>
      <c r="E149" s="2">
        <v>589</v>
      </c>
      <c r="F149" s="2">
        <f>tbl_kpi[[#This Row],[OnHandQty]]</f>
        <v>585</v>
      </c>
      <c r="G149" s="2">
        <f>tbl_kpi[[#This Row],[CountedQty]]-tbl_kpi[[#This Row],[ExpectedQty]]</f>
        <v>4</v>
      </c>
      <c r="H149" s="2">
        <f>IF(tbl_kpi[[#This Row],[ExpectedQty]]=0, 1, MAX(0, 1 - ABS(tbl_kpi[[#This Row],[VarianceQty]]) / tbl_kpi[[#This Row],[ExpectedQty]]))</f>
        <v>0.99316239316239319</v>
      </c>
      <c r="I149" s="2" t="str">
        <f>IF(tbl_kpi[[#This Row],[AccuracyPct]] &lt; 0.98, "Y", "N")</f>
        <v>N</v>
      </c>
    </row>
    <row r="150" spans="1:9">
      <c r="A150" s="2">
        <v>371</v>
      </c>
      <c r="B150" s="2">
        <v>6</v>
      </c>
      <c r="C150" s="2" t="str">
        <f>_xlfn.XLOOKUP(tbl_kpi[[#This Row],[LocationID]], tbl_location[LocationID], tbl_location[LocationName], "UNMAPPED_LOCATION")</f>
        <v>Miscellaneous Storage</v>
      </c>
      <c r="D150" s="2">
        <v>649</v>
      </c>
      <c r="E150" s="2">
        <v>650</v>
      </c>
      <c r="F150" s="2">
        <f>tbl_kpi[[#This Row],[OnHandQty]]</f>
        <v>649</v>
      </c>
      <c r="G150" s="2">
        <f>tbl_kpi[[#This Row],[CountedQty]]-tbl_kpi[[#This Row],[ExpectedQty]]</f>
        <v>1</v>
      </c>
      <c r="H150" s="2">
        <f>IF(tbl_kpi[[#This Row],[ExpectedQty]]=0, 1, MAX(0, 1 - ABS(tbl_kpi[[#This Row],[VarianceQty]]) / tbl_kpi[[#This Row],[ExpectedQty]]))</f>
        <v>0.99845916795069334</v>
      </c>
      <c r="I150" s="2" t="str">
        <f>IF(tbl_kpi[[#This Row],[AccuracyPct]] &lt; 0.98, "Y", "N")</f>
        <v>N</v>
      </c>
    </row>
    <row r="151" spans="1:9">
      <c r="A151" s="2">
        <v>371</v>
      </c>
      <c r="B151" s="2">
        <v>50</v>
      </c>
      <c r="C151" s="2" t="str">
        <f>_xlfn.XLOOKUP(tbl_kpi[[#This Row],[LocationID]], tbl_location[LocationID], tbl_location[LocationName], "UNMAPPED_LOCATION")</f>
        <v>Subassembly</v>
      </c>
      <c r="D151" s="2">
        <v>547</v>
      </c>
      <c r="E151" s="2">
        <v>535</v>
      </c>
      <c r="F151" s="2">
        <f>tbl_kpi[[#This Row],[OnHandQty]]</f>
        <v>547</v>
      </c>
      <c r="G151" s="2">
        <f>tbl_kpi[[#This Row],[CountedQty]]-tbl_kpi[[#This Row],[ExpectedQty]]</f>
        <v>-12</v>
      </c>
      <c r="H151" s="2">
        <f>IF(tbl_kpi[[#This Row],[ExpectedQty]]=0, 1, MAX(0, 1 - ABS(tbl_kpi[[#This Row],[VarianceQty]]) / tbl_kpi[[#This Row],[ExpectedQty]]))</f>
        <v>0.9780621572212066</v>
      </c>
      <c r="I151" s="2" t="str">
        <f>IF(tbl_kpi[[#This Row],[AccuracyPct]] &lt; 0.98, "Y", "N")</f>
        <v>Y</v>
      </c>
    </row>
    <row r="152" spans="1:9">
      <c r="A152" s="2">
        <v>372</v>
      </c>
      <c r="B152" s="2">
        <v>1</v>
      </c>
      <c r="C152" s="2" t="str">
        <f>_xlfn.XLOOKUP(tbl_kpi[[#This Row],[LocationID]], tbl_location[LocationID], tbl_location[LocationName], "UNMAPPED_LOCATION")</f>
        <v>Tool Crib</v>
      </c>
      <c r="D152" s="2">
        <v>281</v>
      </c>
      <c r="E152" s="2">
        <v>277</v>
      </c>
      <c r="F152" s="2">
        <f>tbl_kpi[[#This Row],[OnHandQty]]</f>
        <v>281</v>
      </c>
      <c r="G152" s="2">
        <f>tbl_kpi[[#This Row],[CountedQty]]-tbl_kpi[[#This Row],[ExpectedQty]]</f>
        <v>-4</v>
      </c>
      <c r="H152" s="2">
        <f>IF(tbl_kpi[[#This Row],[ExpectedQty]]=0, 1, MAX(0, 1 - ABS(tbl_kpi[[#This Row],[VarianceQty]]) / tbl_kpi[[#This Row],[ExpectedQty]]))</f>
        <v>0.98576512455516019</v>
      </c>
      <c r="I152" s="2" t="str">
        <f>IF(tbl_kpi[[#This Row],[AccuracyPct]] &lt; 0.98, "Y", "N")</f>
        <v>N</v>
      </c>
    </row>
    <row r="153" spans="1:9">
      <c r="A153" s="2">
        <v>372</v>
      </c>
      <c r="B153" s="2">
        <v>6</v>
      </c>
      <c r="C153" s="2" t="str">
        <f>_xlfn.XLOOKUP(tbl_kpi[[#This Row],[LocationID]], tbl_location[LocationID], tbl_location[LocationName], "UNMAPPED_LOCATION")</f>
        <v>Miscellaneous Storage</v>
      </c>
      <c r="D153" s="2">
        <v>344</v>
      </c>
      <c r="E153" s="2">
        <v>348</v>
      </c>
      <c r="F153" s="2">
        <f>tbl_kpi[[#This Row],[OnHandQty]]</f>
        <v>344</v>
      </c>
      <c r="G153" s="2">
        <f>tbl_kpi[[#This Row],[CountedQty]]-tbl_kpi[[#This Row],[ExpectedQty]]</f>
        <v>4</v>
      </c>
      <c r="H153" s="2">
        <f>IF(tbl_kpi[[#This Row],[ExpectedQty]]=0, 1, MAX(0, 1 - ABS(tbl_kpi[[#This Row],[VarianceQty]]) / tbl_kpi[[#This Row],[ExpectedQty]]))</f>
        <v>0.98837209302325579</v>
      </c>
      <c r="I153" s="2" t="str">
        <f>IF(tbl_kpi[[#This Row],[AccuracyPct]] &lt; 0.98, "Y", "N")</f>
        <v>N</v>
      </c>
    </row>
    <row r="154" spans="1:9">
      <c r="A154" s="2">
        <v>372</v>
      </c>
      <c r="B154" s="2">
        <v>50</v>
      </c>
      <c r="C154" s="2" t="str">
        <f>_xlfn.XLOOKUP(tbl_kpi[[#This Row],[LocationID]], tbl_location[LocationID], tbl_location[LocationName], "UNMAPPED_LOCATION")</f>
        <v>Subassembly</v>
      </c>
      <c r="D154" s="2">
        <v>272</v>
      </c>
      <c r="E154" s="2">
        <v>269</v>
      </c>
      <c r="F154" s="2">
        <f>tbl_kpi[[#This Row],[OnHandQty]]</f>
        <v>272</v>
      </c>
      <c r="G154" s="2">
        <f>tbl_kpi[[#This Row],[CountedQty]]-tbl_kpi[[#This Row],[ExpectedQty]]</f>
        <v>-3</v>
      </c>
      <c r="H154" s="2">
        <f>IF(tbl_kpi[[#This Row],[ExpectedQty]]=0, 1, MAX(0, 1 - ABS(tbl_kpi[[#This Row],[VarianceQty]]) / tbl_kpi[[#This Row],[ExpectedQty]]))</f>
        <v>0.98897058823529416</v>
      </c>
      <c r="I154" s="2" t="str">
        <f>IF(tbl_kpi[[#This Row],[AccuracyPct]] &lt; 0.98, "Y", "N")</f>
        <v>N</v>
      </c>
    </row>
    <row r="155" spans="1:9">
      <c r="A155" s="2">
        <v>373</v>
      </c>
      <c r="B155" s="2">
        <v>1</v>
      </c>
      <c r="C155" s="2" t="str">
        <f>_xlfn.XLOOKUP(tbl_kpi[[#This Row],[LocationID]], tbl_location[LocationID], tbl_location[LocationName], "UNMAPPED_LOCATION")</f>
        <v>Tool Crib</v>
      </c>
      <c r="D155" s="2">
        <v>284</v>
      </c>
      <c r="E155" s="2">
        <v>287</v>
      </c>
      <c r="F155" s="2">
        <f>tbl_kpi[[#This Row],[OnHandQty]]</f>
        <v>284</v>
      </c>
      <c r="G155" s="2">
        <f>tbl_kpi[[#This Row],[CountedQty]]-tbl_kpi[[#This Row],[ExpectedQty]]</f>
        <v>3</v>
      </c>
      <c r="H155" s="2">
        <f>IF(tbl_kpi[[#This Row],[ExpectedQty]]=0, 1, MAX(0, 1 - ABS(tbl_kpi[[#This Row],[VarianceQty]]) / tbl_kpi[[#This Row],[ExpectedQty]]))</f>
        <v>0.98943661971830987</v>
      </c>
      <c r="I155" s="2" t="str">
        <f>IF(tbl_kpi[[#This Row],[AccuracyPct]] &lt; 0.98, "Y", "N")</f>
        <v>N</v>
      </c>
    </row>
    <row r="156" spans="1:9">
      <c r="A156" s="2">
        <v>373</v>
      </c>
      <c r="B156" s="2">
        <v>6</v>
      </c>
      <c r="C156" s="2" t="str">
        <f>_xlfn.XLOOKUP(tbl_kpi[[#This Row],[LocationID]], tbl_location[LocationID], tbl_location[LocationName], "UNMAPPED_LOCATION")</f>
        <v>Miscellaneous Storage</v>
      </c>
      <c r="D156" s="2">
        <v>347</v>
      </c>
      <c r="E156" s="2">
        <v>339</v>
      </c>
      <c r="F156" s="2">
        <f>tbl_kpi[[#This Row],[OnHandQty]]</f>
        <v>347</v>
      </c>
      <c r="G156" s="2">
        <f>tbl_kpi[[#This Row],[CountedQty]]-tbl_kpi[[#This Row],[ExpectedQty]]</f>
        <v>-8</v>
      </c>
      <c r="H156" s="2">
        <f>IF(tbl_kpi[[#This Row],[ExpectedQty]]=0, 1, MAX(0, 1 - ABS(tbl_kpi[[#This Row],[VarianceQty]]) / tbl_kpi[[#This Row],[ExpectedQty]]))</f>
        <v>0.97694524495677237</v>
      </c>
      <c r="I156" s="2" t="str">
        <f>IF(tbl_kpi[[#This Row],[AccuracyPct]] &lt; 0.98, "Y", "N")</f>
        <v>Y</v>
      </c>
    </row>
    <row r="157" spans="1:9">
      <c r="A157" s="2">
        <v>373</v>
      </c>
      <c r="B157" s="2">
        <v>50</v>
      </c>
      <c r="C157" s="2" t="str">
        <f>_xlfn.XLOOKUP(tbl_kpi[[#This Row],[LocationID]], tbl_location[LocationID], tbl_location[LocationName], "UNMAPPED_LOCATION")</f>
        <v>Subassembly</v>
      </c>
      <c r="D157" s="2">
        <v>275</v>
      </c>
      <c r="E157" s="2">
        <v>273</v>
      </c>
      <c r="F157" s="2">
        <f>tbl_kpi[[#This Row],[OnHandQty]]</f>
        <v>275</v>
      </c>
      <c r="G157" s="2">
        <f>tbl_kpi[[#This Row],[CountedQty]]-tbl_kpi[[#This Row],[ExpectedQty]]</f>
        <v>-2</v>
      </c>
      <c r="H157" s="2">
        <f>IF(tbl_kpi[[#This Row],[ExpectedQty]]=0, 1, MAX(0, 1 - ABS(tbl_kpi[[#This Row],[VarianceQty]]) / tbl_kpi[[#This Row],[ExpectedQty]]))</f>
        <v>0.99272727272727268</v>
      </c>
      <c r="I157" s="2" t="str">
        <f>IF(tbl_kpi[[#This Row],[AccuracyPct]] &lt; 0.98, "Y", "N")</f>
        <v>N</v>
      </c>
    </row>
    <row r="158" spans="1:9">
      <c r="A158" s="2">
        <v>374</v>
      </c>
      <c r="B158" s="2">
        <v>1</v>
      </c>
      <c r="C158" s="2" t="str">
        <f>_xlfn.XLOOKUP(tbl_kpi[[#This Row],[LocationID]], tbl_location[LocationID], tbl_location[LocationName], "UNMAPPED_LOCATION")</f>
        <v>Tool Crib</v>
      </c>
      <c r="D158" s="2">
        <v>288</v>
      </c>
      <c r="E158" s="2">
        <v>286</v>
      </c>
      <c r="F158" s="2">
        <f>tbl_kpi[[#This Row],[OnHandQty]]</f>
        <v>288</v>
      </c>
      <c r="G158" s="2">
        <f>tbl_kpi[[#This Row],[CountedQty]]-tbl_kpi[[#This Row],[ExpectedQty]]</f>
        <v>-2</v>
      </c>
      <c r="H158" s="2">
        <f>IF(tbl_kpi[[#This Row],[ExpectedQty]]=0, 1, MAX(0, 1 - ABS(tbl_kpi[[#This Row],[VarianceQty]]) / tbl_kpi[[#This Row],[ExpectedQty]]))</f>
        <v>0.99305555555555558</v>
      </c>
      <c r="I158" s="2" t="str">
        <f>IF(tbl_kpi[[#This Row],[AccuracyPct]] &lt; 0.98, "Y", "N")</f>
        <v>N</v>
      </c>
    </row>
    <row r="159" spans="1:9">
      <c r="A159" s="2">
        <v>374</v>
      </c>
      <c r="B159" s="2">
        <v>6</v>
      </c>
      <c r="C159" s="2" t="str">
        <f>_xlfn.XLOOKUP(tbl_kpi[[#This Row],[LocationID]], tbl_location[LocationID], tbl_location[LocationName], "UNMAPPED_LOCATION")</f>
        <v>Miscellaneous Storage</v>
      </c>
      <c r="D159" s="2">
        <v>350</v>
      </c>
      <c r="E159" s="2">
        <v>344</v>
      </c>
      <c r="F159" s="2">
        <f>tbl_kpi[[#This Row],[OnHandQty]]</f>
        <v>350</v>
      </c>
      <c r="G159" s="2">
        <f>tbl_kpi[[#This Row],[CountedQty]]-tbl_kpi[[#This Row],[ExpectedQty]]</f>
        <v>-6</v>
      </c>
      <c r="H159" s="2">
        <f>IF(tbl_kpi[[#This Row],[ExpectedQty]]=0, 1, MAX(0, 1 - ABS(tbl_kpi[[#This Row],[VarianceQty]]) / tbl_kpi[[#This Row],[ExpectedQty]]))</f>
        <v>0.98285714285714287</v>
      </c>
      <c r="I159" s="2" t="str">
        <f>IF(tbl_kpi[[#This Row],[AccuracyPct]] &lt; 0.98, "Y", "N")</f>
        <v>N</v>
      </c>
    </row>
    <row r="160" spans="1:9">
      <c r="A160" s="2">
        <v>374</v>
      </c>
      <c r="B160" s="2">
        <v>50</v>
      </c>
      <c r="C160" s="2" t="str">
        <f>_xlfn.XLOOKUP(tbl_kpi[[#This Row],[LocationID]], tbl_location[LocationID], tbl_location[LocationName], "UNMAPPED_LOCATION")</f>
        <v>Subassembly</v>
      </c>
      <c r="D160" s="2">
        <v>278</v>
      </c>
      <c r="E160" s="2">
        <v>280</v>
      </c>
      <c r="F160" s="2">
        <f>tbl_kpi[[#This Row],[OnHandQty]]</f>
        <v>278</v>
      </c>
      <c r="G160" s="2">
        <f>tbl_kpi[[#This Row],[CountedQty]]-tbl_kpi[[#This Row],[ExpectedQty]]</f>
        <v>2</v>
      </c>
      <c r="H160" s="2">
        <f>IF(tbl_kpi[[#This Row],[ExpectedQty]]=0, 1, MAX(0, 1 - ABS(tbl_kpi[[#This Row],[VarianceQty]]) / tbl_kpi[[#This Row],[ExpectedQty]]))</f>
        <v>0.9928057553956835</v>
      </c>
      <c r="I160" s="2" t="str">
        <f>IF(tbl_kpi[[#This Row],[AccuracyPct]] &lt; 0.98, "Y", "N")</f>
        <v>N</v>
      </c>
    </row>
    <row r="161" spans="1:9">
      <c r="A161" s="2">
        <v>375</v>
      </c>
      <c r="B161" s="2">
        <v>1</v>
      </c>
      <c r="C161" s="2" t="str">
        <f>_xlfn.XLOOKUP(tbl_kpi[[#This Row],[LocationID]], tbl_location[LocationID], tbl_location[LocationName], "UNMAPPED_LOCATION")</f>
        <v>Tool Crib</v>
      </c>
      <c r="D161" s="2">
        <v>291</v>
      </c>
      <c r="E161" s="2">
        <v>284</v>
      </c>
      <c r="F161" s="2">
        <f>tbl_kpi[[#This Row],[OnHandQty]]</f>
        <v>291</v>
      </c>
      <c r="G161" s="2">
        <f>tbl_kpi[[#This Row],[CountedQty]]-tbl_kpi[[#This Row],[ExpectedQty]]</f>
        <v>-7</v>
      </c>
      <c r="H161" s="2">
        <f>IF(tbl_kpi[[#This Row],[ExpectedQty]]=0, 1, MAX(0, 1 - ABS(tbl_kpi[[#This Row],[VarianceQty]]) / tbl_kpi[[#This Row],[ExpectedQty]]))</f>
        <v>0.97594501718213056</v>
      </c>
      <c r="I161" s="2" t="str">
        <f>IF(tbl_kpi[[#This Row],[AccuracyPct]] &lt; 0.98, "Y", "N")</f>
        <v>Y</v>
      </c>
    </row>
    <row r="162" spans="1:9">
      <c r="A162" s="2">
        <v>375</v>
      </c>
      <c r="B162" s="2">
        <v>6</v>
      </c>
      <c r="C162" s="2" t="str">
        <f>_xlfn.XLOOKUP(tbl_kpi[[#This Row],[LocationID]], tbl_location[LocationID], tbl_location[LocationName], "UNMAPPED_LOCATION")</f>
        <v>Miscellaneous Storage</v>
      </c>
      <c r="D162" s="2">
        <v>353</v>
      </c>
      <c r="E162" s="2">
        <v>354</v>
      </c>
      <c r="F162" s="2">
        <f>tbl_kpi[[#This Row],[OnHandQty]]</f>
        <v>353</v>
      </c>
      <c r="G162" s="2">
        <f>tbl_kpi[[#This Row],[CountedQty]]-tbl_kpi[[#This Row],[ExpectedQty]]</f>
        <v>1</v>
      </c>
      <c r="H162" s="2">
        <f>IF(tbl_kpi[[#This Row],[ExpectedQty]]=0, 1, MAX(0, 1 - ABS(tbl_kpi[[#This Row],[VarianceQty]]) / tbl_kpi[[#This Row],[ExpectedQty]]))</f>
        <v>0.99716713881019825</v>
      </c>
      <c r="I162" s="2" t="str">
        <f>IF(tbl_kpi[[#This Row],[AccuracyPct]] &lt; 0.98, "Y", "N")</f>
        <v>N</v>
      </c>
    </row>
    <row r="163" spans="1:9">
      <c r="A163" s="2">
        <v>375</v>
      </c>
      <c r="B163" s="2">
        <v>50</v>
      </c>
      <c r="C163" s="2" t="str">
        <f>_xlfn.XLOOKUP(tbl_kpi[[#This Row],[LocationID]], tbl_location[LocationID], tbl_location[LocationName], "UNMAPPED_LOCATION")</f>
        <v>Subassembly</v>
      </c>
      <c r="D163" s="2">
        <v>281</v>
      </c>
      <c r="E163" s="2">
        <v>280</v>
      </c>
      <c r="F163" s="2">
        <f>tbl_kpi[[#This Row],[OnHandQty]]</f>
        <v>281</v>
      </c>
      <c r="G163" s="2">
        <f>tbl_kpi[[#This Row],[CountedQty]]-tbl_kpi[[#This Row],[ExpectedQty]]</f>
        <v>-1</v>
      </c>
      <c r="H163" s="2">
        <f>IF(tbl_kpi[[#This Row],[ExpectedQty]]=0, 1, MAX(0, 1 - ABS(tbl_kpi[[#This Row],[VarianceQty]]) / tbl_kpi[[#This Row],[ExpectedQty]]))</f>
        <v>0.99644128113879005</v>
      </c>
      <c r="I163" s="2" t="str">
        <f>IF(tbl_kpi[[#This Row],[AccuracyPct]] &lt; 0.98, "Y", "N")</f>
        <v>N</v>
      </c>
    </row>
    <row r="164" spans="1:9">
      <c r="A164" s="2">
        <v>376</v>
      </c>
      <c r="B164" s="2">
        <v>1</v>
      </c>
      <c r="C164" s="2" t="str">
        <f>_xlfn.XLOOKUP(tbl_kpi[[#This Row],[LocationID]], tbl_location[LocationID], tbl_location[LocationName], "UNMAPPED_LOCATION")</f>
        <v>Tool Crib</v>
      </c>
      <c r="D164" s="2">
        <v>585</v>
      </c>
      <c r="E164" s="2">
        <v>601</v>
      </c>
      <c r="F164" s="2">
        <f>tbl_kpi[[#This Row],[OnHandQty]]</f>
        <v>585</v>
      </c>
      <c r="G164" s="2">
        <f>tbl_kpi[[#This Row],[CountedQty]]-tbl_kpi[[#This Row],[ExpectedQty]]</f>
        <v>16</v>
      </c>
      <c r="H164" s="2">
        <f>IF(tbl_kpi[[#This Row],[ExpectedQty]]=0, 1, MAX(0, 1 - ABS(tbl_kpi[[#This Row],[VarianceQty]]) / tbl_kpi[[#This Row],[ExpectedQty]]))</f>
        <v>0.97264957264957264</v>
      </c>
      <c r="I164" s="2" t="str">
        <f>IF(tbl_kpi[[#This Row],[AccuracyPct]] &lt; 0.98, "Y", "N")</f>
        <v>Y</v>
      </c>
    </row>
    <row r="165" spans="1:9">
      <c r="A165" s="2">
        <v>376</v>
      </c>
      <c r="B165" s="2">
        <v>6</v>
      </c>
      <c r="C165" s="2" t="str">
        <f>_xlfn.XLOOKUP(tbl_kpi[[#This Row],[LocationID]], tbl_location[LocationID], tbl_location[LocationName], "UNMAPPED_LOCATION")</f>
        <v>Miscellaneous Storage</v>
      </c>
      <c r="D165" s="2">
        <v>649</v>
      </c>
      <c r="E165" s="2">
        <v>638</v>
      </c>
      <c r="F165" s="2">
        <f>tbl_kpi[[#This Row],[OnHandQty]]</f>
        <v>649</v>
      </c>
      <c r="G165" s="2">
        <f>tbl_kpi[[#This Row],[CountedQty]]-tbl_kpi[[#This Row],[ExpectedQty]]</f>
        <v>-11</v>
      </c>
      <c r="H165" s="2">
        <f>IF(tbl_kpi[[#This Row],[ExpectedQty]]=0, 1, MAX(0, 1 - ABS(tbl_kpi[[#This Row],[VarianceQty]]) / tbl_kpi[[#This Row],[ExpectedQty]]))</f>
        <v>0.98305084745762716</v>
      </c>
      <c r="I165" s="2" t="str">
        <f>IF(tbl_kpi[[#This Row],[AccuracyPct]] &lt; 0.98, "Y", "N")</f>
        <v>N</v>
      </c>
    </row>
    <row r="166" spans="1:9">
      <c r="A166" s="2">
        <v>376</v>
      </c>
      <c r="B166" s="2">
        <v>50</v>
      </c>
      <c r="C166" s="2" t="str">
        <f>_xlfn.XLOOKUP(tbl_kpi[[#This Row],[LocationID]], tbl_location[LocationID], tbl_location[LocationName], "UNMAPPED_LOCATION")</f>
        <v>Subassembly</v>
      </c>
      <c r="D166" s="2">
        <v>547</v>
      </c>
      <c r="E166" s="2">
        <v>541</v>
      </c>
      <c r="F166" s="2">
        <f>tbl_kpi[[#This Row],[OnHandQty]]</f>
        <v>547</v>
      </c>
      <c r="G166" s="2">
        <f>tbl_kpi[[#This Row],[CountedQty]]-tbl_kpi[[#This Row],[ExpectedQty]]</f>
        <v>-6</v>
      </c>
      <c r="H166" s="2">
        <f>IF(tbl_kpi[[#This Row],[ExpectedQty]]=0, 1, MAX(0, 1 - ABS(tbl_kpi[[#This Row],[VarianceQty]]) / tbl_kpi[[#This Row],[ExpectedQty]]))</f>
        <v>0.98903107861060324</v>
      </c>
      <c r="I166" s="2" t="str">
        <f>IF(tbl_kpi[[#This Row],[AccuracyPct]] &lt; 0.98, "Y", "N")</f>
        <v>N</v>
      </c>
    </row>
    <row r="167" spans="1:9">
      <c r="A167" s="2">
        <v>377</v>
      </c>
      <c r="B167" s="2">
        <v>1</v>
      </c>
      <c r="C167" s="2" t="str">
        <f>_xlfn.XLOOKUP(tbl_kpi[[#This Row],[LocationID]], tbl_location[LocationID], tbl_location[LocationName], "UNMAPPED_LOCATION")</f>
        <v>Tool Crib</v>
      </c>
      <c r="D167" s="2">
        <v>249</v>
      </c>
      <c r="E167" s="2">
        <v>247</v>
      </c>
      <c r="F167" s="2">
        <f>tbl_kpi[[#This Row],[OnHandQty]]</f>
        <v>249</v>
      </c>
      <c r="G167" s="2">
        <f>tbl_kpi[[#This Row],[CountedQty]]-tbl_kpi[[#This Row],[ExpectedQty]]</f>
        <v>-2</v>
      </c>
      <c r="H167" s="2">
        <f>IF(tbl_kpi[[#This Row],[ExpectedQty]]=0, 1, MAX(0, 1 - ABS(tbl_kpi[[#This Row],[VarianceQty]]) / tbl_kpi[[#This Row],[ExpectedQty]]))</f>
        <v>0.99196787148594379</v>
      </c>
      <c r="I167" s="2" t="str">
        <f>IF(tbl_kpi[[#This Row],[AccuracyPct]] &lt; 0.98, "Y", "N")</f>
        <v>N</v>
      </c>
    </row>
    <row r="168" spans="1:9">
      <c r="A168" s="2">
        <v>377</v>
      </c>
      <c r="B168" s="2">
        <v>6</v>
      </c>
      <c r="C168" s="2" t="str">
        <f>_xlfn.XLOOKUP(tbl_kpi[[#This Row],[LocationID]], tbl_location[LocationID], tbl_location[LocationName], "UNMAPPED_LOCATION")</f>
        <v>Miscellaneous Storage</v>
      </c>
      <c r="D168" s="2">
        <v>299</v>
      </c>
      <c r="E168" s="2">
        <v>306</v>
      </c>
      <c r="F168" s="2">
        <f>tbl_kpi[[#This Row],[OnHandQty]]</f>
        <v>299</v>
      </c>
      <c r="G168" s="2">
        <f>tbl_kpi[[#This Row],[CountedQty]]-tbl_kpi[[#This Row],[ExpectedQty]]</f>
        <v>7</v>
      </c>
      <c r="H168" s="2">
        <f>IF(tbl_kpi[[#This Row],[ExpectedQty]]=0, 1, MAX(0, 1 - ABS(tbl_kpi[[#This Row],[VarianceQty]]) / tbl_kpi[[#This Row],[ExpectedQty]]))</f>
        <v>0.97658862876254182</v>
      </c>
      <c r="I168" s="2" t="str">
        <f>IF(tbl_kpi[[#This Row],[AccuracyPct]] &lt; 0.98, "Y", "N")</f>
        <v>Y</v>
      </c>
    </row>
    <row r="169" spans="1:9">
      <c r="A169" s="2">
        <v>377</v>
      </c>
      <c r="B169" s="2">
        <v>50</v>
      </c>
      <c r="C169" s="2" t="str">
        <f>_xlfn.XLOOKUP(tbl_kpi[[#This Row],[LocationID]], tbl_location[LocationID], tbl_location[LocationName], "UNMAPPED_LOCATION")</f>
        <v>Subassembly</v>
      </c>
      <c r="D169" s="2">
        <v>393</v>
      </c>
      <c r="E169" s="2">
        <v>389</v>
      </c>
      <c r="F169" s="2">
        <f>tbl_kpi[[#This Row],[OnHandQty]]</f>
        <v>393</v>
      </c>
      <c r="G169" s="2">
        <f>tbl_kpi[[#This Row],[CountedQty]]-tbl_kpi[[#This Row],[ExpectedQty]]</f>
        <v>-4</v>
      </c>
      <c r="H169" s="2">
        <f>IF(tbl_kpi[[#This Row],[ExpectedQty]]=0, 1, MAX(0, 1 - ABS(tbl_kpi[[#This Row],[VarianceQty]]) / tbl_kpi[[#This Row],[ExpectedQty]]))</f>
        <v>0.98982188295165396</v>
      </c>
      <c r="I169" s="2" t="str">
        <f>IF(tbl_kpi[[#This Row],[AccuracyPct]] &lt; 0.98, "Y", "N")</f>
        <v>N</v>
      </c>
    </row>
    <row r="170" spans="1:9">
      <c r="A170" s="2">
        <v>378</v>
      </c>
      <c r="B170" s="2">
        <v>1</v>
      </c>
      <c r="C170" s="2" t="str">
        <f>_xlfn.XLOOKUP(tbl_kpi[[#This Row],[LocationID]], tbl_location[LocationID], tbl_location[LocationName], "UNMAPPED_LOCATION")</f>
        <v>Tool Crib</v>
      </c>
      <c r="D170" s="2">
        <v>244</v>
      </c>
      <c r="E170" s="2">
        <v>247</v>
      </c>
      <c r="F170" s="2">
        <f>tbl_kpi[[#This Row],[OnHandQty]]</f>
        <v>244</v>
      </c>
      <c r="G170" s="2">
        <f>tbl_kpi[[#This Row],[CountedQty]]-tbl_kpi[[#This Row],[ExpectedQty]]</f>
        <v>3</v>
      </c>
      <c r="H170" s="2">
        <f>IF(tbl_kpi[[#This Row],[ExpectedQty]]=0, 1, MAX(0, 1 - ABS(tbl_kpi[[#This Row],[VarianceQty]]) / tbl_kpi[[#This Row],[ExpectedQty]]))</f>
        <v>0.98770491803278693</v>
      </c>
      <c r="I170" s="2" t="str">
        <f>IF(tbl_kpi[[#This Row],[AccuracyPct]] &lt; 0.98, "Y", "N")</f>
        <v>N</v>
      </c>
    </row>
    <row r="171" spans="1:9">
      <c r="A171" s="2">
        <v>378</v>
      </c>
      <c r="B171" s="2">
        <v>6</v>
      </c>
      <c r="C171" s="2" t="str">
        <f>_xlfn.XLOOKUP(tbl_kpi[[#This Row],[LocationID]], tbl_location[LocationID], tbl_location[LocationName], "UNMAPPED_LOCATION")</f>
        <v>Miscellaneous Storage</v>
      </c>
      <c r="D171" s="2">
        <v>294</v>
      </c>
      <c r="E171" s="2">
        <v>293</v>
      </c>
      <c r="F171" s="2">
        <f>tbl_kpi[[#This Row],[OnHandQty]]</f>
        <v>294</v>
      </c>
      <c r="G171" s="2">
        <f>tbl_kpi[[#This Row],[CountedQty]]-tbl_kpi[[#This Row],[ExpectedQty]]</f>
        <v>-1</v>
      </c>
      <c r="H171" s="2">
        <f>IF(tbl_kpi[[#This Row],[ExpectedQty]]=0, 1, MAX(0, 1 - ABS(tbl_kpi[[#This Row],[VarianceQty]]) / tbl_kpi[[#This Row],[ExpectedQty]]))</f>
        <v>0.99659863945578231</v>
      </c>
      <c r="I171" s="2" t="str">
        <f>IF(tbl_kpi[[#This Row],[AccuracyPct]] &lt; 0.98, "Y", "N")</f>
        <v>N</v>
      </c>
    </row>
    <row r="172" spans="1:9">
      <c r="A172" s="2">
        <v>378</v>
      </c>
      <c r="B172" s="2">
        <v>50</v>
      </c>
      <c r="C172" s="2" t="str">
        <f>_xlfn.XLOOKUP(tbl_kpi[[#This Row],[LocationID]], tbl_location[LocationID], tbl_location[LocationName], "UNMAPPED_LOCATION")</f>
        <v>Subassembly</v>
      </c>
      <c r="D172" s="2">
        <v>388</v>
      </c>
      <c r="E172" s="2">
        <v>396</v>
      </c>
      <c r="F172" s="2">
        <f>tbl_kpi[[#This Row],[OnHandQty]]</f>
        <v>388</v>
      </c>
      <c r="G172" s="2">
        <f>tbl_kpi[[#This Row],[CountedQty]]-tbl_kpi[[#This Row],[ExpectedQty]]</f>
        <v>8</v>
      </c>
      <c r="H172" s="2">
        <f>IF(tbl_kpi[[#This Row],[ExpectedQty]]=0, 1, MAX(0, 1 - ABS(tbl_kpi[[#This Row],[VarianceQty]]) / tbl_kpi[[#This Row],[ExpectedQty]]))</f>
        <v>0.97938144329896903</v>
      </c>
      <c r="I172" s="2" t="str">
        <f>IF(tbl_kpi[[#This Row],[AccuracyPct]] &lt; 0.98, "Y", "N")</f>
        <v>Y</v>
      </c>
    </row>
    <row r="173" spans="1:9">
      <c r="A173" s="2">
        <v>379</v>
      </c>
      <c r="B173" s="2">
        <v>1</v>
      </c>
      <c r="C173" s="2" t="str">
        <f>_xlfn.XLOOKUP(tbl_kpi[[#This Row],[LocationID]], tbl_location[LocationID], tbl_location[LocationName], "UNMAPPED_LOCATION")</f>
        <v>Tool Crib</v>
      </c>
      <c r="D173" s="2">
        <v>323</v>
      </c>
      <c r="E173" s="2">
        <v>315</v>
      </c>
      <c r="F173" s="2">
        <f>tbl_kpi[[#This Row],[OnHandQty]]</f>
        <v>323</v>
      </c>
      <c r="G173" s="2">
        <f>tbl_kpi[[#This Row],[CountedQty]]-tbl_kpi[[#This Row],[ExpectedQty]]</f>
        <v>-8</v>
      </c>
      <c r="H173" s="2">
        <f>IF(tbl_kpi[[#This Row],[ExpectedQty]]=0, 1, MAX(0, 1 - ABS(tbl_kpi[[#This Row],[VarianceQty]]) / tbl_kpi[[#This Row],[ExpectedQty]]))</f>
        <v>0.97523219814241491</v>
      </c>
      <c r="I173" s="2" t="str">
        <f>IF(tbl_kpi[[#This Row],[AccuracyPct]] &lt; 0.98, "Y", "N")</f>
        <v>Y</v>
      </c>
    </row>
    <row r="174" spans="1:9">
      <c r="A174" s="2">
        <v>379</v>
      </c>
      <c r="B174" s="2">
        <v>6</v>
      </c>
      <c r="C174" s="2" t="str">
        <f>_xlfn.XLOOKUP(tbl_kpi[[#This Row],[LocationID]], tbl_location[LocationID], tbl_location[LocationName], "UNMAPPED_LOCATION")</f>
        <v>Miscellaneous Storage</v>
      </c>
      <c r="D174" s="2">
        <v>897</v>
      </c>
      <c r="E174" s="2">
        <v>897</v>
      </c>
      <c r="F174" s="2">
        <f>tbl_kpi[[#This Row],[OnHandQty]]</f>
        <v>897</v>
      </c>
      <c r="G174" s="2">
        <f>tbl_kpi[[#This Row],[CountedQty]]-tbl_kpi[[#This Row],[ExpectedQty]]</f>
        <v>0</v>
      </c>
      <c r="H174" s="2">
        <f>IF(tbl_kpi[[#This Row],[ExpectedQty]]=0, 1, MAX(0, 1 - ABS(tbl_kpi[[#This Row],[VarianceQty]]) / tbl_kpi[[#This Row],[ExpectedQty]]))</f>
        <v>1</v>
      </c>
      <c r="I174" s="2" t="str">
        <f>IF(tbl_kpi[[#This Row],[AccuracyPct]] &lt; 0.98, "Y", "N")</f>
        <v>N</v>
      </c>
    </row>
    <row r="175" spans="1:9">
      <c r="A175" s="2">
        <v>379</v>
      </c>
      <c r="B175" s="2">
        <v>50</v>
      </c>
      <c r="C175" s="2" t="str">
        <f>_xlfn.XLOOKUP(tbl_kpi[[#This Row],[LocationID]], tbl_location[LocationID], tbl_location[LocationName], "UNMAPPED_LOCATION")</f>
        <v>Subassembly</v>
      </c>
      <c r="D175" s="2">
        <v>691</v>
      </c>
      <c r="E175" s="2">
        <v>681</v>
      </c>
      <c r="F175" s="2">
        <f>tbl_kpi[[#This Row],[OnHandQty]]</f>
        <v>691</v>
      </c>
      <c r="G175" s="2">
        <f>tbl_kpi[[#This Row],[CountedQty]]-tbl_kpi[[#This Row],[ExpectedQty]]</f>
        <v>-10</v>
      </c>
      <c r="H175" s="2">
        <f>IF(tbl_kpi[[#This Row],[ExpectedQty]]=0, 1, MAX(0, 1 - ABS(tbl_kpi[[#This Row],[VarianceQty]]) / tbl_kpi[[#This Row],[ExpectedQty]]))</f>
        <v>0.98552821997105644</v>
      </c>
      <c r="I175" s="2" t="str">
        <f>IF(tbl_kpi[[#This Row],[AccuracyPct]] &lt; 0.98, "Y", "N")</f>
        <v>N</v>
      </c>
    </row>
    <row r="176" spans="1:9">
      <c r="A176" s="2">
        <v>380</v>
      </c>
      <c r="B176" s="2">
        <v>1</v>
      </c>
      <c r="C176" s="2" t="str">
        <f>_xlfn.XLOOKUP(tbl_kpi[[#This Row],[LocationID]], tbl_location[LocationID], tbl_location[LocationName], "UNMAPPED_LOCATION")</f>
        <v>Tool Crib</v>
      </c>
      <c r="D176" s="2">
        <v>156</v>
      </c>
      <c r="E176" s="2">
        <v>155</v>
      </c>
      <c r="F176" s="2">
        <f>tbl_kpi[[#This Row],[OnHandQty]]</f>
        <v>156</v>
      </c>
      <c r="G176" s="2">
        <f>tbl_kpi[[#This Row],[CountedQty]]-tbl_kpi[[#This Row],[ExpectedQty]]</f>
        <v>-1</v>
      </c>
      <c r="H176" s="2">
        <f>IF(tbl_kpi[[#This Row],[ExpectedQty]]=0, 1, MAX(0, 1 - ABS(tbl_kpi[[#This Row],[VarianceQty]]) / tbl_kpi[[#This Row],[ExpectedQty]]))</f>
        <v>0.99358974358974361</v>
      </c>
      <c r="I176" s="2" t="str">
        <f>IF(tbl_kpi[[#This Row],[AccuracyPct]] &lt; 0.98, "Y", "N")</f>
        <v>N</v>
      </c>
    </row>
    <row r="177" spans="1:9">
      <c r="A177" s="2">
        <v>380</v>
      </c>
      <c r="B177" s="2">
        <v>6</v>
      </c>
      <c r="C177" s="2" t="str">
        <f>_xlfn.XLOOKUP(tbl_kpi[[#This Row],[LocationID]], tbl_location[LocationID], tbl_location[LocationName], "UNMAPPED_LOCATION")</f>
        <v>Miscellaneous Storage</v>
      </c>
      <c r="D177" s="2">
        <v>264</v>
      </c>
      <c r="E177" s="2">
        <v>267</v>
      </c>
      <c r="F177" s="2">
        <f>tbl_kpi[[#This Row],[OnHandQty]]</f>
        <v>264</v>
      </c>
      <c r="G177" s="2">
        <f>tbl_kpi[[#This Row],[CountedQty]]-tbl_kpi[[#This Row],[ExpectedQty]]</f>
        <v>3</v>
      </c>
      <c r="H177" s="2">
        <f>IF(tbl_kpi[[#This Row],[ExpectedQty]]=0, 1, MAX(0, 1 - ABS(tbl_kpi[[#This Row],[VarianceQty]]) / tbl_kpi[[#This Row],[ExpectedQty]]))</f>
        <v>0.98863636363636365</v>
      </c>
      <c r="I177" s="2" t="str">
        <f>IF(tbl_kpi[[#This Row],[AccuracyPct]] &lt; 0.98, "Y", "N")</f>
        <v>N</v>
      </c>
    </row>
    <row r="178" spans="1:9">
      <c r="A178" s="2">
        <v>380</v>
      </c>
      <c r="B178" s="2">
        <v>50</v>
      </c>
      <c r="C178" s="2" t="str">
        <f>_xlfn.XLOOKUP(tbl_kpi[[#This Row],[LocationID]], tbl_location[LocationID], tbl_location[LocationName], "UNMAPPED_LOCATION")</f>
        <v>Subassembly</v>
      </c>
      <c r="D178" s="2">
        <v>350</v>
      </c>
      <c r="E178" s="2">
        <v>346</v>
      </c>
      <c r="F178" s="2">
        <f>tbl_kpi[[#This Row],[OnHandQty]]</f>
        <v>350</v>
      </c>
      <c r="G178" s="2">
        <f>tbl_kpi[[#This Row],[CountedQty]]-tbl_kpi[[#This Row],[ExpectedQty]]</f>
        <v>-4</v>
      </c>
      <c r="H178" s="2">
        <f>IF(tbl_kpi[[#This Row],[ExpectedQty]]=0, 1, MAX(0, 1 - ABS(tbl_kpi[[#This Row],[VarianceQty]]) / tbl_kpi[[#This Row],[ExpectedQty]]))</f>
        <v>0.98857142857142855</v>
      </c>
      <c r="I178" s="2" t="str">
        <f>IF(tbl_kpi[[#This Row],[AccuracyPct]] &lt; 0.98, "Y", "N")</f>
        <v>N</v>
      </c>
    </row>
    <row r="179" spans="1:9">
      <c r="A179" s="2">
        <v>381</v>
      </c>
      <c r="B179" s="2">
        <v>1</v>
      </c>
      <c r="C179" s="2" t="str">
        <f>_xlfn.XLOOKUP(tbl_kpi[[#This Row],[LocationID]], tbl_location[LocationID], tbl_location[LocationName], "UNMAPPED_LOCATION")</f>
        <v>Tool Crib</v>
      </c>
      <c r="D179" s="2">
        <v>163</v>
      </c>
      <c r="E179" s="2">
        <v>161</v>
      </c>
      <c r="F179" s="2">
        <f>tbl_kpi[[#This Row],[OnHandQty]]</f>
        <v>163</v>
      </c>
      <c r="G179" s="2">
        <f>tbl_kpi[[#This Row],[CountedQty]]-tbl_kpi[[#This Row],[ExpectedQty]]</f>
        <v>-2</v>
      </c>
      <c r="H179" s="2">
        <f>IF(tbl_kpi[[#This Row],[ExpectedQty]]=0, 1, MAX(0, 1 - ABS(tbl_kpi[[#This Row],[VarianceQty]]) / tbl_kpi[[#This Row],[ExpectedQty]]))</f>
        <v>0.98773006134969321</v>
      </c>
      <c r="I179" s="2" t="str">
        <f>IF(tbl_kpi[[#This Row],[AccuracyPct]] &lt; 0.98, "Y", "N")</f>
        <v>N</v>
      </c>
    </row>
    <row r="180" spans="1:9">
      <c r="A180" s="2">
        <v>381</v>
      </c>
      <c r="B180" s="2">
        <v>6</v>
      </c>
      <c r="C180" s="2" t="str">
        <f>_xlfn.XLOOKUP(tbl_kpi[[#This Row],[LocationID]], tbl_location[LocationID], tbl_location[LocationName], "UNMAPPED_LOCATION")</f>
        <v>Miscellaneous Storage</v>
      </c>
      <c r="D180" s="2">
        <v>270</v>
      </c>
      <c r="E180" s="2">
        <v>277</v>
      </c>
      <c r="F180" s="2">
        <f>tbl_kpi[[#This Row],[OnHandQty]]</f>
        <v>270</v>
      </c>
      <c r="G180" s="2">
        <f>tbl_kpi[[#This Row],[CountedQty]]-tbl_kpi[[#This Row],[ExpectedQty]]</f>
        <v>7</v>
      </c>
      <c r="H180" s="2">
        <f>IF(tbl_kpi[[#This Row],[ExpectedQty]]=0, 1, MAX(0, 1 - ABS(tbl_kpi[[#This Row],[VarianceQty]]) / tbl_kpi[[#This Row],[ExpectedQty]]))</f>
        <v>0.97407407407407409</v>
      </c>
      <c r="I180" s="2" t="str">
        <f>IF(tbl_kpi[[#This Row],[AccuracyPct]] &lt; 0.98, "Y", "N")</f>
        <v>Y</v>
      </c>
    </row>
    <row r="181" spans="1:9">
      <c r="A181" s="2">
        <v>381</v>
      </c>
      <c r="B181" s="2">
        <v>50</v>
      </c>
      <c r="C181" s="2" t="str">
        <f>_xlfn.XLOOKUP(tbl_kpi[[#This Row],[LocationID]], tbl_location[LocationID], tbl_location[LocationName], "UNMAPPED_LOCATION")</f>
        <v>Subassembly</v>
      </c>
      <c r="D181" s="2">
        <v>356</v>
      </c>
      <c r="E181" s="2">
        <v>365</v>
      </c>
      <c r="F181" s="2">
        <f>tbl_kpi[[#This Row],[OnHandQty]]</f>
        <v>356</v>
      </c>
      <c r="G181" s="2">
        <f>tbl_kpi[[#This Row],[CountedQty]]-tbl_kpi[[#This Row],[ExpectedQty]]</f>
        <v>9</v>
      </c>
      <c r="H181" s="2">
        <f>IF(tbl_kpi[[#This Row],[ExpectedQty]]=0, 1, MAX(0, 1 - ABS(tbl_kpi[[#This Row],[VarianceQty]]) / tbl_kpi[[#This Row],[ExpectedQty]]))</f>
        <v>0.9747191011235955</v>
      </c>
      <c r="I181" s="2" t="str">
        <f>IF(tbl_kpi[[#This Row],[AccuracyPct]] &lt; 0.98, "Y", "N")</f>
        <v>Y</v>
      </c>
    </row>
    <row r="182" spans="1:9">
      <c r="A182" s="2">
        <v>382</v>
      </c>
      <c r="B182" s="2">
        <v>1</v>
      </c>
      <c r="C182" s="2" t="str">
        <f>_xlfn.XLOOKUP(tbl_kpi[[#This Row],[LocationID]], tbl_location[LocationID], tbl_location[LocationName], "UNMAPPED_LOCATION")</f>
        <v>Tool Crib</v>
      </c>
      <c r="D182" s="2">
        <v>169</v>
      </c>
      <c r="E182" s="2">
        <v>173</v>
      </c>
      <c r="F182" s="2">
        <f>tbl_kpi[[#This Row],[OnHandQty]]</f>
        <v>169</v>
      </c>
      <c r="G182" s="2">
        <f>tbl_kpi[[#This Row],[CountedQty]]-tbl_kpi[[#This Row],[ExpectedQty]]</f>
        <v>4</v>
      </c>
      <c r="H182" s="2">
        <f>IF(tbl_kpi[[#This Row],[ExpectedQty]]=0, 1, MAX(0, 1 - ABS(tbl_kpi[[#This Row],[VarianceQty]]) / tbl_kpi[[#This Row],[ExpectedQty]]))</f>
        <v>0.97633136094674555</v>
      </c>
      <c r="I182" s="2" t="str">
        <f>IF(tbl_kpi[[#This Row],[AccuracyPct]] &lt; 0.98, "Y", "N")</f>
        <v>Y</v>
      </c>
    </row>
    <row r="183" spans="1:9">
      <c r="A183" s="2">
        <v>382</v>
      </c>
      <c r="B183" s="2">
        <v>6</v>
      </c>
      <c r="C183" s="2" t="str">
        <f>_xlfn.XLOOKUP(tbl_kpi[[#This Row],[LocationID]], tbl_location[LocationID], tbl_location[LocationName], "UNMAPPED_LOCATION")</f>
        <v>Miscellaneous Storage</v>
      </c>
      <c r="D183" s="2">
        <v>276</v>
      </c>
      <c r="E183" s="2">
        <v>281</v>
      </c>
      <c r="F183" s="2">
        <f>tbl_kpi[[#This Row],[OnHandQty]]</f>
        <v>276</v>
      </c>
      <c r="G183" s="2">
        <f>tbl_kpi[[#This Row],[CountedQty]]-tbl_kpi[[#This Row],[ExpectedQty]]</f>
        <v>5</v>
      </c>
      <c r="H183" s="2">
        <f>IF(tbl_kpi[[#This Row],[ExpectedQty]]=0, 1, MAX(0, 1 - ABS(tbl_kpi[[#This Row],[VarianceQty]]) / tbl_kpi[[#This Row],[ExpectedQty]]))</f>
        <v>0.98188405797101452</v>
      </c>
      <c r="I183" s="2" t="str">
        <f>IF(tbl_kpi[[#This Row],[AccuracyPct]] &lt; 0.98, "Y", "N")</f>
        <v>N</v>
      </c>
    </row>
    <row r="184" spans="1:9">
      <c r="A184" s="2">
        <v>382</v>
      </c>
      <c r="B184" s="2">
        <v>50</v>
      </c>
      <c r="C184" s="2" t="str">
        <f>_xlfn.XLOOKUP(tbl_kpi[[#This Row],[LocationID]], tbl_location[LocationID], tbl_location[LocationName], "UNMAPPED_LOCATION")</f>
        <v>Subassembly</v>
      </c>
      <c r="D184" s="2">
        <v>363</v>
      </c>
      <c r="E184" s="2">
        <v>354</v>
      </c>
      <c r="F184" s="2">
        <f>tbl_kpi[[#This Row],[OnHandQty]]</f>
        <v>363</v>
      </c>
      <c r="G184" s="2">
        <f>tbl_kpi[[#This Row],[CountedQty]]-tbl_kpi[[#This Row],[ExpectedQty]]</f>
        <v>-9</v>
      </c>
      <c r="H184" s="2">
        <f>IF(tbl_kpi[[#This Row],[ExpectedQty]]=0, 1, MAX(0, 1 - ABS(tbl_kpi[[#This Row],[VarianceQty]]) / tbl_kpi[[#This Row],[ExpectedQty]]))</f>
        <v>0.97520661157024791</v>
      </c>
      <c r="I184" s="2" t="str">
        <f>IF(tbl_kpi[[#This Row],[AccuracyPct]] &lt; 0.98, "Y", "N")</f>
        <v>Y</v>
      </c>
    </row>
    <row r="185" spans="1:9">
      <c r="A185" s="2">
        <v>383</v>
      </c>
      <c r="B185" s="2">
        <v>1</v>
      </c>
      <c r="C185" s="2" t="str">
        <f>_xlfn.XLOOKUP(tbl_kpi[[#This Row],[LocationID]], tbl_location[LocationID], tbl_location[LocationName], "UNMAPPED_LOCATION")</f>
        <v>Tool Crib</v>
      </c>
      <c r="D185" s="2">
        <v>587</v>
      </c>
      <c r="E185" s="2">
        <v>596</v>
      </c>
      <c r="F185" s="2">
        <f>tbl_kpi[[#This Row],[OnHandQty]]</f>
        <v>587</v>
      </c>
      <c r="G185" s="2">
        <f>tbl_kpi[[#This Row],[CountedQty]]-tbl_kpi[[#This Row],[ExpectedQty]]</f>
        <v>9</v>
      </c>
      <c r="H185" s="2">
        <f>IF(tbl_kpi[[#This Row],[ExpectedQty]]=0, 1, MAX(0, 1 - ABS(tbl_kpi[[#This Row],[VarianceQty]]) / tbl_kpi[[#This Row],[ExpectedQty]]))</f>
        <v>0.98466780238500851</v>
      </c>
      <c r="I185" s="2" t="str">
        <f>IF(tbl_kpi[[#This Row],[AccuracyPct]] &lt; 0.98, "Y", "N")</f>
        <v>N</v>
      </c>
    </row>
    <row r="186" spans="1:9">
      <c r="A186" s="2">
        <v>383</v>
      </c>
      <c r="B186" s="2">
        <v>6</v>
      </c>
      <c r="C186" s="2" t="str">
        <f>_xlfn.XLOOKUP(tbl_kpi[[#This Row],[LocationID]], tbl_location[LocationID], tbl_location[LocationName], "UNMAPPED_LOCATION")</f>
        <v>Miscellaneous Storage</v>
      </c>
      <c r="D186" s="2">
        <v>676</v>
      </c>
      <c r="E186" s="2">
        <v>672</v>
      </c>
      <c r="F186" s="2">
        <f>tbl_kpi[[#This Row],[OnHandQty]]</f>
        <v>676</v>
      </c>
      <c r="G186" s="2">
        <f>tbl_kpi[[#This Row],[CountedQty]]-tbl_kpi[[#This Row],[ExpectedQty]]</f>
        <v>-4</v>
      </c>
      <c r="H186" s="2">
        <f>IF(tbl_kpi[[#This Row],[ExpectedQty]]=0, 1, MAX(0, 1 - ABS(tbl_kpi[[#This Row],[VarianceQty]]) / tbl_kpi[[#This Row],[ExpectedQty]]))</f>
        <v>0.99408284023668636</v>
      </c>
      <c r="I186" s="2" t="str">
        <f>IF(tbl_kpi[[#This Row],[AccuracyPct]] &lt; 0.98, "Y", "N")</f>
        <v>N</v>
      </c>
    </row>
    <row r="187" spans="1:9">
      <c r="A187" s="2">
        <v>383</v>
      </c>
      <c r="B187" s="2">
        <v>50</v>
      </c>
      <c r="C187" s="2" t="str">
        <f>_xlfn.XLOOKUP(tbl_kpi[[#This Row],[LocationID]], tbl_location[LocationID], tbl_location[LocationName], "UNMAPPED_LOCATION")</f>
        <v>Subassembly</v>
      </c>
      <c r="D187" s="2">
        <v>638</v>
      </c>
      <c r="E187" s="2">
        <v>627</v>
      </c>
      <c r="F187" s="2">
        <f>tbl_kpi[[#This Row],[OnHandQty]]</f>
        <v>638</v>
      </c>
      <c r="G187" s="2">
        <f>tbl_kpi[[#This Row],[CountedQty]]-tbl_kpi[[#This Row],[ExpectedQty]]</f>
        <v>-11</v>
      </c>
      <c r="H187" s="2">
        <f>IF(tbl_kpi[[#This Row],[ExpectedQty]]=0, 1, MAX(0, 1 - ABS(tbl_kpi[[#This Row],[VarianceQty]]) / tbl_kpi[[#This Row],[ExpectedQty]]))</f>
        <v>0.98275862068965514</v>
      </c>
      <c r="I187" s="2" t="str">
        <f>IF(tbl_kpi[[#This Row],[AccuracyPct]] &lt; 0.98, "Y", "N")</f>
        <v>N</v>
      </c>
    </row>
    <row r="188" spans="1:9">
      <c r="A188" s="2">
        <v>384</v>
      </c>
      <c r="B188" s="2">
        <v>1</v>
      </c>
      <c r="C188" s="2" t="str">
        <f>_xlfn.XLOOKUP(tbl_kpi[[#This Row],[LocationID]], tbl_location[LocationID], tbl_location[LocationName], "UNMAPPED_LOCATION")</f>
        <v>Tool Crib</v>
      </c>
      <c r="D188" s="2">
        <v>299</v>
      </c>
      <c r="E188" s="2">
        <v>303</v>
      </c>
      <c r="F188" s="2">
        <f>tbl_kpi[[#This Row],[OnHandQty]]</f>
        <v>299</v>
      </c>
      <c r="G188" s="2">
        <f>tbl_kpi[[#This Row],[CountedQty]]-tbl_kpi[[#This Row],[ExpectedQty]]</f>
        <v>4</v>
      </c>
      <c r="H188" s="2">
        <f>IF(tbl_kpi[[#This Row],[ExpectedQty]]=0, 1, MAX(0, 1 - ABS(tbl_kpi[[#This Row],[VarianceQty]]) / tbl_kpi[[#This Row],[ExpectedQty]]))</f>
        <v>0.98662207357859533</v>
      </c>
      <c r="I188" s="2" t="str">
        <f>IF(tbl_kpi[[#This Row],[AccuracyPct]] &lt; 0.98, "Y", "N")</f>
        <v>N</v>
      </c>
    </row>
    <row r="189" spans="1:9">
      <c r="A189" s="2">
        <v>384</v>
      </c>
      <c r="B189" s="2">
        <v>6</v>
      </c>
      <c r="C189" s="2" t="str">
        <f>_xlfn.XLOOKUP(tbl_kpi[[#This Row],[LocationID]], tbl_location[LocationID], tbl_location[LocationName], "UNMAPPED_LOCATION")</f>
        <v>Miscellaneous Storage</v>
      </c>
      <c r="D189" s="2">
        <v>217</v>
      </c>
      <c r="E189" s="2">
        <v>218</v>
      </c>
      <c r="F189" s="2">
        <f>tbl_kpi[[#This Row],[OnHandQty]]</f>
        <v>217</v>
      </c>
      <c r="G189" s="2">
        <f>tbl_kpi[[#This Row],[CountedQty]]-tbl_kpi[[#This Row],[ExpectedQty]]</f>
        <v>1</v>
      </c>
      <c r="H189" s="2">
        <f>IF(tbl_kpi[[#This Row],[ExpectedQty]]=0, 1, MAX(0, 1 - ABS(tbl_kpi[[#This Row],[VarianceQty]]) / tbl_kpi[[#This Row],[ExpectedQty]]))</f>
        <v>0.99539170506912444</v>
      </c>
      <c r="I189" s="2" t="str">
        <f>IF(tbl_kpi[[#This Row],[AccuracyPct]] &lt; 0.98, "Y", "N")</f>
        <v>N</v>
      </c>
    </row>
    <row r="190" spans="1:9">
      <c r="A190" s="2">
        <v>384</v>
      </c>
      <c r="B190" s="2">
        <v>50</v>
      </c>
      <c r="C190" s="2" t="str">
        <f>_xlfn.XLOOKUP(tbl_kpi[[#This Row],[LocationID]], tbl_location[LocationID], tbl_location[LocationName], "UNMAPPED_LOCATION")</f>
        <v>Subassembly</v>
      </c>
      <c r="D190" s="2">
        <v>304</v>
      </c>
      <c r="E190" s="2">
        <v>307</v>
      </c>
      <c r="F190" s="2">
        <f>tbl_kpi[[#This Row],[OnHandQty]]</f>
        <v>304</v>
      </c>
      <c r="G190" s="2">
        <f>tbl_kpi[[#This Row],[CountedQty]]-tbl_kpi[[#This Row],[ExpectedQty]]</f>
        <v>3</v>
      </c>
      <c r="H190" s="2">
        <f>IF(tbl_kpi[[#This Row],[ExpectedQty]]=0, 1, MAX(0, 1 - ABS(tbl_kpi[[#This Row],[VarianceQty]]) / tbl_kpi[[#This Row],[ExpectedQty]]))</f>
        <v>0.99013157894736847</v>
      </c>
      <c r="I190" s="2" t="str">
        <f>IF(tbl_kpi[[#This Row],[AccuracyPct]] &lt; 0.98, "Y", "N")</f>
        <v>N</v>
      </c>
    </row>
    <row r="191" spans="1:9">
      <c r="A191" s="2">
        <v>385</v>
      </c>
      <c r="B191" s="2">
        <v>1</v>
      </c>
      <c r="C191" s="2" t="str">
        <f>_xlfn.XLOOKUP(tbl_kpi[[#This Row],[LocationID]], tbl_location[LocationID], tbl_location[LocationName], "UNMAPPED_LOCATION")</f>
        <v>Tool Crib</v>
      </c>
      <c r="D191" s="2">
        <v>619</v>
      </c>
      <c r="E191" s="2">
        <v>612</v>
      </c>
      <c r="F191" s="2">
        <f>tbl_kpi[[#This Row],[OnHandQty]]</f>
        <v>619</v>
      </c>
      <c r="G191" s="2">
        <f>tbl_kpi[[#This Row],[CountedQty]]-tbl_kpi[[#This Row],[ExpectedQty]]</f>
        <v>-7</v>
      </c>
      <c r="H191" s="2">
        <f>IF(tbl_kpi[[#This Row],[ExpectedQty]]=0, 1, MAX(0, 1 - ABS(tbl_kpi[[#This Row],[VarianceQty]]) / tbl_kpi[[#This Row],[ExpectedQty]]))</f>
        <v>0.98869143780290791</v>
      </c>
      <c r="I191" s="2" t="str">
        <f>IF(tbl_kpi[[#This Row],[AccuracyPct]] &lt; 0.98, "Y", "N")</f>
        <v>N</v>
      </c>
    </row>
    <row r="192" spans="1:9">
      <c r="A192" s="2">
        <v>385</v>
      </c>
      <c r="B192" s="2">
        <v>6</v>
      </c>
      <c r="C192" s="2" t="str">
        <f>_xlfn.XLOOKUP(tbl_kpi[[#This Row],[LocationID]], tbl_location[LocationID], tbl_location[LocationName], "UNMAPPED_LOCATION")</f>
        <v>Miscellaneous Storage</v>
      </c>
      <c r="D192" s="2">
        <v>526</v>
      </c>
      <c r="E192" s="2">
        <v>515</v>
      </c>
      <c r="F192" s="2">
        <f>tbl_kpi[[#This Row],[OnHandQty]]</f>
        <v>526</v>
      </c>
      <c r="G192" s="2">
        <f>tbl_kpi[[#This Row],[CountedQty]]-tbl_kpi[[#This Row],[ExpectedQty]]</f>
        <v>-11</v>
      </c>
      <c r="H192" s="2">
        <f>IF(tbl_kpi[[#This Row],[ExpectedQty]]=0, 1, MAX(0, 1 - ABS(tbl_kpi[[#This Row],[VarianceQty]]) / tbl_kpi[[#This Row],[ExpectedQty]]))</f>
        <v>0.97908745247148288</v>
      </c>
      <c r="I192" s="2" t="str">
        <f>IF(tbl_kpi[[#This Row],[AccuracyPct]] &lt; 0.98, "Y", "N")</f>
        <v>Y</v>
      </c>
    </row>
    <row r="193" spans="1:9">
      <c r="A193" s="2">
        <v>385</v>
      </c>
      <c r="B193" s="2">
        <v>50</v>
      </c>
      <c r="C193" s="2" t="str">
        <f>_xlfn.XLOOKUP(tbl_kpi[[#This Row],[LocationID]], tbl_location[LocationID], tbl_location[LocationName], "UNMAPPED_LOCATION")</f>
        <v>Subassembly</v>
      </c>
      <c r="D193" s="2">
        <v>633</v>
      </c>
      <c r="E193" s="2">
        <v>642</v>
      </c>
      <c r="F193" s="2">
        <f>tbl_kpi[[#This Row],[OnHandQty]]</f>
        <v>633</v>
      </c>
      <c r="G193" s="2">
        <f>tbl_kpi[[#This Row],[CountedQty]]-tbl_kpi[[#This Row],[ExpectedQty]]</f>
        <v>9</v>
      </c>
      <c r="H193" s="2">
        <f>IF(tbl_kpi[[#This Row],[ExpectedQty]]=0, 1, MAX(0, 1 - ABS(tbl_kpi[[#This Row],[VarianceQty]]) / tbl_kpi[[#This Row],[ExpectedQty]]))</f>
        <v>0.98578199052132698</v>
      </c>
      <c r="I193" s="2" t="str">
        <f>IF(tbl_kpi[[#This Row],[AccuracyPct]] &lt; 0.98, "Y", "N")</f>
        <v>N</v>
      </c>
    </row>
    <row r="194" spans="1:9">
      <c r="A194" s="2">
        <v>386</v>
      </c>
      <c r="B194" s="2">
        <v>1</v>
      </c>
      <c r="C194" s="2" t="str">
        <f>_xlfn.XLOOKUP(tbl_kpi[[#This Row],[LocationID]], tbl_location[LocationID], tbl_location[LocationName], "UNMAPPED_LOCATION")</f>
        <v>Tool Crib</v>
      </c>
      <c r="D194" s="2">
        <v>148</v>
      </c>
      <c r="E194" s="2">
        <v>147</v>
      </c>
      <c r="F194" s="2">
        <f>tbl_kpi[[#This Row],[OnHandQty]]</f>
        <v>148</v>
      </c>
      <c r="G194" s="2">
        <f>tbl_kpi[[#This Row],[CountedQty]]-tbl_kpi[[#This Row],[ExpectedQty]]</f>
        <v>-1</v>
      </c>
      <c r="H194" s="2">
        <f>IF(tbl_kpi[[#This Row],[ExpectedQty]]=0, 1, MAX(0, 1 - ABS(tbl_kpi[[#This Row],[VarianceQty]]) / tbl_kpi[[#This Row],[ExpectedQty]]))</f>
        <v>0.9932432432432432</v>
      </c>
      <c r="I194" s="2" t="str">
        <f>IF(tbl_kpi[[#This Row],[AccuracyPct]] &lt; 0.98, "Y", "N")</f>
        <v>N</v>
      </c>
    </row>
    <row r="195" spans="1:9">
      <c r="A195" s="2">
        <v>386</v>
      </c>
      <c r="B195" s="2">
        <v>6</v>
      </c>
      <c r="C195" s="2" t="str">
        <f>_xlfn.XLOOKUP(tbl_kpi[[#This Row],[LocationID]], tbl_location[LocationID], tbl_location[LocationName], "UNMAPPED_LOCATION")</f>
        <v>Miscellaneous Storage</v>
      </c>
      <c r="D195" s="2">
        <v>192</v>
      </c>
      <c r="E195" s="2">
        <v>195</v>
      </c>
      <c r="F195" s="2">
        <f>tbl_kpi[[#This Row],[OnHandQty]]</f>
        <v>192</v>
      </c>
      <c r="G195" s="2">
        <f>tbl_kpi[[#This Row],[CountedQty]]-tbl_kpi[[#This Row],[ExpectedQty]]</f>
        <v>3</v>
      </c>
      <c r="H195" s="2">
        <f>IF(tbl_kpi[[#This Row],[ExpectedQty]]=0, 1, MAX(0, 1 - ABS(tbl_kpi[[#This Row],[VarianceQty]]) / tbl_kpi[[#This Row],[ExpectedQty]]))</f>
        <v>0.984375</v>
      </c>
      <c r="I195" s="2" t="str">
        <f>IF(tbl_kpi[[#This Row],[AccuracyPct]] &lt; 0.98, "Y", "N")</f>
        <v>N</v>
      </c>
    </row>
    <row r="196" spans="1:9">
      <c r="A196" s="2">
        <v>386</v>
      </c>
      <c r="B196" s="2">
        <v>50</v>
      </c>
      <c r="C196" s="2" t="str">
        <f>_xlfn.XLOOKUP(tbl_kpi[[#This Row],[LocationID]], tbl_location[LocationID], tbl_location[LocationName], "UNMAPPED_LOCATION")</f>
        <v>Subassembly</v>
      </c>
      <c r="D196" s="2">
        <v>385</v>
      </c>
      <c r="E196" s="2">
        <v>395</v>
      </c>
      <c r="F196" s="2">
        <f>tbl_kpi[[#This Row],[OnHandQty]]</f>
        <v>385</v>
      </c>
      <c r="G196" s="2">
        <f>tbl_kpi[[#This Row],[CountedQty]]-tbl_kpi[[#This Row],[ExpectedQty]]</f>
        <v>10</v>
      </c>
      <c r="H196" s="2">
        <f>IF(tbl_kpi[[#This Row],[ExpectedQty]]=0, 1, MAX(0, 1 - ABS(tbl_kpi[[#This Row],[VarianceQty]]) / tbl_kpi[[#This Row],[ExpectedQty]]))</f>
        <v>0.97402597402597402</v>
      </c>
      <c r="I196" s="2" t="str">
        <f>IF(tbl_kpi[[#This Row],[AccuracyPct]] &lt; 0.98, "Y", "N")</f>
        <v>Y</v>
      </c>
    </row>
    <row r="197" spans="1:9">
      <c r="A197" s="2">
        <v>387</v>
      </c>
      <c r="B197" s="2">
        <v>1</v>
      </c>
      <c r="C197" s="2" t="str">
        <f>_xlfn.XLOOKUP(tbl_kpi[[#This Row],[LocationID]], tbl_location[LocationID], tbl_location[LocationName], "UNMAPPED_LOCATION")</f>
        <v>Tool Crib</v>
      </c>
      <c r="D197" s="2">
        <v>524</v>
      </c>
      <c r="E197" s="2">
        <v>521</v>
      </c>
      <c r="F197" s="2">
        <f>tbl_kpi[[#This Row],[OnHandQty]]</f>
        <v>524</v>
      </c>
      <c r="G197" s="2">
        <f>tbl_kpi[[#This Row],[CountedQty]]-tbl_kpi[[#This Row],[ExpectedQty]]</f>
        <v>-3</v>
      </c>
      <c r="H197" s="2">
        <f>IF(tbl_kpi[[#This Row],[ExpectedQty]]=0, 1, MAX(0, 1 - ABS(tbl_kpi[[#This Row],[VarianceQty]]) / tbl_kpi[[#This Row],[ExpectedQty]]))</f>
        <v>0.99427480916030531</v>
      </c>
      <c r="I197" s="2" t="str">
        <f>IF(tbl_kpi[[#This Row],[AccuracyPct]] &lt; 0.98, "Y", "N")</f>
        <v>N</v>
      </c>
    </row>
    <row r="198" spans="1:9">
      <c r="A198" s="2">
        <v>387</v>
      </c>
      <c r="B198" s="2">
        <v>6</v>
      </c>
      <c r="C198" s="2" t="str">
        <f>_xlfn.XLOOKUP(tbl_kpi[[#This Row],[LocationID]], tbl_location[LocationID], tbl_location[LocationName], "UNMAPPED_LOCATION")</f>
        <v>Miscellaneous Storage</v>
      </c>
      <c r="D198" s="2">
        <v>710</v>
      </c>
      <c r="E198" s="2">
        <v>708</v>
      </c>
      <c r="F198" s="2">
        <f>tbl_kpi[[#This Row],[OnHandQty]]</f>
        <v>710</v>
      </c>
      <c r="G198" s="2">
        <f>tbl_kpi[[#This Row],[CountedQty]]-tbl_kpi[[#This Row],[ExpectedQty]]</f>
        <v>-2</v>
      </c>
      <c r="H198" s="2">
        <f>IF(tbl_kpi[[#This Row],[ExpectedQty]]=0, 1, MAX(0, 1 - ABS(tbl_kpi[[#This Row],[VarianceQty]]) / tbl_kpi[[#This Row],[ExpectedQty]]))</f>
        <v>0.9971830985915493</v>
      </c>
      <c r="I198" s="2" t="str">
        <f>IF(tbl_kpi[[#This Row],[AccuracyPct]] &lt; 0.98, "Y", "N")</f>
        <v>N</v>
      </c>
    </row>
    <row r="199" spans="1:9">
      <c r="A199" s="2">
        <v>387</v>
      </c>
      <c r="B199" s="2">
        <v>50</v>
      </c>
      <c r="C199" s="2" t="str">
        <f>_xlfn.XLOOKUP(tbl_kpi[[#This Row],[LocationID]], tbl_location[LocationID], tbl_location[LocationName], "UNMAPPED_LOCATION")</f>
        <v>Subassembly</v>
      </c>
      <c r="D199" s="2">
        <v>654</v>
      </c>
      <c r="E199" s="2">
        <v>652</v>
      </c>
      <c r="F199" s="2">
        <f>tbl_kpi[[#This Row],[OnHandQty]]</f>
        <v>654</v>
      </c>
      <c r="G199" s="2">
        <f>tbl_kpi[[#This Row],[CountedQty]]-tbl_kpi[[#This Row],[ExpectedQty]]</f>
        <v>-2</v>
      </c>
      <c r="H199" s="2">
        <f>IF(tbl_kpi[[#This Row],[ExpectedQty]]=0, 1, MAX(0, 1 - ABS(tbl_kpi[[#This Row],[VarianceQty]]) / tbl_kpi[[#This Row],[ExpectedQty]]))</f>
        <v>0.99694189602446481</v>
      </c>
      <c r="I199" s="2" t="str">
        <f>IF(tbl_kpi[[#This Row],[AccuracyPct]] &lt; 0.98, "Y", "N")</f>
        <v>N</v>
      </c>
    </row>
    <row r="200" spans="1:9">
      <c r="A200" s="2">
        <v>388</v>
      </c>
      <c r="B200" s="2">
        <v>1</v>
      </c>
      <c r="C200" s="2" t="str">
        <f>_xlfn.XLOOKUP(tbl_kpi[[#This Row],[LocationID]], tbl_location[LocationID], tbl_location[LocationName], "UNMAPPED_LOCATION")</f>
        <v>Tool Crib</v>
      </c>
      <c r="D200" s="2">
        <v>292</v>
      </c>
      <c r="E200" s="2">
        <v>284</v>
      </c>
      <c r="F200" s="2">
        <f>tbl_kpi[[#This Row],[OnHandQty]]</f>
        <v>292</v>
      </c>
      <c r="G200" s="2">
        <f>tbl_kpi[[#This Row],[CountedQty]]-tbl_kpi[[#This Row],[ExpectedQty]]</f>
        <v>-8</v>
      </c>
      <c r="H200" s="2">
        <f>IF(tbl_kpi[[#This Row],[ExpectedQty]]=0, 1, MAX(0, 1 - ABS(tbl_kpi[[#This Row],[VarianceQty]]) / tbl_kpi[[#This Row],[ExpectedQty]]))</f>
        <v>0.9726027397260274</v>
      </c>
      <c r="I200" s="2" t="str">
        <f>IF(tbl_kpi[[#This Row],[AccuracyPct]] &lt; 0.98, "Y", "N")</f>
        <v>Y</v>
      </c>
    </row>
    <row r="201" spans="1:9">
      <c r="A201" s="2">
        <v>388</v>
      </c>
      <c r="B201" s="2">
        <v>6</v>
      </c>
      <c r="C201" s="2" t="str">
        <f>_xlfn.XLOOKUP(tbl_kpi[[#This Row],[LocationID]], tbl_location[LocationID], tbl_location[LocationName], "UNMAPPED_LOCATION")</f>
        <v>Miscellaneous Storage</v>
      </c>
      <c r="D201" s="2">
        <v>140</v>
      </c>
      <c r="E201" s="2">
        <v>139</v>
      </c>
      <c r="F201" s="2">
        <f>tbl_kpi[[#This Row],[OnHandQty]]</f>
        <v>140</v>
      </c>
      <c r="G201" s="2">
        <f>tbl_kpi[[#This Row],[CountedQty]]-tbl_kpi[[#This Row],[ExpectedQty]]</f>
        <v>-1</v>
      </c>
      <c r="H201" s="2">
        <f>IF(tbl_kpi[[#This Row],[ExpectedQty]]=0, 1, MAX(0, 1 - ABS(tbl_kpi[[#This Row],[VarianceQty]]) / tbl_kpi[[#This Row],[ExpectedQty]]))</f>
        <v>0.99285714285714288</v>
      </c>
      <c r="I201" s="2" t="str">
        <f>IF(tbl_kpi[[#This Row],[AccuracyPct]] &lt; 0.98, "Y", "N")</f>
        <v>N</v>
      </c>
    </row>
    <row r="202" spans="1:9">
      <c r="A202" s="2">
        <v>388</v>
      </c>
      <c r="B202" s="2">
        <v>50</v>
      </c>
      <c r="C202" s="2" t="str">
        <f>_xlfn.XLOOKUP(tbl_kpi[[#This Row],[LocationID]], tbl_location[LocationID], tbl_location[LocationName], "UNMAPPED_LOCATION")</f>
        <v>Subassembly</v>
      </c>
      <c r="D202" s="2">
        <v>366</v>
      </c>
      <c r="E202" s="2">
        <v>374</v>
      </c>
      <c r="F202" s="2">
        <f>tbl_kpi[[#This Row],[OnHandQty]]</f>
        <v>366</v>
      </c>
      <c r="G202" s="2">
        <f>tbl_kpi[[#This Row],[CountedQty]]-tbl_kpi[[#This Row],[ExpectedQty]]</f>
        <v>8</v>
      </c>
      <c r="H202" s="2">
        <f>IF(tbl_kpi[[#This Row],[ExpectedQty]]=0, 1, MAX(0, 1 - ABS(tbl_kpi[[#This Row],[VarianceQty]]) / tbl_kpi[[#This Row],[ExpectedQty]]))</f>
        <v>0.97814207650273222</v>
      </c>
      <c r="I202" s="2" t="str">
        <f>IF(tbl_kpi[[#This Row],[AccuracyPct]] &lt; 0.98, "Y", "N")</f>
        <v>Y</v>
      </c>
    </row>
    <row r="203" spans="1:9">
      <c r="A203" s="2">
        <v>389</v>
      </c>
      <c r="B203" s="2">
        <v>1</v>
      </c>
      <c r="C203" s="2" t="str">
        <f>_xlfn.XLOOKUP(tbl_kpi[[#This Row],[LocationID]], tbl_location[LocationID], tbl_location[LocationName], "UNMAPPED_LOCATION")</f>
        <v>Tool Crib</v>
      </c>
      <c r="D203" s="2">
        <v>657</v>
      </c>
      <c r="E203" s="2">
        <v>643</v>
      </c>
      <c r="F203" s="2">
        <f>tbl_kpi[[#This Row],[OnHandQty]]</f>
        <v>657</v>
      </c>
      <c r="G203" s="2">
        <f>tbl_kpi[[#This Row],[CountedQty]]-tbl_kpi[[#This Row],[ExpectedQty]]</f>
        <v>-14</v>
      </c>
      <c r="H203" s="2">
        <f>IF(tbl_kpi[[#This Row],[ExpectedQty]]=0, 1, MAX(0, 1 - ABS(tbl_kpi[[#This Row],[VarianceQty]]) / tbl_kpi[[#This Row],[ExpectedQty]]))</f>
        <v>0.9786910197869102</v>
      </c>
      <c r="I203" s="2" t="str">
        <f>IF(tbl_kpi[[#This Row],[AccuracyPct]] &lt; 0.98, "Y", "N")</f>
        <v>Y</v>
      </c>
    </row>
    <row r="204" spans="1:9">
      <c r="A204" s="2">
        <v>389</v>
      </c>
      <c r="B204" s="2">
        <v>6</v>
      </c>
      <c r="C204" s="2" t="str">
        <f>_xlfn.XLOOKUP(tbl_kpi[[#This Row],[LocationID]], tbl_location[LocationID], tbl_location[LocationName], "UNMAPPED_LOCATION")</f>
        <v>Miscellaneous Storage</v>
      </c>
      <c r="D204" s="2">
        <v>691</v>
      </c>
      <c r="E204" s="2">
        <v>685</v>
      </c>
      <c r="F204" s="2">
        <f>tbl_kpi[[#This Row],[OnHandQty]]</f>
        <v>691</v>
      </c>
      <c r="G204" s="2">
        <f>tbl_kpi[[#This Row],[CountedQty]]-tbl_kpi[[#This Row],[ExpectedQty]]</f>
        <v>-6</v>
      </c>
      <c r="H204" s="2">
        <f>IF(tbl_kpi[[#This Row],[ExpectedQty]]=0, 1, MAX(0, 1 - ABS(tbl_kpi[[#This Row],[VarianceQty]]) / tbl_kpi[[#This Row],[ExpectedQty]]))</f>
        <v>0.99131693198263382</v>
      </c>
      <c r="I204" s="2" t="str">
        <f>IF(tbl_kpi[[#This Row],[AccuracyPct]] &lt; 0.98, "Y", "N")</f>
        <v>N</v>
      </c>
    </row>
    <row r="205" spans="1:9">
      <c r="A205" s="2">
        <v>389</v>
      </c>
      <c r="B205" s="2">
        <v>50</v>
      </c>
      <c r="C205" s="2" t="str">
        <f>_xlfn.XLOOKUP(tbl_kpi[[#This Row],[LocationID]], tbl_location[LocationID], tbl_location[LocationName], "UNMAPPED_LOCATION")</f>
        <v>Subassembly</v>
      </c>
      <c r="D205" s="2">
        <v>460</v>
      </c>
      <c r="E205" s="2">
        <v>469</v>
      </c>
      <c r="F205" s="2">
        <f>tbl_kpi[[#This Row],[OnHandQty]]</f>
        <v>460</v>
      </c>
      <c r="G205" s="2">
        <f>tbl_kpi[[#This Row],[CountedQty]]-tbl_kpi[[#This Row],[ExpectedQty]]</f>
        <v>9</v>
      </c>
      <c r="H205" s="2">
        <f>IF(tbl_kpi[[#This Row],[ExpectedQty]]=0, 1, MAX(0, 1 - ABS(tbl_kpi[[#This Row],[VarianceQty]]) / tbl_kpi[[#This Row],[ExpectedQty]]))</f>
        <v>0.98043478260869565</v>
      </c>
      <c r="I205" s="2" t="str">
        <f>IF(tbl_kpi[[#This Row],[AccuracyPct]] &lt; 0.98, "Y", "N")</f>
        <v>N</v>
      </c>
    </row>
    <row r="206" spans="1:9">
      <c r="A206" s="2">
        <v>390</v>
      </c>
      <c r="B206" s="2">
        <v>1</v>
      </c>
      <c r="C206" s="2" t="str">
        <f>_xlfn.XLOOKUP(tbl_kpi[[#This Row],[LocationID]], tbl_location[LocationID], tbl_location[LocationName], "UNMAPPED_LOCATION")</f>
        <v>Tool Crib</v>
      </c>
      <c r="D206" s="2">
        <v>292</v>
      </c>
      <c r="E206" s="2">
        <v>292</v>
      </c>
      <c r="F206" s="2">
        <f>tbl_kpi[[#This Row],[OnHandQty]]</f>
        <v>292</v>
      </c>
      <c r="G206" s="2">
        <f>tbl_kpi[[#This Row],[CountedQty]]-tbl_kpi[[#This Row],[ExpectedQty]]</f>
        <v>0</v>
      </c>
      <c r="H206" s="2">
        <f>IF(tbl_kpi[[#This Row],[ExpectedQty]]=0, 1, MAX(0, 1 - ABS(tbl_kpi[[#This Row],[VarianceQty]]) / tbl_kpi[[#This Row],[ExpectedQty]]))</f>
        <v>1</v>
      </c>
      <c r="I206" s="2" t="str">
        <f>IF(tbl_kpi[[#This Row],[AccuracyPct]] &lt; 0.98, "Y", "N")</f>
        <v>N</v>
      </c>
    </row>
    <row r="207" spans="1:9">
      <c r="A207" s="2">
        <v>390</v>
      </c>
      <c r="B207" s="2">
        <v>6</v>
      </c>
      <c r="C207" s="2" t="str">
        <f>_xlfn.XLOOKUP(tbl_kpi[[#This Row],[LocationID]], tbl_location[LocationID], tbl_location[LocationName], "UNMAPPED_LOCATION")</f>
        <v>Miscellaneous Storage</v>
      </c>
      <c r="D207" s="2">
        <v>140</v>
      </c>
      <c r="E207" s="2">
        <v>139</v>
      </c>
      <c r="F207" s="2">
        <f>tbl_kpi[[#This Row],[OnHandQty]]</f>
        <v>140</v>
      </c>
      <c r="G207" s="2">
        <f>tbl_kpi[[#This Row],[CountedQty]]-tbl_kpi[[#This Row],[ExpectedQty]]</f>
        <v>-1</v>
      </c>
      <c r="H207" s="2">
        <f>IF(tbl_kpi[[#This Row],[ExpectedQty]]=0, 1, MAX(0, 1 - ABS(tbl_kpi[[#This Row],[VarianceQty]]) / tbl_kpi[[#This Row],[ExpectedQty]]))</f>
        <v>0.99285714285714288</v>
      </c>
      <c r="I207" s="2" t="str">
        <f>IF(tbl_kpi[[#This Row],[AccuracyPct]] &lt; 0.98, "Y", "N")</f>
        <v>N</v>
      </c>
    </row>
    <row r="208" spans="1:9">
      <c r="A208" s="2">
        <v>390</v>
      </c>
      <c r="B208" s="2">
        <v>50</v>
      </c>
      <c r="C208" s="2" t="str">
        <f>_xlfn.XLOOKUP(tbl_kpi[[#This Row],[LocationID]], tbl_location[LocationID], tbl_location[LocationName], "UNMAPPED_LOCATION")</f>
        <v>Subassembly</v>
      </c>
      <c r="D208" s="2">
        <v>366</v>
      </c>
      <c r="E208" s="2">
        <v>374</v>
      </c>
      <c r="F208" s="2">
        <f>tbl_kpi[[#This Row],[OnHandQty]]</f>
        <v>366</v>
      </c>
      <c r="G208" s="2">
        <f>tbl_kpi[[#This Row],[CountedQty]]-tbl_kpi[[#This Row],[ExpectedQty]]</f>
        <v>8</v>
      </c>
      <c r="H208" s="2">
        <f>IF(tbl_kpi[[#This Row],[ExpectedQty]]=0, 1, MAX(0, 1 - ABS(tbl_kpi[[#This Row],[VarianceQty]]) / tbl_kpi[[#This Row],[ExpectedQty]]))</f>
        <v>0.97814207650273222</v>
      </c>
      <c r="I208" s="2" t="str">
        <f>IF(tbl_kpi[[#This Row],[AccuracyPct]] &lt; 0.98, "Y", "N")</f>
        <v>Y</v>
      </c>
    </row>
    <row r="209" spans="1:9">
      <c r="A209" s="2">
        <v>391</v>
      </c>
      <c r="B209" s="2">
        <v>1</v>
      </c>
      <c r="C209" s="2" t="str">
        <f>_xlfn.XLOOKUP(tbl_kpi[[#This Row],[LocationID]], tbl_location[LocationID], tbl_location[LocationName], "UNMAPPED_LOCATION")</f>
        <v>Tool Crib</v>
      </c>
      <c r="D209" s="2">
        <v>296</v>
      </c>
      <c r="E209" s="2">
        <v>287</v>
      </c>
      <c r="F209" s="2">
        <f>tbl_kpi[[#This Row],[OnHandQty]]</f>
        <v>296</v>
      </c>
      <c r="G209" s="2">
        <f>tbl_kpi[[#This Row],[CountedQty]]-tbl_kpi[[#This Row],[ExpectedQty]]</f>
        <v>-9</v>
      </c>
      <c r="H209" s="2">
        <f>IF(tbl_kpi[[#This Row],[ExpectedQty]]=0, 1, MAX(0, 1 - ABS(tbl_kpi[[#This Row],[VarianceQty]]) / tbl_kpi[[#This Row],[ExpectedQty]]))</f>
        <v>0.96959459459459463</v>
      </c>
      <c r="I209" s="2" t="str">
        <f>IF(tbl_kpi[[#This Row],[AccuracyPct]] &lt; 0.98, "Y", "N")</f>
        <v>Y</v>
      </c>
    </row>
    <row r="210" spans="1:9">
      <c r="A210" s="2">
        <v>391</v>
      </c>
      <c r="B210" s="2">
        <v>6</v>
      </c>
      <c r="C210" s="2" t="str">
        <f>_xlfn.XLOOKUP(tbl_kpi[[#This Row],[LocationID]], tbl_location[LocationID], tbl_location[LocationName], "UNMAPPED_LOCATION")</f>
        <v>Miscellaneous Storage</v>
      </c>
      <c r="D210" s="2">
        <v>144</v>
      </c>
      <c r="E210" s="2">
        <v>143</v>
      </c>
      <c r="F210" s="2">
        <f>tbl_kpi[[#This Row],[OnHandQty]]</f>
        <v>144</v>
      </c>
      <c r="G210" s="2">
        <f>tbl_kpi[[#This Row],[CountedQty]]-tbl_kpi[[#This Row],[ExpectedQty]]</f>
        <v>-1</v>
      </c>
      <c r="H210" s="2">
        <f>IF(tbl_kpi[[#This Row],[ExpectedQty]]=0, 1, MAX(0, 1 - ABS(tbl_kpi[[#This Row],[VarianceQty]]) / tbl_kpi[[#This Row],[ExpectedQty]]))</f>
        <v>0.99305555555555558</v>
      </c>
      <c r="I210" s="2" t="str">
        <f>IF(tbl_kpi[[#This Row],[AccuracyPct]] &lt; 0.98, "Y", "N")</f>
        <v>N</v>
      </c>
    </row>
    <row r="211" spans="1:9">
      <c r="A211" s="2">
        <v>391</v>
      </c>
      <c r="B211" s="2">
        <v>50</v>
      </c>
      <c r="C211" s="2" t="str">
        <f>_xlfn.XLOOKUP(tbl_kpi[[#This Row],[LocationID]], tbl_location[LocationID], tbl_location[LocationName], "UNMAPPED_LOCATION")</f>
        <v>Subassembly</v>
      </c>
      <c r="D211" s="2">
        <v>369</v>
      </c>
      <c r="E211" s="2">
        <v>373</v>
      </c>
      <c r="F211" s="2">
        <f>tbl_kpi[[#This Row],[OnHandQty]]</f>
        <v>369</v>
      </c>
      <c r="G211" s="2">
        <f>tbl_kpi[[#This Row],[CountedQty]]-tbl_kpi[[#This Row],[ExpectedQty]]</f>
        <v>4</v>
      </c>
      <c r="H211" s="2">
        <f>IF(tbl_kpi[[#This Row],[ExpectedQty]]=0, 1, MAX(0, 1 - ABS(tbl_kpi[[#This Row],[VarianceQty]]) / tbl_kpi[[#This Row],[ExpectedQty]]))</f>
        <v>0.98915989159891604</v>
      </c>
      <c r="I211" s="2" t="str">
        <f>IF(tbl_kpi[[#This Row],[AccuracyPct]] &lt; 0.98, "Y", "N")</f>
        <v>N</v>
      </c>
    </row>
    <row r="212" spans="1:9">
      <c r="A212" s="2">
        <v>392</v>
      </c>
      <c r="B212" s="2">
        <v>1</v>
      </c>
      <c r="C212" s="2" t="str">
        <f>_xlfn.XLOOKUP(tbl_kpi[[#This Row],[LocationID]], tbl_location[LocationID], tbl_location[LocationName], "UNMAPPED_LOCATION")</f>
        <v>Tool Crib</v>
      </c>
      <c r="D212" s="2">
        <v>299</v>
      </c>
      <c r="E212" s="2">
        <v>304</v>
      </c>
      <c r="F212" s="2">
        <f>tbl_kpi[[#This Row],[OnHandQty]]</f>
        <v>299</v>
      </c>
      <c r="G212" s="2">
        <f>tbl_kpi[[#This Row],[CountedQty]]-tbl_kpi[[#This Row],[ExpectedQty]]</f>
        <v>5</v>
      </c>
      <c r="H212" s="2">
        <f>IF(tbl_kpi[[#This Row],[ExpectedQty]]=0, 1, MAX(0, 1 - ABS(tbl_kpi[[#This Row],[VarianceQty]]) / tbl_kpi[[#This Row],[ExpectedQty]]))</f>
        <v>0.98327759197324416</v>
      </c>
      <c r="I212" s="2" t="str">
        <f>IF(tbl_kpi[[#This Row],[AccuracyPct]] &lt; 0.98, "Y", "N")</f>
        <v>N</v>
      </c>
    </row>
    <row r="213" spans="1:9">
      <c r="A213" s="2">
        <v>392</v>
      </c>
      <c r="B213" s="2">
        <v>6</v>
      </c>
      <c r="C213" s="2" t="str">
        <f>_xlfn.XLOOKUP(tbl_kpi[[#This Row],[LocationID]], tbl_location[LocationID], tbl_location[LocationName], "UNMAPPED_LOCATION")</f>
        <v>Miscellaneous Storage</v>
      </c>
      <c r="D213" s="2">
        <v>147</v>
      </c>
      <c r="E213" s="2">
        <v>149</v>
      </c>
      <c r="F213" s="2">
        <f>tbl_kpi[[#This Row],[OnHandQty]]</f>
        <v>147</v>
      </c>
      <c r="G213" s="2">
        <f>tbl_kpi[[#This Row],[CountedQty]]-tbl_kpi[[#This Row],[ExpectedQty]]</f>
        <v>2</v>
      </c>
      <c r="H213" s="2">
        <f>IF(tbl_kpi[[#This Row],[ExpectedQty]]=0, 1, MAX(0, 1 - ABS(tbl_kpi[[#This Row],[VarianceQty]]) / tbl_kpi[[#This Row],[ExpectedQty]]))</f>
        <v>0.98639455782312924</v>
      </c>
      <c r="I213" s="2" t="str">
        <f>IF(tbl_kpi[[#This Row],[AccuracyPct]] &lt; 0.98, "Y", "N")</f>
        <v>N</v>
      </c>
    </row>
    <row r="214" spans="1:9">
      <c r="A214" s="2">
        <v>392</v>
      </c>
      <c r="B214" s="2">
        <v>50</v>
      </c>
      <c r="C214" s="2" t="str">
        <f>_xlfn.XLOOKUP(tbl_kpi[[#This Row],[LocationID]], tbl_location[LocationID], tbl_location[LocationName], "UNMAPPED_LOCATION")</f>
        <v>Subassembly</v>
      </c>
      <c r="D214" s="2">
        <v>372</v>
      </c>
      <c r="E214" s="2">
        <v>366</v>
      </c>
      <c r="F214" s="2">
        <f>tbl_kpi[[#This Row],[OnHandQty]]</f>
        <v>372</v>
      </c>
      <c r="G214" s="2">
        <f>tbl_kpi[[#This Row],[CountedQty]]-tbl_kpi[[#This Row],[ExpectedQty]]</f>
        <v>-6</v>
      </c>
      <c r="H214" s="2">
        <f>IF(tbl_kpi[[#This Row],[ExpectedQty]]=0, 1, MAX(0, 1 - ABS(tbl_kpi[[#This Row],[VarianceQty]]) / tbl_kpi[[#This Row],[ExpectedQty]]))</f>
        <v>0.9838709677419355</v>
      </c>
      <c r="I214" s="2" t="str">
        <f>IF(tbl_kpi[[#This Row],[AccuracyPct]] &lt; 0.98, "Y", "N")</f>
        <v>N</v>
      </c>
    </row>
    <row r="215" spans="1:9">
      <c r="A215" s="2">
        <v>393</v>
      </c>
      <c r="B215" s="2">
        <v>1</v>
      </c>
      <c r="C215" s="2" t="str">
        <f>_xlfn.XLOOKUP(tbl_kpi[[#This Row],[LocationID]], tbl_location[LocationID], tbl_location[LocationName], "UNMAPPED_LOCATION")</f>
        <v>Tool Crib</v>
      </c>
      <c r="D215" s="2">
        <v>603</v>
      </c>
      <c r="E215" s="2">
        <v>610</v>
      </c>
      <c r="F215" s="2">
        <f>tbl_kpi[[#This Row],[OnHandQty]]</f>
        <v>603</v>
      </c>
      <c r="G215" s="2">
        <f>tbl_kpi[[#This Row],[CountedQty]]-tbl_kpi[[#This Row],[ExpectedQty]]</f>
        <v>7</v>
      </c>
      <c r="H215" s="2">
        <f>IF(tbl_kpi[[#This Row],[ExpectedQty]]=0, 1, MAX(0, 1 - ABS(tbl_kpi[[#This Row],[VarianceQty]]) / tbl_kpi[[#This Row],[ExpectedQty]]))</f>
        <v>0.988391376451078</v>
      </c>
      <c r="I215" s="2" t="str">
        <f>IF(tbl_kpi[[#This Row],[AccuracyPct]] &lt; 0.98, "Y", "N")</f>
        <v>N</v>
      </c>
    </row>
    <row r="216" spans="1:9">
      <c r="A216" s="2">
        <v>393</v>
      </c>
      <c r="B216" s="2">
        <v>6</v>
      </c>
      <c r="C216" s="2" t="str">
        <f>_xlfn.XLOOKUP(tbl_kpi[[#This Row],[LocationID]], tbl_location[LocationID], tbl_location[LocationName], "UNMAPPED_LOCATION")</f>
        <v>Miscellaneous Storage</v>
      </c>
      <c r="D216" s="2">
        <v>780</v>
      </c>
      <c r="E216" s="2">
        <v>772</v>
      </c>
      <c r="F216" s="2">
        <f>tbl_kpi[[#This Row],[OnHandQty]]</f>
        <v>780</v>
      </c>
      <c r="G216" s="2">
        <f>tbl_kpi[[#This Row],[CountedQty]]-tbl_kpi[[#This Row],[ExpectedQty]]</f>
        <v>-8</v>
      </c>
      <c r="H216" s="2">
        <f>IF(tbl_kpi[[#This Row],[ExpectedQty]]=0, 1, MAX(0, 1 - ABS(tbl_kpi[[#This Row],[VarianceQty]]) / tbl_kpi[[#This Row],[ExpectedQty]]))</f>
        <v>0.98974358974358978</v>
      </c>
      <c r="I216" s="2" t="str">
        <f>IF(tbl_kpi[[#This Row],[AccuracyPct]] &lt; 0.98, "Y", "N")</f>
        <v>N</v>
      </c>
    </row>
    <row r="217" spans="1:9">
      <c r="A217" s="2">
        <v>393</v>
      </c>
      <c r="B217" s="2">
        <v>50</v>
      </c>
      <c r="C217" s="2" t="str">
        <f>_xlfn.XLOOKUP(tbl_kpi[[#This Row],[LocationID]], tbl_location[LocationID], tbl_location[LocationName], "UNMAPPED_LOCATION")</f>
        <v>Subassembly</v>
      </c>
      <c r="D217" s="2">
        <v>497</v>
      </c>
      <c r="E217" s="2">
        <v>485</v>
      </c>
      <c r="F217" s="2">
        <f>tbl_kpi[[#This Row],[OnHandQty]]</f>
        <v>497</v>
      </c>
      <c r="G217" s="2">
        <f>tbl_kpi[[#This Row],[CountedQty]]-tbl_kpi[[#This Row],[ExpectedQty]]</f>
        <v>-12</v>
      </c>
      <c r="H217" s="2">
        <f>IF(tbl_kpi[[#This Row],[ExpectedQty]]=0, 1, MAX(0, 1 - ABS(tbl_kpi[[#This Row],[VarianceQty]]) / tbl_kpi[[#This Row],[ExpectedQty]]))</f>
        <v>0.9758551307847082</v>
      </c>
      <c r="I217" s="2" t="str">
        <f>IF(tbl_kpi[[#This Row],[AccuracyPct]] &lt; 0.98, "Y", "N")</f>
        <v>Y</v>
      </c>
    </row>
    <row r="218" spans="1:9">
      <c r="A218" s="2">
        <v>394</v>
      </c>
      <c r="B218" s="2">
        <v>1</v>
      </c>
      <c r="C218" s="2" t="str">
        <f>_xlfn.XLOOKUP(tbl_kpi[[#This Row],[LocationID]], tbl_location[LocationID], tbl_location[LocationName], "UNMAPPED_LOCATION")</f>
        <v>Tool Crib</v>
      </c>
      <c r="D218" s="2">
        <v>302</v>
      </c>
      <c r="E218" s="2">
        <v>304</v>
      </c>
      <c r="F218" s="2">
        <f>tbl_kpi[[#This Row],[OnHandQty]]</f>
        <v>302</v>
      </c>
      <c r="G218" s="2">
        <f>tbl_kpi[[#This Row],[CountedQty]]-tbl_kpi[[#This Row],[ExpectedQty]]</f>
        <v>2</v>
      </c>
      <c r="H218" s="2">
        <f>IF(tbl_kpi[[#This Row],[ExpectedQty]]=0, 1, MAX(0, 1 - ABS(tbl_kpi[[#This Row],[VarianceQty]]) / tbl_kpi[[#This Row],[ExpectedQty]]))</f>
        <v>0.99337748344370858</v>
      </c>
      <c r="I218" s="2" t="str">
        <f>IF(tbl_kpi[[#This Row],[AccuracyPct]] &lt; 0.98, "Y", "N")</f>
        <v>N</v>
      </c>
    </row>
    <row r="219" spans="1:9">
      <c r="A219" s="2">
        <v>394</v>
      </c>
      <c r="B219" s="2">
        <v>6</v>
      </c>
      <c r="C219" s="2" t="str">
        <f>_xlfn.XLOOKUP(tbl_kpi[[#This Row],[LocationID]], tbl_location[LocationID], tbl_location[LocationName], "UNMAPPED_LOCATION")</f>
        <v>Miscellaneous Storage</v>
      </c>
      <c r="D219" s="2">
        <v>150</v>
      </c>
      <c r="E219" s="2">
        <v>148</v>
      </c>
      <c r="F219" s="2">
        <f>tbl_kpi[[#This Row],[OnHandQty]]</f>
        <v>150</v>
      </c>
      <c r="G219" s="2">
        <f>tbl_kpi[[#This Row],[CountedQty]]-tbl_kpi[[#This Row],[ExpectedQty]]</f>
        <v>-2</v>
      </c>
      <c r="H219" s="2">
        <f>IF(tbl_kpi[[#This Row],[ExpectedQty]]=0, 1, MAX(0, 1 - ABS(tbl_kpi[[#This Row],[VarianceQty]]) / tbl_kpi[[#This Row],[ExpectedQty]]))</f>
        <v>0.98666666666666669</v>
      </c>
      <c r="I219" s="2" t="str">
        <f>IF(tbl_kpi[[#This Row],[AccuracyPct]] &lt; 0.98, "Y", "N")</f>
        <v>N</v>
      </c>
    </row>
    <row r="220" spans="1:9">
      <c r="A220" s="2">
        <v>394</v>
      </c>
      <c r="B220" s="2">
        <v>50</v>
      </c>
      <c r="C220" s="2" t="str">
        <f>_xlfn.XLOOKUP(tbl_kpi[[#This Row],[LocationID]], tbl_location[LocationID], tbl_location[LocationName], "UNMAPPED_LOCATION")</f>
        <v>Subassembly</v>
      </c>
      <c r="D220" s="2">
        <v>459</v>
      </c>
      <c r="E220" s="2">
        <v>468</v>
      </c>
      <c r="F220" s="2">
        <f>tbl_kpi[[#This Row],[OnHandQty]]</f>
        <v>459</v>
      </c>
      <c r="G220" s="2">
        <f>tbl_kpi[[#This Row],[CountedQty]]-tbl_kpi[[#This Row],[ExpectedQty]]</f>
        <v>9</v>
      </c>
      <c r="H220" s="2">
        <f>IF(tbl_kpi[[#This Row],[ExpectedQty]]=0, 1, MAX(0, 1 - ABS(tbl_kpi[[#This Row],[VarianceQty]]) / tbl_kpi[[#This Row],[ExpectedQty]]))</f>
        <v>0.98039215686274506</v>
      </c>
      <c r="I220" s="2" t="str">
        <f>IF(tbl_kpi[[#This Row],[AccuracyPct]] &lt; 0.98, "Y", "N")</f>
        <v>N</v>
      </c>
    </row>
    <row r="221" spans="1:9">
      <c r="A221" s="2">
        <v>395</v>
      </c>
      <c r="B221" s="2">
        <v>1</v>
      </c>
      <c r="C221" s="2" t="str">
        <f>_xlfn.XLOOKUP(tbl_kpi[[#This Row],[LocationID]], tbl_location[LocationID], tbl_location[LocationName], "UNMAPPED_LOCATION")</f>
        <v>Tool Crib</v>
      </c>
      <c r="D221" s="2">
        <v>281</v>
      </c>
      <c r="E221" s="2">
        <v>273</v>
      </c>
      <c r="F221" s="2">
        <f>tbl_kpi[[#This Row],[OnHandQty]]</f>
        <v>281</v>
      </c>
      <c r="G221" s="2">
        <f>tbl_kpi[[#This Row],[CountedQty]]-tbl_kpi[[#This Row],[ExpectedQty]]</f>
        <v>-8</v>
      </c>
      <c r="H221" s="2">
        <f>IF(tbl_kpi[[#This Row],[ExpectedQty]]=0, 1, MAX(0, 1 - ABS(tbl_kpi[[#This Row],[VarianceQty]]) / tbl_kpi[[#This Row],[ExpectedQty]]))</f>
        <v>0.97153024911032027</v>
      </c>
      <c r="I221" s="2" t="str">
        <f>IF(tbl_kpi[[#This Row],[AccuracyPct]] &lt; 0.98, "Y", "N")</f>
        <v>Y</v>
      </c>
    </row>
    <row r="222" spans="1:9">
      <c r="A222" s="2">
        <v>395</v>
      </c>
      <c r="B222" s="2">
        <v>6</v>
      </c>
      <c r="C222" s="2" t="str">
        <f>_xlfn.XLOOKUP(tbl_kpi[[#This Row],[LocationID]], tbl_location[LocationID], tbl_location[LocationName], "UNMAPPED_LOCATION")</f>
        <v>Miscellaneous Storage</v>
      </c>
      <c r="D222" s="2">
        <v>355</v>
      </c>
      <c r="E222" s="2">
        <v>365</v>
      </c>
      <c r="F222" s="2">
        <f>tbl_kpi[[#This Row],[OnHandQty]]</f>
        <v>355</v>
      </c>
      <c r="G222" s="2">
        <f>tbl_kpi[[#This Row],[CountedQty]]-tbl_kpi[[#This Row],[ExpectedQty]]</f>
        <v>10</v>
      </c>
      <c r="H222" s="2">
        <f>IF(tbl_kpi[[#This Row],[ExpectedQty]]=0, 1, MAX(0, 1 - ABS(tbl_kpi[[#This Row],[VarianceQty]]) / tbl_kpi[[#This Row],[ExpectedQty]]))</f>
        <v>0.971830985915493</v>
      </c>
      <c r="I222" s="2" t="str">
        <f>IF(tbl_kpi[[#This Row],[AccuracyPct]] &lt; 0.98, "Y", "N")</f>
        <v>Y</v>
      </c>
    </row>
    <row r="223" spans="1:9">
      <c r="A223" s="2">
        <v>395</v>
      </c>
      <c r="B223" s="2">
        <v>50</v>
      </c>
      <c r="C223" s="2" t="str">
        <f>_xlfn.XLOOKUP(tbl_kpi[[#This Row],[LocationID]], tbl_location[LocationID], tbl_location[LocationName], "UNMAPPED_LOCATION")</f>
        <v>Subassembly</v>
      </c>
      <c r="D223" s="2">
        <v>148</v>
      </c>
      <c r="E223" s="2">
        <v>150</v>
      </c>
      <c r="F223" s="2">
        <f>tbl_kpi[[#This Row],[OnHandQty]]</f>
        <v>148</v>
      </c>
      <c r="G223" s="2">
        <f>tbl_kpi[[#This Row],[CountedQty]]-tbl_kpi[[#This Row],[ExpectedQty]]</f>
        <v>2</v>
      </c>
      <c r="H223" s="2">
        <f>IF(tbl_kpi[[#This Row],[ExpectedQty]]=0, 1, MAX(0, 1 - ABS(tbl_kpi[[#This Row],[VarianceQty]]) / tbl_kpi[[#This Row],[ExpectedQty]]))</f>
        <v>0.98648648648648651</v>
      </c>
      <c r="I223" s="2" t="str">
        <f>IF(tbl_kpi[[#This Row],[AccuracyPct]] &lt; 0.98, "Y", "N")</f>
        <v>N</v>
      </c>
    </row>
    <row r="224" spans="1:9">
      <c r="A224" s="2">
        <v>396</v>
      </c>
      <c r="B224" s="2">
        <v>1</v>
      </c>
      <c r="C224" s="2" t="str">
        <f>_xlfn.XLOOKUP(tbl_kpi[[#This Row],[LocationID]], tbl_location[LocationID], tbl_location[LocationName], "UNMAPPED_LOCATION")</f>
        <v>Tool Crib</v>
      </c>
      <c r="D224" s="2">
        <v>636</v>
      </c>
      <c r="E224" s="2">
        <v>654</v>
      </c>
      <c r="F224" s="2">
        <f>tbl_kpi[[#This Row],[OnHandQty]]</f>
        <v>636</v>
      </c>
      <c r="G224" s="2">
        <f>tbl_kpi[[#This Row],[CountedQty]]-tbl_kpi[[#This Row],[ExpectedQty]]</f>
        <v>18</v>
      </c>
      <c r="H224" s="2">
        <f>IF(tbl_kpi[[#This Row],[ExpectedQty]]=0, 1, MAX(0, 1 - ABS(tbl_kpi[[#This Row],[VarianceQty]]) / tbl_kpi[[#This Row],[ExpectedQty]]))</f>
        <v>0.97169811320754718</v>
      </c>
      <c r="I224" s="2" t="str">
        <f>IF(tbl_kpi[[#This Row],[AccuracyPct]] &lt; 0.98, "Y", "N")</f>
        <v>Y</v>
      </c>
    </row>
    <row r="225" spans="1:9">
      <c r="A225" s="2">
        <v>396</v>
      </c>
      <c r="B225" s="2">
        <v>6</v>
      </c>
      <c r="C225" s="2" t="str">
        <f>_xlfn.XLOOKUP(tbl_kpi[[#This Row],[LocationID]], tbl_location[LocationID], tbl_location[LocationName], "UNMAPPED_LOCATION")</f>
        <v>Miscellaneous Storage</v>
      </c>
      <c r="D225" s="2">
        <v>585</v>
      </c>
      <c r="E225" s="2">
        <v>600</v>
      </c>
      <c r="F225" s="2">
        <f>tbl_kpi[[#This Row],[OnHandQty]]</f>
        <v>585</v>
      </c>
      <c r="G225" s="2">
        <f>tbl_kpi[[#This Row],[CountedQty]]-tbl_kpi[[#This Row],[ExpectedQty]]</f>
        <v>15</v>
      </c>
      <c r="H225" s="2">
        <f>IF(tbl_kpi[[#This Row],[ExpectedQty]]=0, 1, MAX(0, 1 - ABS(tbl_kpi[[#This Row],[VarianceQty]]) / tbl_kpi[[#This Row],[ExpectedQty]]))</f>
        <v>0.97435897435897434</v>
      </c>
      <c r="I225" s="2" t="str">
        <f>IF(tbl_kpi[[#This Row],[AccuracyPct]] &lt; 0.98, "Y", "N")</f>
        <v>Y</v>
      </c>
    </row>
    <row r="226" spans="1:9">
      <c r="A226" s="2">
        <v>396</v>
      </c>
      <c r="B226" s="2">
        <v>50</v>
      </c>
      <c r="C226" s="2" t="str">
        <f>_xlfn.XLOOKUP(tbl_kpi[[#This Row],[LocationID]], tbl_location[LocationID], tbl_location[LocationName], "UNMAPPED_LOCATION")</f>
        <v>Subassembly</v>
      </c>
      <c r="D226" s="2">
        <v>603</v>
      </c>
      <c r="E226" s="2">
        <v>605</v>
      </c>
      <c r="F226" s="2">
        <f>tbl_kpi[[#This Row],[OnHandQty]]</f>
        <v>603</v>
      </c>
      <c r="G226" s="2">
        <f>tbl_kpi[[#This Row],[CountedQty]]-tbl_kpi[[#This Row],[ExpectedQty]]</f>
        <v>2</v>
      </c>
      <c r="H226" s="2">
        <f>IF(tbl_kpi[[#This Row],[ExpectedQty]]=0, 1, MAX(0, 1 - ABS(tbl_kpi[[#This Row],[VarianceQty]]) / tbl_kpi[[#This Row],[ExpectedQty]]))</f>
        <v>0.99668325041459371</v>
      </c>
      <c r="I226" s="2" t="str">
        <f>IF(tbl_kpi[[#This Row],[AccuracyPct]] &lt; 0.98, "Y", "N")</f>
        <v>N</v>
      </c>
    </row>
    <row r="227" spans="1:9">
      <c r="A227" s="2">
        <v>397</v>
      </c>
      <c r="B227" s="2">
        <v>1</v>
      </c>
      <c r="C227" s="2" t="str">
        <f>_xlfn.XLOOKUP(tbl_kpi[[#This Row],[LocationID]], tbl_location[LocationID], tbl_location[LocationName], "UNMAPPED_LOCATION")</f>
        <v>Tool Crib</v>
      </c>
      <c r="D227" s="2">
        <v>339</v>
      </c>
      <c r="E227" s="2">
        <v>335</v>
      </c>
      <c r="F227" s="2">
        <f>tbl_kpi[[#This Row],[OnHandQty]]</f>
        <v>339</v>
      </c>
      <c r="G227" s="2">
        <f>tbl_kpi[[#This Row],[CountedQty]]-tbl_kpi[[#This Row],[ExpectedQty]]</f>
        <v>-4</v>
      </c>
      <c r="H227" s="2">
        <f>IF(tbl_kpi[[#This Row],[ExpectedQty]]=0, 1, MAX(0, 1 - ABS(tbl_kpi[[#This Row],[VarianceQty]]) / tbl_kpi[[#This Row],[ExpectedQty]]))</f>
        <v>0.98820058997050153</v>
      </c>
      <c r="I227" s="2" t="str">
        <f>IF(tbl_kpi[[#This Row],[AccuracyPct]] &lt; 0.98, "Y", "N")</f>
        <v>N</v>
      </c>
    </row>
    <row r="228" spans="1:9">
      <c r="A228" s="2">
        <v>397</v>
      </c>
      <c r="B228" s="2">
        <v>6</v>
      </c>
      <c r="C228" s="2" t="str">
        <f>_xlfn.XLOOKUP(tbl_kpi[[#This Row],[LocationID]], tbl_location[LocationID], tbl_location[LocationName], "UNMAPPED_LOCATION")</f>
        <v>Miscellaneous Storage</v>
      </c>
      <c r="D228" s="2">
        <v>550</v>
      </c>
      <c r="E228" s="2">
        <v>539</v>
      </c>
      <c r="F228" s="2">
        <f>tbl_kpi[[#This Row],[OnHandQty]]</f>
        <v>550</v>
      </c>
      <c r="G228" s="2">
        <f>tbl_kpi[[#This Row],[CountedQty]]-tbl_kpi[[#This Row],[ExpectedQty]]</f>
        <v>-11</v>
      </c>
      <c r="H228" s="2">
        <f>IF(tbl_kpi[[#This Row],[ExpectedQty]]=0, 1, MAX(0, 1 - ABS(tbl_kpi[[#This Row],[VarianceQty]]) / tbl_kpi[[#This Row],[ExpectedQty]]))</f>
        <v>0.98</v>
      </c>
      <c r="I228" s="2" t="str">
        <f>IF(tbl_kpi[[#This Row],[AccuracyPct]] &lt; 0.98, "Y", "N")</f>
        <v>N</v>
      </c>
    </row>
    <row r="229" spans="1:9">
      <c r="A229" s="2">
        <v>397</v>
      </c>
      <c r="B229" s="2">
        <v>50</v>
      </c>
      <c r="C229" s="2" t="str">
        <f>_xlfn.XLOOKUP(tbl_kpi[[#This Row],[LocationID]], tbl_location[LocationID], tbl_location[LocationName], "UNMAPPED_LOCATION")</f>
        <v>Subassembly</v>
      </c>
      <c r="D229" s="2">
        <v>763</v>
      </c>
      <c r="E229" s="2">
        <v>754</v>
      </c>
      <c r="F229" s="2">
        <f>tbl_kpi[[#This Row],[OnHandQty]]</f>
        <v>763</v>
      </c>
      <c r="G229" s="2">
        <f>tbl_kpi[[#This Row],[CountedQty]]-tbl_kpi[[#This Row],[ExpectedQty]]</f>
        <v>-9</v>
      </c>
      <c r="H229" s="2">
        <f>IF(tbl_kpi[[#This Row],[ExpectedQty]]=0, 1, MAX(0, 1 - ABS(tbl_kpi[[#This Row],[VarianceQty]]) / tbl_kpi[[#This Row],[ExpectedQty]]))</f>
        <v>0.98820445609436436</v>
      </c>
      <c r="I229" s="2" t="str">
        <f>IF(tbl_kpi[[#This Row],[AccuracyPct]] &lt; 0.98, "Y", "N")</f>
        <v>N</v>
      </c>
    </row>
    <row r="230" spans="1:9">
      <c r="A230" s="2">
        <v>398</v>
      </c>
      <c r="B230" s="2">
        <v>5</v>
      </c>
      <c r="C230" s="2" t="str">
        <f>_xlfn.XLOOKUP(tbl_kpi[[#This Row],[LocationID]], tbl_location[LocationID], tbl_location[LocationName], "UNMAPPED_LOCATION")</f>
        <v>Metal Storage</v>
      </c>
      <c r="D230" s="2">
        <v>372</v>
      </c>
      <c r="E230" s="2">
        <v>380</v>
      </c>
      <c r="F230" s="2">
        <f>tbl_kpi[[#This Row],[OnHandQty]]</f>
        <v>372</v>
      </c>
      <c r="G230" s="2">
        <f>tbl_kpi[[#This Row],[CountedQty]]-tbl_kpi[[#This Row],[ExpectedQty]]</f>
        <v>8</v>
      </c>
      <c r="H230" s="2">
        <f>IF(tbl_kpi[[#This Row],[ExpectedQty]]=0, 1, MAX(0, 1 - ABS(tbl_kpi[[#This Row],[VarianceQty]]) / tbl_kpi[[#This Row],[ExpectedQty]]))</f>
        <v>0.978494623655914</v>
      </c>
      <c r="I230" s="2" t="str">
        <f>IF(tbl_kpi[[#This Row],[AccuracyPct]] &lt; 0.98, "Y", "N")</f>
        <v>Y</v>
      </c>
    </row>
    <row r="231" spans="1:9">
      <c r="A231" s="2">
        <v>398</v>
      </c>
      <c r="B231" s="2">
        <v>10</v>
      </c>
      <c r="C231" s="2" t="str">
        <f>_xlfn.XLOOKUP(tbl_kpi[[#This Row],[LocationID]], tbl_location[LocationID], tbl_location[LocationName], "UNMAPPED_LOCATION")</f>
        <v>Frame Forming</v>
      </c>
      <c r="D231" s="2">
        <v>404</v>
      </c>
      <c r="E231" s="2">
        <v>402</v>
      </c>
      <c r="F231" s="2">
        <f>tbl_kpi[[#This Row],[OnHandQty]]</f>
        <v>404</v>
      </c>
      <c r="G231" s="2">
        <f>tbl_kpi[[#This Row],[CountedQty]]-tbl_kpi[[#This Row],[ExpectedQty]]</f>
        <v>-2</v>
      </c>
      <c r="H231" s="2">
        <f>IF(tbl_kpi[[#This Row],[ExpectedQty]]=0, 1, MAX(0, 1 - ABS(tbl_kpi[[#This Row],[VarianceQty]]) / tbl_kpi[[#This Row],[ExpectedQty]]))</f>
        <v>0.99504950495049505</v>
      </c>
      <c r="I231" s="2" t="str">
        <f>IF(tbl_kpi[[#This Row],[AccuracyPct]] &lt; 0.98, "Y", "N")</f>
        <v>N</v>
      </c>
    </row>
    <row r="232" spans="1:9">
      <c r="A232" s="2">
        <v>398</v>
      </c>
      <c r="B232" s="2">
        <v>20</v>
      </c>
      <c r="C232" s="2" t="str">
        <f>_xlfn.XLOOKUP(tbl_kpi[[#This Row],[LocationID]], tbl_location[LocationID], tbl_location[LocationName], "UNMAPPED_LOCATION")</f>
        <v>Frame Welding</v>
      </c>
      <c r="D232" s="2">
        <v>550</v>
      </c>
      <c r="E232" s="2">
        <v>565</v>
      </c>
      <c r="F232" s="2">
        <f>tbl_kpi[[#This Row],[OnHandQty]]</f>
        <v>550</v>
      </c>
      <c r="G232" s="2">
        <f>tbl_kpi[[#This Row],[CountedQty]]-tbl_kpi[[#This Row],[ExpectedQty]]</f>
        <v>15</v>
      </c>
      <c r="H232" s="2">
        <f>IF(tbl_kpi[[#This Row],[ExpectedQty]]=0, 1, MAX(0, 1 - ABS(tbl_kpi[[#This Row],[VarianceQty]]) / tbl_kpi[[#This Row],[ExpectedQty]]))</f>
        <v>0.97272727272727277</v>
      </c>
      <c r="I232" s="2" t="str">
        <f>IF(tbl_kpi[[#This Row],[AccuracyPct]] &lt; 0.98, "Y", "N")</f>
        <v>Y</v>
      </c>
    </row>
    <row r="233" spans="1:9">
      <c r="A233" s="2">
        <v>399</v>
      </c>
      <c r="B233" s="2">
        <v>5</v>
      </c>
      <c r="C233" s="2" t="str">
        <f>_xlfn.XLOOKUP(tbl_kpi[[#This Row],[LocationID]], tbl_location[LocationID], tbl_location[LocationName], "UNMAPPED_LOCATION")</f>
        <v>Metal Storage</v>
      </c>
      <c r="D233" s="2">
        <v>366</v>
      </c>
      <c r="E233" s="2">
        <v>357</v>
      </c>
      <c r="F233" s="2">
        <f>tbl_kpi[[#This Row],[OnHandQty]]</f>
        <v>366</v>
      </c>
      <c r="G233" s="2">
        <f>tbl_kpi[[#This Row],[CountedQty]]-tbl_kpi[[#This Row],[ExpectedQty]]</f>
        <v>-9</v>
      </c>
      <c r="H233" s="2">
        <f>IF(tbl_kpi[[#This Row],[ExpectedQty]]=0, 1, MAX(0, 1 - ABS(tbl_kpi[[#This Row],[VarianceQty]]) / tbl_kpi[[#This Row],[ExpectedQty]]))</f>
        <v>0.97540983606557374</v>
      </c>
      <c r="I233" s="2" t="str">
        <f>IF(tbl_kpi[[#This Row],[AccuracyPct]] &lt; 0.98, "Y", "N")</f>
        <v>Y</v>
      </c>
    </row>
    <row r="234" spans="1:9">
      <c r="A234" s="2">
        <v>399</v>
      </c>
      <c r="B234" s="2">
        <v>10</v>
      </c>
      <c r="C234" s="2" t="str">
        <f>_xlfn.XLOOKUP(tbl_kpi[[#This Row],[LocationID]], tbl_location[LocationID], tbl_location[LocationName], "UNMAPPED_LOCATION")</f>
        <v>Frame Forming</v>
      </c>
      <c r="D234" s="2">
        <v>398</v>
      </c>
      <c r="E234" s="2">
        <v>408</v>
      </c>
      <c r="F234" s="2">
        <f>tbl_kpi[[#This Row],[OnHandQty]]</f>
        <v>398</v>
      </c>
      <c r="G234" s="2">
        <f>tbl_kpi[[#This Row],[CountedQty]]-tbl_kpi[[#This Row],[ExpectedQty]]</f>
        <v>10</v>
      </c>
      <c r="H234" s="2">
        <f>IF(tbl_kpi[[#This Row],[ExpectedQty]]=0, 1, MAX(0, 1 - ABS(tbl_kpi[[#This Row],[VarianceQty]]) / tbl_kpi[[#This Row],[ExpectedQty]]))</f>
        <v>0.97487437185929648</v>
      </c>
      <c r="I234" s="2" t="str">
        <f>IF(tbl_kpi[[#This Row],[AccuracyPct]] &lt; 0.98, "Y", "N")</f>
        <v>Y</v>
      </c>
    </row>
    <row r="235" spans="1:9">
      <c r="A235" s="2">
        <v>399</v>
      </c>
      <c r="B235" s="2">
        <v>20</v>
      </c>
      <c r="C235" s="2" t="str">
        <f>_xlfn.XLOOKUP(tbl_kpi[[#This Row],[LocationID]], tbl_location[LocationID], tbl_location[LocationName], "UNMAPPED_LOCATION")</f>
        <v>Frame Welding</v>
      </c>
      <c r="D235" s="2">
        <v>544</v>
      </c>
      <c r="E235" s="2">
        <v>557</v>
      </c>
      <c r="F235" s="2">
        <f>tbl_kpi[[#This Row],[OnHandQty]]</f>
        <v>544</v>
      </c>
      <c r="G235" s="2">
        <f>tbl_kpi[[#This Row],[CountedQty]]-tbl_kpi[[#This Row],[ExpectedQty]]</f>
        <v>13</v>
      </c>
      <c r="H235" s="2">
        <f>IF(tbl_kpi[[#This Row],[ExpectedQty]]=0, 1, MAX(0, 1 - ABS(tbl_kpi[[#This Row],[VarianceQty]]) / tbl_kpi[[#This Row],[ExpectedQty]]))</f>
        <v>0.97610294117647056</v>
      </c>
      <c r="I235" s="2" t="str">
        <f>IF(tbl_kpi[[#This Row],[AccuracyPct]] &lt; 0.98, "Y", "N")</f>
        <v>Y</v>
      </c>
    </row>
    <row r="236" spans="1:9">
      <c r="A236" s="2">
        <v>400</v>
      </c>
      <c r="B236" s="2">
        <v>5</v>
      </c>
      <c r="C236" s="2" t="str">
        <f>_xlfn.XLOOKUP(tbl_kpi[[#This Row],[LocationID]], tbl_location[LocationID], tbl_location[LocationName], "UNMAPPED_LOCATION")</f>
        <v>Metal Storage</v>
      </c>
      <c r="D236" s="2">
        <v>260</v>
      </c>
      <c r="E236" s="2">
        <v>255</v>
      </c>
      <c r="F236" s="2">
        <f>tbl_kpi[[#This Row],[OnHandQty]]</f>
        <v>260</v>
      </c>
      <c r="G236" s="2">
        <f>tbl_kpi[[#This Row],[CountedQty]]-tbl_kpi[[#This Row],[ExpectedQty]]</f>
        <v>-5</v>
      </c>
      <c r="H236" s="2">
        <f>IF(tbl_kpi[[#This Row],[ExpectedQty]]=0, 1, MAX(0, 1 - ABS(tbl_kpi[[#This Row],[VarianceQty]]) / tbl_kpi[[#This Row],[ExpectedQty]]))</f>
        <v>0.98076923076923073</v>
      </c>
      <c r="I236" s="2" t="str">
        <f>IF(tbl_kpi[[#This Row],[AccuracyPct]] &lt; 0.98, "Y", "N")</f>
        <v>N</v>
      </c>
    </row>
    <row r="237" spans="1:9">
      <c r="A237" s="2">
        <v>400</v>
      </c>
      <c r="B237" s="2">
        <v>10</v>
      </c>
      <c r="C237" s="2" t="str">
        <f>_xlfn.XLOOKUP(tbl_kpi[[#This Row],[LocationID]], tbl_location[LocationID], tbl_location[LocationName], "UNMAPPED_LOCATION")</f>
        <v>Frame Forming</v>
      </c>
      <c r="D237" s="2">
        <v>246</v>
      </c>
      <c r="E237" s="2">
        <v>249</v>
      </c>
      <c r="F237" s="2">
        <f>tbl_kpi[[#This Row],[OnHandQty]]</f>
        <v>246</v>
      </c>
      <c r="G237" s="2">
        <f>tbl_kpi[[#This Row],[CountedQty]]-tbl_kpi[[#This Row],[ExpectedQty]]</f>
        <v>3</v>
      </c>
      <c r="H237" s="2">
        <f>IF(tbl_kpi[[#This Row],[ExpectedQty]]=0, 1, MAX(0, 1 - ABS(tbl_kpi[[#This Row],[VarianceQty]]) / tbl_kpi[[#This Row],[ExpectedQty]]))</f>
        <v>0.98780487804878048</v>
      </c>
      <c r="I237" s="2" t="str">
        <f>IF(tbl_kpi[[#This Row],[AccuracyPct]] &lt; 0.98, "Y", "N")</f>
        <v>N</v>
      </c>
    </row>
    <row r="238" spans="1:9">
      <c r="A238" s="2">
        <v>400</v>
      </c>
      <c r="B238" s="2">
        <v>20</v>
      </c>
      <c r="C238" s="2" t="str">
        <f>_xlfn.XLOOKUP(tbl_kpi[[#This Row],[LocationID]], tbl_location[LocationID], tbl_location[LocationName], "UNMAPPED_LOCATION")</f>
        <v>Frame Welding</v>
      </c>
      <c r="D238" s="2">
        <v>284</v>
      </c>
      <c r="E238" s="2">
        <v>280</v>
      </c>
      <c r="F238" s="2">
        <f>tbl_kpi[[#This Row],[OnHandQty]]</f>
        <v>284</v>
      </c>
      <c r="G238" s="2">
        <f>tbl_kpi[[#This Row],[CountedQty]]-tbl_kpi[[#This Row],[ExpectedQty]]</f>
        <v>-4</v>
      </c>
      <c r="H238" s="2">
        <f>IF(tbl_kpi[[#This Row],[ExpectedQty]]=0, 1, MAX(0, 1 - ABS(tbl_kpi[[#This Row],[VarianceQty]]) / tbl_kpi[[#This Row],[ExpectedQty]]))</f>
        <v>0.9859154929577465</v>
      </c>
      <c r="I238" s="2" t="str">
        <f>IF(tbl_kpi[[#This Row],[AccuracyPct]] &lt; 0.98, "Y", "N")</f>
        <v>N</v>
      </c>
    </row>
    <row r="239" spans="1:9">
      <c r="A239" s="2">
        <v>401</v>
      </c>
      <c r="B239" s="2">
        <v>5</v>
      </c>
      <c r="C239" s="2" t="str">
        <f>_xlfn.XLOOKUP(tbl_kpi[[#This Row],[LocationID]], tbl_location[LocationID], tbl_location[LocationName], "UNMAPPED_LOCATION")</f>
        <v>Metal Storage</v>
      </c>
      <c r="D239" s="2">
        <v>283</v>
      </c>
      <c r="E239" s="2">
        <v>283</v>
      </c>
      <c r="F239" s="2">
        <f>tbl_kpi[[#This Row],[OnHandQty]]</f>
        <v>283</v>
      </c>
      <c r="G239" s="2">
        <f>tbl_kpi[[#This Row],[CountedQty]]-tbl_kpi[[#This Row],[ExpectedQty]]</f>
        <v>0</v>
      </c>
      <c r="H239" s="2">
        <f>IF(tbl_kpi[[#This Row],[ExpectedQty]]=0, 1, MAX(0, 1 - ABS(tbl_kpi[[#This Row],[VarianceQty]]) / tbl_kpi[[#This Row],[ExpectedQty]]))</f>
        <v>1</v>
      </c>
      <c r="I239" s="2" t="str">
        <f>IF(tbl_kpi[[#This Row],[AccuracyPct]] &lt; 0.98, "Y", "N")</f>
        <v>N</v>
      </c>
    </row>
    <row r="240" spans="1:9">
      <c r="A240" s="2">
        <v>401</v>
      </c>
      <c r="B240" s="2">
        <v>10</v>
      </c>
      <c r="C240" s="2" t="str">
        <f>_xlfn.XLOOKUP(tbl_kpi[[#This Row],[LocationID]], tbl_location[LocationID], tbl_location[LocationName], "UNMAPPED_LOCATION")</f>
        <v>Frame Forming</v>
      </c>
      <c r="D240" s="2">
        <v>212</v>
      </c>
      <c r="E240" s="2">
        <v>217</v>
      </c>
      <c r="F240" s="2">
        <f>tbl_kpi[[#This Row],[OnHandQty]]</f>
        <v>212</v>
      </c>
      <c r="G240" s="2">
        <f>tbl_kpi[[#This Row],[CountedQty]]-tbl_kpi[[#This Row],[ExpectedQty]]</f>
        <v>5</v>
      </c>
      <c r="H240" s="2">
        <f>IF(tbl_kpi[[#This Row],[ExpectedQty]]=0, 1, MAX(0, 1 - ABS(tbl_kpi[[#This Row],[VarianceQty]]) / tbl_kpi[[#This Row],[ExpectedQty]]))</f>
        <v>0.97641509433962259</v>
      </c>
      <c r="I240" s="2" t="str">
        <f>IF(tbl_kpi[[#This Row],[AccuracyPct]] &lt; 0.98, "Y", "N")</f>
        <v>Y</v>
      </c>
    </row>
    <row r="241" spans="1:9">
      <c r="A241" s="2">
        <v>401</v>
      </c>
      <c r="B241" s="2">
        <v>20</v>
      </c>
      <c r="C241" s="2" t="str">
        <f>_xlfn.XLOOKUP(tbl_kpi[[#This Row],[LocationID]], tbl_location[LocationID], tbl_location[LocationName], "UNMAPPED_LOCATION")</f>
        <v>Frame Welding</v>
      </c>
      <c r="D241" s="2">
        <v>302</v>
      </c>
      <c r="E241" s="2">
        <v>309</v>
      </c>
      <c r="F241" s="2">
        <f>tbl_kpi[[#This Row],[OnHandQty]]</f>
        <v>302</v>
      </c>
      <c r="G241" s="2">
        <f>tbl_kpi[[#This Row],[CountedQty]]-tbl_kpi[[#This Row],[ExpectedQty]]</f>
        <v>7</v>
      </c>
      <c r="H241" s="2">
        <f>IF(tbl_kpi[[#This Row],[ExpectedQty]]=0, 1, MAX(0, 1 - ABS(tbl_kpi[[#This Row],[VarianceQty]]) / tbl_kpi[[#This Row],[ExpectedQty]]))</f>
        <v>0.97682119205298013</v>
      </c>
      <c r="I241" s="2" t="str">
        <f>IF(tbl_kpi[[#This Row],[AccuracyPct]] &lt; 0.98, "Y", "N")</f>
        <v>Y</v>
      </c>
    </row>
    <row r="242" spans="1:9">
      <c r="A242" s="2">
        <v>402</v>
      </c>
      <c r="B242" s="2">
        <v>1</v>
      </c>
      <c r="C242" s="2" t="str">
        <f>_xlfn.XLOOKUP(tbl_kpi[[#This Row],[LocationID]], tbl_location[LocationID], tbl_location[LocationName], "UNMAPPED_LOCATION")</f>
        <v>Tool Crib</v>
      </c>
      <c r="D242" s="2">
        <v>316</v>
      </c>
      <c r="E242" s="2">
        <v>321</v>
      </c>
      <c r="F242" s="2">
        <f>tbl_kpi[[#This Row],[OnHandQty]]</f>
        <v>316</v>
      </c>
      <c r="G242" s="2">
        <f>tbl_kpi[[#This Row],[CountedQty]]-tbl_kpi[[#This Row],[ExpectedQty]]</f>
        <v>5</v>
      </c>
      <c r="H242" s="2">
        <f>IF(tbl_kpi[[#This Row],[ExpectedQty]]=0, 1, MAX(0, 1 - ABS(tbl_kpi[[#This Row],[VarianceQty]]) / tbl_kpi[[#This Row],[ExpectedQty]]))</f>
        <v>0.98417721518987344</v>
      </c>
      <c r="I242" s="2" t="str">
        <f>IF(tbl_kpi[[#This Row],[AccuracyPct]] &lt; 0.98, "Y", "N")</f>
        <v>N</v>
      </c>
    </row>
    <row r="243" spans="1:9">
      <c r="A243" s="2">
        <v>402</v>
      </c>
      <c r="B243" s="2">
        <v>6</v>
      </c>
      <c r="C243" s="2" t="str">
        <f>_xlfn.XLOOKUP(tbl_kpi[[#This Row],[LocationID]], tbl_location[LocationID], tbl_location[LocationName], "UNMAPPED_LOCATION")</f>
        <v>Miscellaneous Storage</v>
      </c>
      <c r="D243" s="2">
        <v>353</v>
      </c>
      <c r="E243" s="2">
        <v>347</v>
      </c>
      <c r="F243" s="2">
        <f>tbl_kpi[[#This Row],[OnHandQty]]</f>
        <v>353</v>
      </c>
      <c r="G243" s="2">
        <f>tbl_kpi[[#This Row],[CountedQty]]-tbl_kpi[[#This Row],[ExpectedQty]]</f>
        <v>-6</v>
      </c>
      <c r="H243" s="2">
        <f>IF(tbl_kpi[[#This Row],[ExpectedQty]]=0, 1, MAX(0, 1 - ABS(tbl_kpi[[#This Row],[VarianceQty]]) / tbl_kpi[[#This Row],[ExpectedQty]]))</f>
        <v>0.98300283286118983</v>
      </c>
      <c r="I243" s="2" t="str">
        <f>IF(tbl_kpi[[#This Row],[AccuracyPct]] &lt; 0.98, "Y", "N")</f>
        <v>N</v>
      </c>
    </row>
    <row r="244" spans="1:9">
      <c r="A244" s="2">
        <v>402</v>
      </c>
      <c r="B244" s="2">
        <v>50</v>
      </c>
      <c r="C244" s="2" t="str">
        <f>_xlfn.XLOOKUP(tbl_kpi[[#This Row],[LocationID]], tbl_location[LocationID], tbl_location[LocationName], "UNMAPPED_LOCATION")</f>
        <v>Subassembly</v>
      </c>
      <c r="D244" s="2">
        <v>321</v>
      </c>
      <c r="E244" s="2">
        <v>320</v>
      </c>
      <c r="F244" s="2">
        <f>tbl_kpi[[#This Row],[OnHandQty]]</f>
        <v>321</v>
      </c>
      <c r="G244" s="2">
        <f>tbl_kpi[[#This Row],[CountedQty]]-tbl_kpi[[#This Row],[ExpectedQty]]</f>
        <v>-1</v>
      </c>
      <c r="H244" s="2">
        <f>IF(tbl_kpi[[#This Row],[ExpectedQty]]=0, 1, MAX(0, 1 - ABS(tbl_kpi[[#This Row],[VarianceQty]]) / tbl_kpi[[#This Row],[ExpectedQty]]))</f>
        <v>0.99688473520249221</v>
      </c>
      <c r="I244" s="2" t="str">
        <f>IF(tbl_kpi[[#This Row],[AccuracyPct]] &lt; 0.98, "Y", "N")</f>
        <v>N</v>
      </c>
    </row>
    <row r="245" spans="1:9">
      <c r="A245" s="2">
        <v>403</v>
      </c>
      <c r="B245" s="2">
        <v>1</v>
      </c>
      <c r="C245" s="2" t="str">
        <f>_xlfn.XLOOKUP(tbl_kpi[[#This Row],[LocationID]], tbl_location[LocationID], tbl_location[LocationName], "UNMAPPED_LOCATION")</f>
        <v>Tool Crib</v>
      </c>
      <c r="D245" s="2">
        <v>313</v>
      </c>
      <c r="E245" s="2">
        <v>311</v>
      </c>
      <c r="F245" s="2">
        <f>tbl_kpi[[#This Row],[OnHandQty]]</f>
        <v>313</v>
      </c>
      <c r="G245" s="2">
        <f>tbl_kpi[[#This Row],[CountedQty]]-tbl_kpi[[#This Row],[ExpectedQty]]</f>
        <v>-2</v>
      </c>
      <c r="H245" s="2">
        <f>IF(tbl_kpi[[#This Row],[ExpectedQty]]=0, 1, MAX(0, 1 - ABS(tbl_kpi[[#This Row],[VarianceQty]]) / tbl_kpi[[#This Row],[ExpectedQty]]))</f>
        <v>0.99361022364217255</v>
      </c>
      <c r="I245" s="2" t="str">
        <f>IF(tbl_kpi[[#This Row],[AccuracyPct]] &lt; 0.98, "Y", "N")</f>
        <v>N</v>
      </c>
    </row>
    <row r="246" spans="1:9">
      <c r="A246" s="2">
        <v>403</v>
      </c>
      <c r="B246" s="2">
        <v>6</v>
      </c>
      <c r="C246" s="2" t="str">
        <f>_xlfn.XLOOKUP(tbl_kpi[[#This Row],[LocationID]], tbl_location[LocationID], tbl_location[LocationName], "UNMAPPED_LOCATION")</f>
        <v>Miscellaneous Storage</v>
      </c>
      <c r="D246" s="2">
        <v>350</v>
      </c>
      <c r="E246" s="2">
        <v>360</v>
      </c>
      <c r="F246" s="2">
        <f>tbl_kpi[[#This Row],[OnHandQty]]</f>
        <v>350</v>
      </c>
      <c r="G246" s="2">
        <f>tbl_kpi[[#This Row],[CountedQty]]-tbl_kpi[[#This Row],[ExpectedQty]]</f>
        <v>10</v>
      </c>
      <c r="H246" s="2">
        <f>IF(tbl_kpi[[#This Row],[ExpectedQty]]=0, 1, MAX(0, 1 - ABS(tbl_kpi[[#This Row],[VarianceQty]]) / tbl_kpi[[#This Row],[ExpectedQty]]))</f>
        <v>0.97142857142857142</v>
      </c>
      <c r="I246" s="2" t="str">
        <f>IF(tbl_kpi[[#This Row],[AccuracyPct]] &lt; 0.98, "Y", "N")</f>
        <v>Y</v>
      </c>
    </row>
    <row r="247" spans="1:9">
      <c r="A247" s="2">
        <v>403</v>
      </c>
      <c r="B247" s="2">
        <v>50</v>
      </c>
      <c r="C247" s="2" t="str">
        <f>_xlfn.XLOOKUP(tbl_kpi[[#This Row],[LocationID]], tbl_location[LocationID], tbl_location[LocationName], "UNMAPPED_LOCATION")</f>
        <v>Subassembly</v>
      </c>
      <c r="D247" s="2">
        <v>318</v>
      </c>
      <c r="E247" s="2">
        <v>314</v>
      </c>
      <c r="F247" s="2">
        <f>tbl_kpi[[#This Row],[OnHandQty]]</f>
        <v>318</v>
      </c>
      <c r="G247" s="2">
        <f>tbl_kpi[[#This Row],[CountedQty]]-tbl_kpi[[#This Row],[ExpectedQty]]</f>
        <v>-4</v>
      </c>
      <c r="H247" s="2">
        <f>IF(tbl_kpi[[#This Row],[ExpectedQty]]=0, 1, MAX(0, 1 - ABS(tbl_kpi[[#This Row],[VarianceQty]]) / tbl_kpi[[#This Row],[ExpectedQty]]))</f>
        <v>0.98742138364779874</v>
      </c>
      <c r="I247" s="2" t="str">
        <f>IF(tbl_kpi[[#This Row],[AccuracyPct]] &lt; 0.98, "Y", "N")</f>
        <v>N</v>
      </c>
    </row>
    <row r="248" spans="1:9">
      <c r="A248" s="2">
        <v>404</v>
      </c>
      <c r="B248" s="2">
        <v>1</v>
      </c>
      <c r="C248" s="2" t="str">
        <f>_xlfn.XLOOKUP(tbl_kpi[[#This Row],[LocationID]], tbl_location[LocationID], tbl_location[LocationName], "UNMAPPED_LOCATION")</f>
        <v>Tool Crib</v>
      </c>
      <c r="D248" s="2">
        <v>310</v>
      </c>
      <c r="E248" s="2">
        <v>304</v>
      </c>
      <c r="F248" s="2">
        <f>tbl_kpi[[#This Row],[OnHandQty]]</f>
        <v>310</v>
      </c>
      <c r="G248" s="2">
        <f>tbl_kpi[[#This Row],[CountedQty]]-tbl_kpi[[#This Row],[ExpectedQty]]</f>
        <v>-6</v>
      </c>
      <c r="H248" s="2">
        <f>IF(tbl_kpi[[#This Row],[ExpectedQty]]=0, 1, MAX(0, 1 - ABS(tbl_kpi[[#This Row],[VarianceQty]]) / tbl_kpi[[#This Row],[ExpectedQty]]))</f>
        <v>0.98064516129032253</v>
      </c>
      <c r="I248" s="2" t="str">
        <f>IF(tbl_kpi[[#This Row],[AccuracyPct]] &lt; 0.98, "Y", "N")</f>
        <v>N</v>
      </c>
    </row>
    <row r="249" spans="1:9">
      <c r="A249" s="2">
        <v>404</v>
      </c>
      <c r="B249" s="2">
        <v>6</v>
      </c>
      <c r="C249" s="2" t="str">
        <f>_xlfn.XLOOKUP(tbl_kpi[[#This Row],[LocationID]], tbl_location[LocationID], tbl_location[LocationName], "UNMAPPED_LOCATION")</f>
        <v>Miscellaneous Storage</v>
      </c>
      <c r="D249" s="2">
        <v>347</v>
      </c>
      <c r="E249" s="2">
        <v>340</v>
      </c>
      <c r="F249" s="2">
        <f>tbl_kpi[[#This Row],[OnHandQty]]</f>
        <v>347</v>
      </c>
      <c r="G249" s="2">
        <f>tbl_kpi[[#This Row],[CountedQty]]-tbl_kpi[[#This Row],[ExpectedQty]]</f>
        <v>-7</v>
      </c>
      <c r="H249" s="2">
        <f>IF(tbl_kpi[[#This Row],[ExpectedQty]]=0, 1, MAX(0, 1 - ABS(tbl_kpi[[#This Row],[VarianceQty]]) / tbl_kpi[[#This Row],[ExpectedQty]]))</f>
        <v>0.97982708933717577</v>
      </c>
      <c r="I249" s="2" t="str">
        <f>IF(tbl_kpi[[#This Row],[AccuracyPct]] &lt; 0.98, "Y", "N")</f>
        <v>Y</v>
      </c>
    </row>
    <row r="250" spans="1:9">
      <c r="A250" s="2">
        <v>404</v>
      </c>
      <c r="B250" s="2">
        <v>50</v>
      </c>
      <c r="C250" s="2" t="str">
        <f>_xlfn.XLOOKUP(tbl_kpi[[#This Row],[LocationID]], tbl_location[LocationID], tbl_location[LocationName], "UNMAPPED_LOCATION")</f>
        <v>Subassembly</v>
      </c>
      <c r="D250" s="2">
        <v>315</v>
      </c>
      <c r="E250" s="2">
        <v>306</v>
      </c>
      <c r="F250" s="2">
        <f>tbl_kpi[[#This Row],[OnHandQty]]</f>
        <v>315</v>
      </c>
      <c r="G250" s="2">
        <f>tbl_kpi[[#This Row],[CountedQty]]-tbl_kpi[[#This Row],[ExpectedQty]]</f>
        <v>-9</v>
      </c>
      <c r="H250" s="2">
        <f>IF(tbl_kpi[[#This Row],[ExpectedQty]]=0, 1, MAX(0, 1 - ABS(tbl_kpi[[#This Row],[VarianceQty]]) / tbl_kpi[[#This Row],[ExpectedQty]]))</f>
        <v>0.97142857142857142</v>
      </c>
      <c r="I250" s="2" t="str">
        <f>IF(tbl_kpi[[#This Row],[AccuracyPct]] &lt; 0.98, "Y", "N")</f>
        <v>Y</v>
      </c>
    </row>
    <row r="251" spans="1:9">
      <c r="A251" s="2">
        <v>405</v>
      </c>
      <c r="B251" s="2">
        <v>1</v>
      </c>
      <c r="C251" s="2" t="str">
        <f>_xlfn.XLOOKUP(tbl_kpi[[#This Row],[LocationID]], tbl_location[LocationID], tbl_location[LocationName], "UNMAPPED_LOCATION")</f>
        <v>Tool Crib</v>
      </c>
      <c r="D251" s="2">
        <v>307</v>
      </c>
      <c r="E251" s="2">
        <v>310</v>
      </c>
      <c r="F251" s="2">
        <f>tbl_kpi[[#This Row],[OnHandQty]]</f>
        <v>307</v>
      </c>
      <c r="G251" s="2">
        <f>tbl_kpi[[#This Row],[CountedQty]]-tbl_kpi[[#This Row],[ExpectedQty]]</f>
        <v>3</v>
      </c>
      <c r="H251" s="2">
        <f>IF(tbl_kpi[[#This Row],[ExpectedQty]]=0, 1, MAX(0, 1 - ABS(tbl_kpi[[#This Row],[VarianceQty]]) / tbl_kpi[[#This Row],[ExpectedQty]]))</f>
        <v>0.99022801302931596</v>
      </c>
      <c r="I251" s="2" t="str">
        <f>IF(tbl_kpi[[#This Row],[AccuracyPct]] &lt; 0.98, "Y", "N")</f>
        <v>N</v>
      </c>
    </row>
    <row r="252" spans="1:9">
      <c r="A252" s="2">
        <v>405</v>
      </c>
      <c r="B252" s="2">
        <v>6</v>
      </c>
      <c r="C252" s="2" t="str">
        <f>_xlfn.XLOOKUP(tbl_kpi[[#This Row],[LocationID]], tbl_location[LocationID], tbl_location[LocationName], "UNMAPPED_LOCATION")</f>
        <v>Miscellaneous Storage</v>
      </c>
      <c r="D252" s="2">
        <v>344</v>
      </c>
      <c r="E252" s="2">
        <v>342</v>
      </c>
      <c r="F252" s="2">
        <f>tbl_kpi[[#This Row],[OnHandQty]]</f>
        <v>344</v>
      </c>
      <c r="G252" s="2">
        <f>tbl_kpi[[#This Row],[CountedQty]]-tbl_kpi[[#This Row],[ExpectedQty]]</f>
        <v>-2</v>
      </c>
      <c r="H252" s="2">
        <f>IF(tbl_kpi[[#This Row],[ExpectedQty]]=0, 1, MAX(0, 1 - ABS(tbl_kpi[[#This Row],[VarianceQty]]) / tbl_kpi[[#This Row],[ExpectedQty]]))</f>
        <v>0.9941860465116279</v>
      </c>
      <c r="I252" s="2" t="str">
        <f>IF(tbl_kpi[[#This Row],[AccuracyPct]] &lt; 0.98, "Y", "N")</f>
        <v>N</v>
      </c>
    </row>
    <row r="253" spans="1:9">
      <c r="A253" s="2">
        <v>405</v>
      </c>
      <c r="B253" s="2">
        <v>50</v>
      </c>
      <c r="C253" s="2" t="str">
        <f>_xlfn.XLOOKUP(tbl_kpi[[#This Row],[LocationID]], tbl_location[LocationID], tbl_location[LocationName], "UNMAPPED_LOCATION")</f>
        <v>Subassembly</v>
      </c>
      <c r="D253" s="2">
        <v>312</v>
      </c>
      <c r="E253" s="2">
        <v>321</v>
      </c>
      <c r="F253" s="2">
        <f>tbl_kpi[[#This Row],[OnHandQty]]</f>
        <v>312</v>
      </c>
      <c r="G253" s="2">
        <f>tbl_kpi[[#This Row],[CountedQty]]-tbl_kpi[[#This Row],[ExpectedQty]]</f>
        <v>9</v>
      </c>
      <c r="H253" s="2">
        <f>IF(tbl_kpi[[#This Row],[ExpectedQty]]=0, 1, MAX(0, 1 - ABS(tbl_kpi[[#This Row],[VarianceQty]]) / tbl_kpi[[#This Row],[ExpectedQty]]))</f>
        <v>0.97115384615384615</v>
      </c>
      <c r="I253" s="2" t="str">
        <f>IF(tbl_kpi[[#This Row],[AccuracyPct]] &lt; 0.98, "Y", "N")</f>
        <v>Y</v>
      </c>
    </row>
    <row r="254" spans="1:9">
      <c r="A254" s="2">
        <v>406</v>
      </c>
      <c r="B254" s="2">
        <v>1</v>
      </c>
      <c r="C254" s="2" t="str">
        <f>_xlfn.XLOOKUP(tbl_kpi[[#This Row],[LocationID]], tbl_location[LocationID], tbl_location[LocationName], "UNMAPPED_LOCATION")</f>
        <v>Tool Crib</v>
      </c>
      <c r="D254" s="2">
        <v>304</v>
      </c>
      <c r="E254" s="2">
        <v>306</v>
      </c>
      <c r="F254" s="2">
        <f>tbl_kpi[[#This Row],[OnHandQty]]</f>
        <v>304</v>
      </c>
      <c r="G254" s="2">
        <f>tbl_kpi[[#This Row],[CountedQty]]-tbl_kpi[[#This Row],[ExpectedQty]]</f>
        <v>2</v>
      </c>
      <c r="H254" s="2">
        <f>IF(tbl_kpi[[#This Row],[ExpectedQty]]=0, 1, MAX(0, 1 - ABS(tbl_kpi[[#This Row],[VarianceQty]]) / tbl_kpi[[#This Row],[ExpectedQty]]))</f>
        <v>0.99342105263157898</v>
      </c>
      <c r="I254" s="2" t="str">
        <f>IF(tbl_kpi[[#This Row],[AccuracyPct]] &lt; 0.98, "Y", "N")</f>
        <v>N</v>
      </c>
    </row>
    <row r="255" spans="1:9">
      <c r="A255" s="2">
        <v>406</v>
      </c>
      <c r="B255" s="2">
        <v>6</v>
      </c>
      <c r="C255" s="2" t="str">
        <f>_xlfn.XLOOKUP(tbl_kpi[[#This Row],[LocationID]], tbl_location[LocationID], tbl_location[LocationName], "UNMAPPED_LOCATION")</f>
        <v>Miscellaneous Storage</v>
      </c>
      <c r="D255" s="2">
        <v>340</v>
      </c>
      <c r="E255" s="2">
        <v>341</v>
      </c>
      <c r="F255" s="2">
        <f>tbl_kpi[[#This Row],[OnHandQty]]</f>
        <v>340</v>
      </c>
      <c r="G255" s="2">
        <f>tbl_kpi[[#This Row],[CountedQty]]-tbl_kpi[[#This Row],[ExpectedQty]]</f>
        <v>1</v>
      </c>
      <c r="H255" s="2">
        <f>IF(tbl_kpi[[#This Row],[ExpectedQty]]=0, 1, MAX(0, 1 - ABS(tbl_kpi[[#This Row],[VarianceQty]]) / tbl_kpi[[#This Row],[ExpectedQty]]))</f>
        <v>0.99705882352941178</v>
      </c>
      <c r="I255" s="2" t="str">
        <f>IF(tbl_kpi[[#This Row],[AccuracyPct]] &lt; 0.98, "Y", "N")</f>
        <v>N</v>
      </c>
    </row>
    <row r="256" spans="1:9">
      <c r="A256" s="2">
        <v>406</v>
      </c>
      <c r="B256" s="2">
        <v>50</v>
      </c>
      <c r="C256" s="2" t="str">
        <f>_xlfn.XLOOKUP(tbl_kpi[[#This Row],[LocationID]], tbl_location[LocationID], tbl_location[LocationName], "UNMAPPED_LOCATION")</f>
        <v>Subassembly</v>
      </c>
      <c r="D256" s="2">
        <v>308</v>
      </c>
      <c r="E256" s="2">
        <v>312</v>
      </c>
      <c r="F256" s="2">
        <f>tbl_kpi[[#This Row],[OnHandQty]]</f>
        <v>308</v>
      </c>
      <c r="G256" s="2">
        <f>tbl_kpi[[#This Row],[CountedQty]]-tbl_kpi[[#This Row],[ExpectedQty]]</f>
        <v>4</v>
      </c>
      <c r="H256" s="2">
        <f>IF(tbl_kpi[[#This Row],[ExpectedQty]]=0, 1, MAX(0, 1 - ABS(tbl_kpi[[#This Row],[VarianceQty]]) / tbl_kpi[[#This Row],[ExpectedQty]]))</f>
        <v>0.98701298701298701</v>
      </c>
      <c r="I256" s="2" t="str">
        <f>IF(tbl_kpi[[#This Row],[AccuracyPct]] &lt; 0.98, "Y", "N")</f>
        <v>N</v>
      </c>
    </row>
    <row r="257" spans="1:9">
      <c r="A257" s="2">
        <v>407</v>
      </c>
      <c r="B257" s="2">
        <v>1</v>
      </c>
      <c r="C257" s="2" t="str">
        <f>_xlfn.XLOOKUP(tbl_kpi[[#This Row],[LocationID]], tbl_location[LocationID], tbl_location[LocationName], "UNMAPPED_LOCATION")</f>
        <v>Tool Crib</v>
      </c>
      <c r="D257" s="2">
        <v>460</v>
      </c>
      <c r="E257" s="2">
        <v>458</v>
      </c>
      <c r="F257" s="2">
        <f>tbl_kpi[[#This Row],[OnHandQty]]</f>
        <v>460</v>
      </c>
      <c r="G257" s="2">
        <f>tbl_kpi[[#This Row],[CountedQty]]-tbl_kpi[[#This Row],[ExpectedQty]]</f>
        <v>-2</v>
      </c>
      <c r="H257" s="2">
        <f>IF(tbl_kpi[[#This Row],[ExpectedQty]]=0, 1, MAX(0, 1 - ABS(tbl_kpi[[#This Row],[VarianceQty]]) / tbl_kpi[[#This Row],[ExpectedQty]]))</f>
        <v>0.9956521739130435</v>
      </c>
      <c r="I257" s="2" t="str">
        <f>IF(tbl_kpi[[#This Row],[AccuracyPct]] &lt; 0.98, "Y", "N")</f>
        <v>N</v>
      </c>
    </row>
    <row r="258" spans="1:9">
      <c r="A258" s="2">
        <v>407</v>
      </c>
      <c r="B258" s="2">
        <v>6</v>
      </c>
      <c r="C258" s="2" t="str">
        <f>_xlfn.XLOOKUP(tbl_kpi[[#This Row],[LocationID]], tbl_location[LocationID], tbl_location[LocationName], "UNMAPPED_LOCATION")</f>
        <v>Miscellaneous Storage</v>
      </c>
      <c r="D258" s="2">
        <v>587</v>
      </c>
      <c r="E258" s="2">
        <v>588</v>
      </c>
      <c r="F258" s="2">
        <f>tbl_kpi[[#This Row],[OnHandQty]]</f>
        <v>587</v>
      </c>
      <c r="G258" s="2">
        <f>tbl_kpi[[#This Row],[CountedQty]]-tbl_kpi[[#This Row],[ExpectedQty]]</f>
        <v>1</v>
      </c>
      <c r="H258" s="2">
        <f>IF(tbl_kpi[[#This Row],[ExpectedQty]]=0, 1, MAX(0, 1 - ABS(tbl_kpi[[#This Row],[VarianceQty]]) / tbl_kpi[[#This Row],[ExpectedQty]]))</f>
        <v>0.99829642248722317</v>
      </c>
      <c r="I258" s="2" t="str">
        <f>IF(tbl_kpi[[#This Row],[AccuracyPct]] &lt; 0.98, "Y", "N")</f>
        <v>N</v>
      </c>
    </row>
    <row r="259" spans="1:9">
      <c r="A259" s="2">
        <v>407</v>
      </c>
      <c r="B259" s="2">
        <v>50</v>
      </c>
      <c r="C259" s="2" t="str">
        <f>_xlfn.XLOOKUP(tbl_kpi[[#This Row],[LocationID]], tbl_location[LocationID], tbl_location[LocationName], "UNMAPPED_LOCATION")</f>
        <v>Subassembly</v>
      </c>
      <c r="D259" s="2">
        <v>625</v>
      </c>
      <c r="E259" s="2">
        <v>627</v>
      </c>
      <c r="F259" s="2">
        <f>tbl_kpi[[#This Row],[OnHandQty]]</f>
        <v>625</v>
      </c>
      <c r="G259" s="2">
        <f>tbl_kpi[[#This Row],[CountedQty]]-tbl_kpi[[#This Row],[ExpectedQty]]</f>
        <v>2</v>
      </c>
      <c r="H259" s="2">
        <f>IF(tbl_kpi[[#This Row],[ExpectedQty]]=0, 1, MAX(0, 1 - ABS(tbl_kpi[[#This Row],[VarianceQty]]) / tbl_kpi[[#This Row],[ExpectedQty]]))</f>
        <v>0.99680000000000002</v>
      </c>
      <c r="I259" s="2" t="str">
        <f>IF(tbl_kpi[[#This Row],[AccuracyPct]] &lt; 0.98, "Y", "N")</f>
        <v>N</v>
      </c>
    </row>
    <row r="260" spans="1:9">
      <c r="A260" s="2">
        <v>408</v>
      </c>
      <c r="B260" s="2">
        <v>1</v>
      </c>
      <c r="C260" s="2" t="str">
        <f>_xlfn.XLOOKUP(tbl_kpi[[#This Row],[LocationID]], tbl_location[LocationID], tbl_location[LocationName], "UNMAPPED_LOCATION")</f>
        <v>Tool Crib</v>
      </c>
      <c r="D260" s="2">
        <v>417</v>
      </c>
      <c r="E260" s="2">
        <v>426</v>
      </c>
      <c r="F260" s="2">
        <f>tbl_kpi[[#This Row],[OnHandQty]]</f>
        <v>417</v>
      </c>
      <c r="G260" s="2">
        <f>tbl_kpi[[#This Row],[CountedQty]]-tbl_kpi[[#This Row],[ExpectedQty]]</f>
        <v>9</v>
      </c>
      <c r="H260" s="2">
        <f>IF(tbl_kpi[[#This Row],[ExpectedQty]]=0, 1, MAX(0, 1 - ABS(tbl_kpi[[#This Row],[VarianceQty]]) / tbl_kpi[[#This Row],[ExpectedQty]]))</f>
        <v>0.97841726618705038</v>
      </c>
      <c r="I260" s="2" t="str">
        <f>IF(tbl_kpi[[#This Row],[AccuracyPct]] &lt; 0.98, "Y", "N")</f>
        <v>Y</v>
      </c>
    </row>
    <row r="261" spans="1:9">
      <c r="A261" s="2">
        <v>408</v>
      </c>
      <c r="B261" s="2">
        <v>6</v>
      </c>
      <c r="C261" s="2" t="str">
        <f>_xlfn.XLOOKUP(tbl_kpi[[#This Row],[LocationID]], tbl_location[LocationID], tbl_location[LocationName], "UNMAPPED_LOCATION")</f>
        <v>Miscellaneous Storage</v>
      </c>
      <c r="D261" s="2">
        <v>344</v>
      </c>
      <c r="E261" s="2">
        <v>342</v>
      </c>
      <c r="F261" s="2">
        <f>tbl_kpi[[#This Row],[OnHandQty]]</f>
        <v>344</v>
      </c>
      <c r="G261" s="2">
        <f>tbl_kpi[[#This Row],[CountedQty]]-tbl_kpi[[#This Row],[ExpectedQty]]</f>
        <v>-2</v>
      </c>
      <c r="H261" s="2">
        <f>IF(tbl_kpi[[#This Row],[ExpectedQty]]=0, 1, MAX(0, 1 - ABS(tbl_kpi[[#This Row],[VarianceQty]]) / tbl_kpi[[#This Row],[ExpectedQty]]))</f>
        <v>0.9941860465116279</v>
      </c>
      <c r="I261" s="2" t="str">
        <f>IF(tbl_kpi[[#This Row],[AccuracyPct]] &lt; 0.98, "Y", "N")</f>
        <v>N</v>
      </c>
    </row>
    <row r="262" spans="1:9">
      <c r="A262" s="2">
        <v>408</v>
      </c>
      <c r="B262" s="2">
        <v>50</v>
      </c>
      <c r="C262" s="2" t="str">
        <f>_xlfn.XLOOKUP(tbl_kpi[[#This Row],[LocationID]], tbl_location[LocationID], tbl_location[LocationName], "UNMAPPED_LOCATION")</f>
        <v>Subassembly</v>
      </c>
      <c r="D262" s="2">
        <v>296</v>
      </c>
      <c r="E262" s="2">
        <v>294</v>
      </c>
      <c r="F262" s="2">
        <f>tbl_kpi[[#This Row],[OnHandQty]]</f>
        <v>296</v>
      </c>
      <c r="G262" s="2">
        <f>tbl_kpi[[#This Row],[CountedQty]]-tbl_kpi[[#This Row],[ExpectedQty]]</f>
        <v>-2</v>
      </c>
      <c r="H262" s="2">
        <f>IF(tbl_kpi[[#This Row],[ExpectedQty]]=0, 1, MAX(0, 1 - ABS(tbl_kpi[[#This Row],[VarianceQty]]) / tbl_kpi[[#This Row],[ExpectedQty]]))</f>
        <v>0.9932432432432432</v>
      </c>
      <c r="I262" s="2" t="str">
        <f>IF(tbl_kpi[[#This Row],[AccuracyPct]] &lt; 0.98, "Y", "N")</f>
        <v>N</v>
      </c>
    </row>
    <row r="263" spans="1:9">
      <c r="A263" s="2">
        <v>409</v>
      </c>
      <c r="B263" s="2">
        <v>1</v>
      </c>
      <c r="C263" s="2" t="str">
        <f>_xlfn.XLOOKUP(tbl_kpi[[#This Row],[LocationID]], tbl_location[LocationID], tbl_location[LocationName], "UNMAPPED_LOCATION")</f>
        <v>Tool Crib</v>
      </c>
      <c r="D263" s="2">
        <v>414</v>
      </c>
      <c r="E263" s="2">
        <v>416</v>
      </c>
      <c r="F263" s="2">
        <f>tbl_kpi[[#This Row],[OnHandQty]]</f>
        <v>414</v>
      </c>
      <c r="G263" s="2">
        <f>tbl_kpi[[#This Row],[CountedQty]]-tbl_kpi[[#This Row],[ExpectedQty]]</f>
        <v>2</v>
      </c>
      <c r="H263" s="2">
        <f>IF(tbl_kpi[[#This Row],[ExpectedQty]]=0, 1, MAX(0, 1 - ABS(tbl_kpi[[#This Row],[VarianceQty]]) / tbl_kpi[[#This Row],[ExpectedQty]]))</f>
        <v>0.99516908212560384</v>
      </c>
      <c r="I263" s="2" t="str">
        <f>IF(tbl_kpi[[#This Row],[AccuracyPct]] &lt; 0.98, "Y", "N")</f>
        <v>N</v>
      </c>
    </row>
    <row r="264" spans="1:9">
      <c r="A264" s="2">
        <v>409</v>
      </c>
      <c r="B264" s="2">
        <v>6</v>
      </c>
      <c r="C264" s="2" t="str">
        <f>_xlfn.XLOOKUP(tbl_kpi[[#This Row],[LocationID]], tbl_location[LocationID], tbl_location[LocationName], "UNMAPPED_LOCATION")</f>
        <v>Miscellaneous Storage</v>
      </c>
      <c r="D264" s="2">
        <v>340</v>
      </c>
      <c r="E264" s="2">
        <v>342</v>
      </c>
      <c r="F264" s="2">
        <f>tbl_kpi[[#This Row],[OnHandQty]]</f>
        <v>340</v>
      </c>
      <c r="G264" s="2">
        <f>tbl_kpi[[#This Row],[CountedQty]]-tbl_kpi[[#This Row],[ExpectedQty]]</f>
        <v>2</v>
      </c>
      <c r="H264" s="2">
        <f>IF(tbl_kpi[[#This Row],[ExpectedQty]]=0, 1, MAX(0, 1 - ABS(tbl_kpi[[#This Row],[VarianceQty]]) / tbl_kpi[[#This Row],[ExpectedQty]]))</f>
        <v>0.99411764705882355</v>
      </c>
      <c r="I264" s="2" t="str">
        <f>IF(tbl_kpi[[#This Row],[AccuracyPct]] &lt; 0.98, "Y", "N")</f>
        <v>N</v>
      </c>
    </row>
    <row r="265" spans="1:9">
      <c r="A265" s="2">
        <v>409</v>
      </c>
      <c r="B265" s="2">
        <v>50</v>
      </c>
      <c r="C265" s="2" t="str">
        <f>_xlfn.XLOOKUP(tbl_kpi[[#This Row],[LocationID]], tbl_location[LocationID], tbl_location[LocationName], "UNMAPPED_LOCATION")</f>
        <v>Subassembly</v>
      </c>
      <c r="D265" s="2">
        <v>292</v>
      </c>
      <c r="E265" s="2">
        <v>291</v>
      </c>
      <c r="F265" s="2">
        <f>tbl_kpi[[#This Row],[OnHandQty]]</f>
        <v>292</v>
      </c>
      <c r="G265" s="2">
        <f>tbl_kpi[[#This Row],[CountedQty]]-tbl_kpi[[#This Row],[ExpectedQty]]</f>
        <v>-1</v>
      </c>
      <c r="H265" s="2">
        <f>IF(tbl_kpi[[#This Row],[ExpectedQty]]=0, 1, MAX(0, 1 - ABS(tbl_kpi[[#This Row],[VarianceQty]]) / tbl_kpi[[#This Row],[ExpectedQty]]))</f>
        <v>0.99657534246575341</v>
      </c>
      <c r="I265" s="2" t="str">
        <f>IF(tbl_kpi[[#This Row],[AccuracyPct]] &lt; 0.98, "Y", "N")</f>
        <v>N</v>
      </c>
    </row>
    <row r="266" spans="1:9">
      <c r="A266" s="2">
        <v>410</v>
      </c>
      <c r="B266" s="2">
        <v>1</v>
      </c>
      <c r="C266" s="2" t="str">
        <f>_xlfn.XLOOKUP(tbl_kpi[[#This Row],[LocationID]], tbl_location[LocationID], tbl_location[LocationName], "UNMAPPED_LOCATION")</f>
        <v>Tool Crib</v>
      </c>
      <c r="D266" s="2">
        <v>411</v>
      </c>
      <c r="E266" s="2">
        <v>418</v>
      </c>
      <c r="F266" s="2">
        <f>tbl_kpi[[#This Row],[OnHandQty]]</f>
        <v>411</v>
      </c>
      <c r="G266" s="2">
        <f>tbl_kpi[[#This Row],[CountedQty]]-tbl_kpi[[#This Row],[ExpectedQty]]</f>
        <v>7</v>
      </c>
      <c r="H266" s="2">
        <f>IF(tbl_kpi[[#This Row],[ExpectedQty]]=0, 1, MAX(0, 1 - ABS(tbl_kpi[[#This Row],[VarianceQty]]) / tbl_kpi[[#This Row],[ExpectedQty]]))</f>
        <v>0.98296836982968372</v>
      </c>
      <c r="I266" s="2" t="str">
        <f>IF(tbl_kpi[[#This Row],[AccuracyPct]] &lt; 0.98, "Y", "N")</f>
        <v>N</v>
      </c>
    </row>
    <row r="267" spans="1:9">
      <c r="A267" s="2">
        <v>410</v>
      </c>
      <c r="B267" s="2">
        <v>6</v>
      </c>
      <c r="C267" s="2" t="str">
        <f>_xlfn.XLOOKUP(tbl_kpi[[#This Row],[LocationID]], tbl_location[LocationID], tbl_location[LocationName], "UNMAPPED_LOCATION")</f>
        <v>Miscellaneous Storage</v>
      </c>
      <c r="D267" s="2">
        <v>337</v>
      </c>
      <c r="E267" s="2">
        <v>343</v>
      </c>
      <c r="F267" s="2">
        <f>tbl_kpi[[#This Row],[OnHandQty]]</f>
        <v>337</v>
      </c>
      <c r="G267" s="2">
        <f>tbl_kpi[[#This Row],[CountedQty]]-tbl_kpi[[#This Row],[ExpectedQty]]</f>
        <v>6</v>
      </c>
      <c r="H267" s="2">
        <f>IF(tbl_kpi[[#This Row],[ExpectedQty]]=0, 1, MAX(0, 1 - ABS(tbl_kpi[[#This Row],[VarianceQty]]) / tbl_kpi[[#This Row],[ExpectedQty]]))</f>
        <v>0.98219584569732943</v>
      </c>
      <c r="I267" s="2" t="str">
        <f>IF(tbl_kpi[[#This Row],[AccuracyPct]] &lt; 0.98, "Y", "N")</f>
        <v>N</v>
      </c>
    </row>
    <row r="268" spans="1:9">
      <c r="A268" s="2">
        <v>410</v>
      </c>
      <c r="B268" s="2">
        <v>50</v>
      </c>
      <c r="C268" s="2" t="str">
        <f>_xlfn.XLOOKUP(tbl_kpi[[#This Row],[LocationID]], tbl_location[LocationID], tbl_location[LocationName], "UNMAPPED_LOCATION")</f>
        <v>Subassembly</v>
      </c>
      <c r="D268" s="2">
        <v>289</v>
      </c>
      <c r="E268" s="2">
        <v>295</v>
      </c>
      <c r="F268" s="2">
        <f>tbl_kpi[[#This Row],[OnHandQty]]</f>
        <v>289</v>
      </c>
      <c r="G268" s="2">
        <f>tbl_kpi[[#This Row],[CountedQty]]-tbl_kpi[[#This Row],[ExpectedQty]]</f>
        <v>6</v>
      </c>
      <c r="H268" s="2">
        <f>IF(tbl_kpi[[#This Row],[ExpectedQty]]=0, 1, MAX(0, 1 - ABS(tbl_kpi[[#This Row],[VarianceQty]]) / tbl_kpi[[#This Row],[ExpectedQty]]))</f>
        <v>0.97923875432525953</v>
      </c>
      <c r="I268" s="2" t="str">
        <f>IF(tbl_kpi[[#This Row],[AccuracyPct]] &lt; 0.98, "Y", "N")</f>
        <v>Y</v>
      </c>
    </row>
    <row r="269" spans="1:9">
      <c r="A269" s="2">
        <v>411</v>
      </c>
      <c r="B269" s="2">
        <v>1</v>
      </c>
      <c r="C269" s="2" t="str">
        <f>_xlfn.XLOOKUP(tbl_kpi[[#This Row],[LocationID]], tbl_location[LocationID], tbl_location[LocationName], "UNMAPPED_LOCATION")</f>
        <v>Tool Crib</v>
      </c>
      <c r="D269" s="2">
        <v>603</v>
      </c>
      <c r="E269" s="2">
        <v>616</v>
      </c>
      <c r="F269" s="2">
        <f>tbl_kpi[[#This Row],[OnHandQty]]</f>
        <v>603</v>
      </c>
      <c r="G269" s="2">
        <f>tbl_kpi[[#This Row],[CountedQty]]-tbl_kpi[[#This Row],[ExpectedQty]]</f>
        <v>13</v>
      </c>
      <c r="H269" s="2">
        <f>IF(tbl_kpi[[#This Row],[ExpectedQty]]=0, 1, MAX(0, 1 - ABS(tbl_kpi[[#This Row],[VarianceQty]]) / tbl_kpi[[#This Row],[ExpectedQty]]))</f>
        <v>0.97844112769485903</v>
      </c>
      <c r="I269" s="2" t="str">
        <f>IF(tbl_kpi[[#This Row],[AccuracyPct]] &lt; 0.98, "Y", "N")</f>
        <v>Y</v>
      </c>
    </row>
    <row r="270" spans="1:9">
      <c r="A270" s="2">
        <v>411</v>
      </c>
      <c r="B270" s="2">
        <v>6</v>
      </c>
      <c r="C270" s="2" t="str">
        <f>_xlfn.XLOOKUP(tbl_kpi[[#This Row],[LocationID]], tbl_location[LocationID], tbl_location[LocationName], "UNMAPPED_LOCATION")</f>
        <v>Miscellaneous Storage</v>
      </c>
      <c r="D270" s="2">
        <v>552</v>
      </c>
      <c r="E270" s="2">
        <v>545</v>
      </c>
      <c r="F270" s="2">
        <f>tbl_kpi[[#This Row],[OnHandQty]]</f>
        <v>552</v>
      </c>
      <c r="G270" s="2">
        <f>tbl_kpi[[#This Row],[CountedQty]]-tbl_kpi[[#This Row],[ExpectedQty]]</f>
        <v>-7</v>
      </c>
      <c r="H270" s="2">
        <f>IF(tbl_kpi[[#This Row],[ExpectedQty]]=0, 1, MAX(0, 1 - ABS(tbl_kpi[[#This Row],[VarianceQty]]) / tbl_kpi[[#This Row],[ExpectedQty]]))</f>
        <v>0.9873188405797102</v>
      </c>
      <c r="I270" s="2" t="str">
        <f>IF(tbl_kpi[[#This Row],[AccuracyPct]] &lt; 0.98, "Y", "N")</f>
        <v>N</v>
      </c>
    </row>
    <row r="271" spans="1:9">
      <c r="A271" s="2">
        <v>411</v>
      </c>
      <c r="B271" s="2">
        <v>50</v>
      </c>
      <c r="C271" s="2" t="str">
        <f>_xlfn.XLOOKUP(tbl_kpi[[#This Row],[LocationID]], tbl_location[LocationID], tbl_location[LocationName], "UNMAPPED_LOCATION")</f>
        <v>Subassembly</v>
      </c>
      <c r="D271" s="2">
        <v>459</v>
      </c>
      <c r="E271" s="2">
        <v>460</v>
      </c>
      <c r="F271" s="2">
        <f>tbl_kpi[[#This Row],[OnHandQty]]</f>
        <v>459</v>
      </c>
      <c r="G271" s="2">
        <f>tbl_kpi[[#This Row],[CountedQty]]-tbl_kpi[[#This Row],[ExpectedQty]]</f>
        <v>1</v>
      </c>
      <c r="H271" s="2">
        <f>IF(tbl_kpi[[#This Row],[ExpectedQty]]=0, 1, MAX(0, 1 - ABS(tbl_kpi[[#This Row],[VarianceQty]]) / tbl_kpi[[#This Row],[ExpectedQty]]))</f>
        <v>0.9978213507625272</v>
      </c>
      <c r="I271" s="2" t="str">
        <f>IF(tbl_kpi[[#This Row],[AccuracyPct]] &lt; 0.98, "Y", "N")</f>
        <v>N</v>
      </c>
    </row>
    <row r="272" spans="1:9">
      <c r="A272" s="2">
        <v>412</v>
      </c>
      <c r="B272" s="2">
        <v>1</v>
      </c>
      <c r="C272" s="2" t="str">
        <f>_xlfn.XLOOKUP(tbl_kpi[[#This Row],[LocationID]], tbl_location[LocationID], tbl_location[LocationName], "UNMAPPED_LOCATION")</f>
        <v>Tool Crib</v>
      </c>
      <c r="D272" s="2">
        <v>299</v>
      </c>
      <c r="E272" s="2">
        <v>307</v>
      </c>
      <c r="F272" s="2">
        <f>tbl_kpi[[#This Row],[OnHandQty]]</f>
        <v>299</v>
      </c>
      <c r="G272" s="2">
        <f>tbl_kpi[[#This Row],[CountedQty]]-tbl_kpi[[#This Row],[ExpectedQty]]</f>
        <v>8</v>
      </c>
      <c r="H272" s="2">
        <f>IF(tbl_kpi[[#This Row],[ExpectedQty]]=0, 1, MAX(0, 1 - ABS(tbl_kpi[[#This Row],[VarianceQty]]) / tbl_kpi[[#This Row],[ExpectedQty]]))</f>
        <v>0.97324414715719065</v>
      </c>
      <c r="I272" s="2" t="str">
        <f>IF(tbl_kpi[[#This Row],[AccuracyPct]] &lt; 0.98, "Y", "N")</f>
        <v>Y</v>
      </c>
    </row>
    <row r="273" spans="1:9">
      <c r="A273" s="2">
        <v>412</v>
      </c>
      <c r="B273" s="2">
        <v>6</v>
      </c>
      <c r="C273" s="2" t="str">
        <f>_xlfn.XLOOKUP(tbl_kpi[[#This Row],[LocationID]], tbl_location[LocationID], tbl_location[LocationName], "UNMAPPED_LOCATION")</f>
        <v>Miscellaneous Storage</v>
      </c>
      <c r="D273" s="2">
        <v>321</v>
      </c>
      <c r="E273" s="2">
        <v>331</v>
      </c>
      <c r="F273" s="2">
        <f>tbl_kpi[[#This Row],[OnHandQty]]</f>
        <v>321</v>
      </c>
      <c r="G273" s="2">
        <f>tbl_kpi[[#This Row],[CountedQty]]-tbl_kpi[[#This Row],[ExpectedQty]]</f>
        <v>10</v>
      </c>
      <c r="H273" s="2">
        <f>IF(tbl_kpi[[#This Row],[ExpectedQty]]=0, 1, MAX(0, 1 - ABS(tbl_kpi[[#This Row],[VarianceQty]]) / tbl_kpi[[#This Row],[ExpectedQty]]))</f>
        <v>0.96884735202492211</v>
      </c>
      <c r="I273" s="2" t="str">
        <f>IF(tbl_kpi[[#This Row],[AccuracyPct]] &lt; 0.98, "Y", "N")</f>
        <v>Y</v>
      </c>
    </row>
    <row r="274" spans="1:9">
      <c r="A274" s="2">
        <v>412</v>
      </c>
      <c r="B274" s="2">
        <v>50</v>
      </c>
      <c r="C274" s="2" t="str">
        <f>_xlfn.XLOOKUP(tbl_kpi[[#This Row],[LocationID]], tbl_location[LocationID], tbl_location[LocationName], "UNMAPPED_LOCATION")</f>
        <v>Subassembly</v>
      </c>
      <c r="D274" s="2">
        <v>156</v>
      </c>
      <c r="E274" s="2">
        <v>153</v>
      </c>
      <c r="F274" s="2">
        <f>tbl_kpi[[#This Row],[OnHandQty]]</f>
        <v>156</v>
      </c>
      <c r="G274" s="2">
        <f>tbl_kpi[[#This Row],[CountedQty]]-tbl_kpi[[#This Row],[ExpectedQty]]</f>
        <v>-3</v>
      </c>
      <c r="H274" s="2">
        <f>IF(tbl_kpi[[#This Row],[ExpectedQty]]=0, 1, MAX(0, 1 - ABS(tbl_kpi[[#This Row],[VarianceQty]]) / tbl_kpi[[#This Row],[ExpectedQty]]))</f>
        <v>0.98076923076923073</v>
      </c>
      <c r="I274" s="2" t="str">
        <f>IF(tbl_kpi[[#This Row],[AccuracyPct]] &lt; 0.98, "Y", "N")</f>
        <v>N</v>
      </c>
    </row>
    <row r="275" spans="1:9">
      <c r="A275" s="2">
        <v>413</v>
      </c>
      <c r="B275" s="2">
        <v>1</v>
      </c>
      <c r="C275" s="2" t="str">
        <f>_xlfn.XLOOKUP(tbl_kpi[[#This Row],[LocationID]], tbl_location[LocationID], tbl_location[LocationName], "UNMAPPED_LOCATION")</f>
        <v>Tool Crib</v>
      </c>
      <c r="D275" s="2">
        <v>641</v>
      </c>
      <c r="E275" s="2">
        <v>636</v>
      </c>
      <c r="F275" s="2">
        <f>tbl_kpi[[#This Row],[OnHandQty]]</f>
        <v>641</v>
      </c>
      <c r="G275" s="2">
        <f>tbl_kpi[[#This Row],[CountedQty]]-tbl_kpi[[#This Row],[ExpectedQty]]</f>
        <v>-5</v>
      </c>
      <c r="H275" s="2">
        <f>IF(tbl_kpi[[#This Row],[ExpectedQty]]=0, 1, MAX(0, 1 - ABS(tbl_kpi[[#This Row],[VarianceQty]]) / tbl_kpi[[#This Row],[ExpectedQty]]))</f>
        <v>0.99219968798751945</v>
      </c>
      <c r="I275" s="2" t="str">
        <f>IF(tbl_kpi[[#This Row],[AccuracyPct]] &lt; 0.98, "Y", "N")</f>
        <v>N</v>
      </c>
    </row>
    <row r="276" spans="1:9">
      <c r="A276" s="2">
        <v>413</v>
      </c>
      <c r="B276" s="2">
        <v>6</v>
      </c>
      <c r="C276" s="2" t="str">
        <f>_xlfn.XLOOKUP(tbl_kpi[[#This Row],[LocationID]], tbl_location[LocationID], tbl_location[LocationName], "UNMAPPED_LOCATION")</f>
        <v>Miscellaneous Storage</v>
      </c>
      <c r="D276" s="2">
        <v>603</v>
      </c>
      <c r="E276" s="2">
        <v>600</v>
      </c>
      <c r="F276" s="2">
        <f>tbl_kpi[[#This Row],[OnHandQty]]</f>
        <v>603</v>
      </c>
      <c r="G276" s="2">
        <f>tbl_kpi[[#This Row],[CountedQty]]-tbl_kpi[[#This Row],[ExpectedQty]]</f>
        <v>-3</v>
      </c>
      <c r="H276" s="2">
        <f>IF(tbl_kpi[[#This Row],[ExpectedQty]]=0, 1, MAX(0, 1 - ABS(tbl_kpi[[#This Row],[VarianceQty]]) / tbl_kpi[[#This Row],[ExpectedQty]]))</f>
        <v>0.99502487562189057</v>
      </c>
      <c r="I276" s="2" t="str">
        <f>IF(tbl_kpi[[#This Row],[AccuracyPct]] &lt; 0.98, "Y", "N")</f>
        <v>N</v>
      </c>
    </row>
    <row r="277" spans="1:9">
      <c r="A277" s="2">
        <v>413</v>
      </c>
      <c r="B277" s="2">
        <v>50</v>
      </c>
      <c r="C277" s="2" t="str">
        <f>_xlfn.XLOOKUP(tbl_kpi[[#This Row],[LocationID]], tbl_location[LocationID], tbl_location[LocationName], "UNMAPPED_LOCATION")</f>
        <v>Subassembly</v>
      </c>
      <c r="D277" s="2">
        <v>459</v>
      </c>
      <c r="E277" s="2">
        <v>467</v>
      </c>
      <c r="F277" s="2">
        <f>tbl_kpi[[#This Row],[OnHandQty]]</f>
        <v>459</v>
      </c>
      <c r="G277" s="2">
        <f>tbl_kpi[[#This Row],[CountedQty]]-tbl_kpi[[#This Row],[ExpectedQty]]</f>
        <v>8</v>
      </c>
      <c r="H277" s="2">
        <f>IF(tbl_kpi[[#This Row],[ExpectedQty]]=0, 1, MAX(0, 1 - ABS(tbl_kpi[[#This Row],[VarianceQty]]) / tbl_kpi[[#This Row],[ExpectedQty]]))</f>
        <v>0.98257080610021785</v>
      </c>
      <c r="I277" s="2" t="str">
        <f>IF(tbl_kpi[[#This Row],[AccuracyPct]] &lt; 0.98, "Y", "N")</f>
        <v>N</v>
      </c>
    </row>
    <row r="278" spans="1:9">
      <c r="A278" s="2">
        <v>414</v>
      </c>
      <c r="B278" s="2">
        <v>1</v>
      </c>
      <c r="C278" s="2" t="str">
        <f>_xlfn.XLOOKUP(tbl_kpi[[#This Row],[LocationID]], tbl_location[LocationID], tbl_location[LocationName], "UNMAPPED_LOCATION")</f>
        <v>Tool Crib</v>
      </c>
      <c r="D278" s="2">
        <v>427</v>
      </c>
      <c r="E278" s="2">
        <v>428</v>
      </c>
      <c r="F278" s="2">
        <f>tbl_kpi[[#This Row],[OnHandQty]]</f>
        <v>427</v>
      </c>
      <c r="G278" s="2">
        <f>tbl_kpi[[#This Row],[CountedQty]]-tbl_kpi[[#This Row],[ExpectedQty]]</f>
        <v>1</v>
      </c>
      <c r="H278" s="2">
        <f>IF(tbl_kpi[[#This Row],[ExpectedQty]]=0, 1, MAX(0, 1 - ABS(tbl_kpi[[#This Row],[VarianceQty]]) / tbl_kpi[[#This Row],[ExpectedQty]]))</f>
        <v>0.99765807962529274</v>
      </c>
      <c r="I278" s="2" t="str">
        <f>IF(tbl_kpi[[#This Row],[AccuracyPct]] &lt; 0.98, "Y", "N")</f>
        <v>N</v>
      </c>
    </row>
    <row r="279" spans="1:9">
      <c r="A279" s="2">
        <v>414</v>
      </c>
      <c r="B279" s="2">
        <v>6</v>
      </c>
      <c r="C279" s="2" t="str">
        <f>_xlfn.XLOOKUP(tbl_kpi[[#This Row],[LocationID]], tbl_location[LocationID], tbl_location[LocationName], "UNMAPPED_LOCATION")</f>
        <v>Miscellaneous Storage</v>
      </c>
      <c r="D279" s="2">
        <v>321</v>
      </c>
      <c r="E279" s="2">
        <v>313</v>
      </c>
      <c r="F279" s="2">
        <f>tbl_kpi[[#This Row],[OnHandQty]]</f>
        <v>321</v>
      </c>
      <c r="G279" s="2">
        <f>tbl_kpi[[#This Row],[CountedQty]]-tbl_kpi[[#This Row],[ExpectedQty]]</f>
        <v>-8</v>
      </c>
      <c r="H279" s="2">
        <f>IF(tbl_kpi[[#This Row],[ExpectedQty]]=0, 1, MAX(0, 1 - ABS(tbl_kpi[[#This Row],[VarianceQty]]) / tbl_kpi[[#This Row],[ExpectedQty]]))</f>
        <v>0.97507788161993769</v>
      </c>
      <c r="I279" s="2" t="str">
        <f>IF(tbl_kpi[[#This Row],[AccuracyPct]] &lt; 0.98, "Y", "N")</f>
        <v>Y</v>
      </c>
    </row>
    <row r="280" spans="1:9">
      <c r="A280" s="2">
        <v>414</v>
      </c>
      <c r="B280" s="2">
        <v>50</v>
      </c>
      <c r="C280" s="2" t="str">
        <f>_xlfn.XLOOKUP(tbl_kpi[[#This Row],[LocationID]], tbl_location[LocationID], tbl_location[LocationName], "UNMAPPED_LOCATION")</f>
        <v>Subassembly</v>
      </c>
      <c r="D280" s="2">
        <v>371</v>
      </c>
      <c r="E280" s="2">
        <v>379</v>
      </c>
      <c r="F280" s="2">
        <f>tbl_kpi[[#This Row],[OnHandQty]]</f>
        <v>371</v>
      </c>
      <c r="G280" s="2">
        <f>tbl_kpi[[#This Row],[CountedQty]]-tbl_kpi[[#This Row],[ExpectedQty]]</f>
        <v>8</v>
      </c>
      <c r="H280" s="2">
        <f>IF(tbl_kpi[[#This Row],[ExpectedQty]]=0, 1, MAX(0, 1 - ABS(tbl_kpi[[#This Row],[VarianceQty]]) / tbl_kpi[[#This Row],[ExpectedQty]]))</f>
        <v>0.97843665768194066</v>
      </c>
      <c r="I280" s="2" t="str">
        <f>IF(tbl_kpi[[#This Row],[AccuracyPct]] &lt; 0.98, "Y", "N")</f>
        <v>Y</v>
      </c>
    </row>
    <row r="281" spans="1:9">
      <c r="A281" s="2">
        <v>415</v>
      </c>
      <c r="B281" s="2">
        <v>1</v>
      </c>
      <c r="C281" s="2" t="str">
        <f>_xlfn.XLOOKUP(tbl_kpi[[#This Row],[LocationID]], tbl_location[LocationID], tbl_location[LocationName], "UNMAPPED_LOCATION")</f>
        <v>Tool Crib</v>
      </c>
      <c r="D281" s="2">
        <v>422</v>
      </c>
      <c r="E281" s="2">
        <v>411</v>
      </c>
      <c r="F281" s="2">
        <f>tbl_kpi[[#This Row],[OnHandQty]]</f>
        <v>422</v>
      </c>
      <c r="G281" s="2">
        <f>tbl_kpi[[#This Row],[CountedQty]]-tbl_kpi[[#This Row],[ExpectedQty]]</f>
        <v>-11</v>
      </c>
      <c r="H281" s="2">
        <f>IF(tbl_kpi[[#This Row],[ExpectedQty]]=0, 1, MAX(0, 1 - ABS(tbl_kpi[[#This Row],[VarianceQty]]) / tbl_kpi[[#This Row],[ExpectedQty]]))</f>
        <v>0.97393364928909953</v>
      </c>
      <c r="I281" s="2" t="str">
        <f>IF(tbl_kpi[[#This Row],[AccuracyPct]] &lt; 0.98, "Y", "N")</f>
        <v>Y</v>
      </c>
    </row>
    <row r="282" spans="1:9">
      <c r="A282" s="2">
        <v>415</v>
      </c>
      <c r="B282" s="2">
        <v>6</v>
      </c>
      <c r="C282" s="2" t="str">
        <f>_xlfn.XLOOKUP(tbl_kpi[[#This Row],[LocationID]], tbl_location[LocationID], tbl_location[LocationName], "UNMAPPED_LOCATION")</f>
        <v>Miscellaneous Storage</v>
      </c>
      <c r="D282" s="2">
        <v>316</v>
      </c>
      <c r="E282" s="2">
        <v>321</v>
      </c>
      <c r="F282" s="2">
        <f>tbl_kpi[[#This Row],[OnHandQty]]</f>
        <v>316</v>
      </c>
      <c r="G282" s="2">
        <f>tbl_kpi[[#This Row],[CountedQty]]-tbl_kpi[[#This Row],[ExpectedQty]]</f>
        <v>5</v>
      </c>
      <c r="H282" s="2">
        <f>IF(tbl_kpi[[#This Row],[ExpectedQty]]=0, 1, MAX(0, 1 - ABS(tbl_kpi[[#This Row],[VarianceQty]]) / tbl_kpi[[#This Row],[ExpectedQty]]))</f>
        <v>0.98417721518987344</v>
      </c>
      <c r="I282" s="2" t="str">
        <f>IF(tbl_kpi[[#This Row],[AccuracyPct]] &lt; 0.98, "Y", "N")</f>
        <v>N</v>
      </c>
    </row>
    <row r="283" spans="1:9">
      <c r="A283" s="2">
        <v>415</v>
      </c>
      <c r="B283" s="2">
        <v>50</v>
      </c>
      <c r="C283" s="2" t="str">
        <f>_xlfn.XLOOKUP(tbl_kpi[[#This Row],[LocationID]], tbl_location[LocationID], tbl_location[LocationName], "UNMAPPED_LOCATION")</f>
        <v>Subassembly</v>
      </c>
      <c r="D283" s="2">
        <v>366</v>
      </c>
      <c r="E283" s="2">
        <v>367</v>
      </c>
      <c r="F283" s="2">
        <f>tbl_kpi[[#This Row],[OnHandQty]]</f>
        <v>366</v>
      </c>
      <c r="G283" s="2">
        <f>tbl_kpi[[#This Row],[CountedQty]]-tbl_kpi[[#This Row],[ExpectedQty]]</f>
        <v>1</v>
      </c>
      <c r="H283" s="2">
        <f>IF(tbl_kpi[[#This Row],[ExpectedQty]]=0, 1, MAX(0, 1 - ABS(tbl_kpi[[#This Row],[VarianceQty]]) / tbl_kpi[[#This Row],[ExpectedQty]]))</f>
        <v>0.99726775956284153</v>
      </c>
      <c r="I283" s="2" t="str">
        <f>IF(tbl_kpi[[#This Row],[AccuracyPct]] &lt; 0.98, "Y", "N")</f>
        <v>N</v>
      </c>
    </row>
    <row r="284" spans="1:9">
      <c r="A284" s="2">
        <v>416</v>
      </c>
      <c r="B284" s="2">
        <v>1</v>
      </c>
      <c r="C284" s="2" t="str">
        <f>_xlfn.XLOOKUP(tbl_kpi[[#This Row],[LocationID]], tbl_location[LocationID], tbl_location[LocationName], "UNMAPPED_LOCATION")</f>
        <v>Tool Crib</v>
      </c>
      <c r="D284" s="2">
        <v>417</v>
      </c>
      <c r="E284" s="2">
        <v>406</v>
      </c>
      <c r="F284" s="2">
        <f>tbl_kpi[[#This Row],[OnHandQty]]</f>
        <v>417</v>
      </c>
      <c r="G284" s="2">
        <f>tbl_kpi[[#This Row],[CountedQty]]-tbl_kpi[[#This Row],[ExpectedQty]]</f>
        <v>-11</v>
      </c>
      <c r="H284" s="2">
        <f>IF(tbl_kpi[[#This Row],[ExpectedQty]]=0, 1, MAX(0, 1 - ABS(tbl_kpi[[#This Row],[VarianceQty]]) / tbl_kpi[[#This Row],[ExpectedQty]]))</f>
        <v>0.97362110311750605</v>
      </c>
      <c r="I284" s="2" t="str">
        <f>IF(tbl_kpi[[#This Row],[AccuracyPct]] &lt; 0.98, "Y", "N")</f>
        <v>Y</v>
      </c>
    </row>
    <row r="285" spans="1:9">
      <c r="A285" s="2">
        <v>416</v>
      </c>
      <c r="B285" s="2">
        <v>6</v>
      </c>
      <c r="C285" s="2" t="str">
        <f>_xlfn.XLOOKUP(tbl_kpi[[#This Row],[LocationID]], tbl_location[LocationID], tbl_location[LocationName], "UNMAPPED_LOCATION")</f>
        <v>Miscellaneous Storage</v>
      </c>
      <c r="D285" s="2">
        <v>312</v>
      </c>
      <c r="E285" s="2">
        <v>319</v>
      </c>
      <c r="F285" s="2">
        <f>tbl_kpi[[#This Row],[OnHandQty]]</f>
        <v>312</v>
      </c>
      <c r="G285" s="2">
        <f>tbl_kpi[[#This Row],[CountedQty]]-tbl_kpi[[#This Row],[ExpectedQty]]</f>
        <v>7</v>
      </c>
      <c r="H285" s="2">
        <f>IF(tbl_kpi[[#This Row],[ExpectedQty]]=0, 1, MAX(0, 1 - ABS(tbl_kpi[[#This Row],[VarianceQty]]) / tbl_kpi[[#This Row],[ExpectedQty]]))</f>
        <v>0.97756410256410253</v>
      </c>
      <c r="I285" s="2" t="str">
        <f>IF(tbl_kpi[[#This Row],[AccuracyPct]] &lt; 0.98, "Y", "N")</f>
        <v>Y</v>
      </c>
    </row>
    <row r="286" spans="1:9">
      <c r="A286" s="2">
        <v>416</v>
      </c>
      <c r="B286" s="2">
        <v>50</v>
      </c>
      <c r="C286" s="2" t="str">
        <f>_xlfn.XLOOKUP(tbl_kpi[[#This Row],[LocationID]], tbl_location[LocationID], tbl_location[LocationName], "UNMAPPED_LOCATION")</f>
        <v>Subassembly</v>
      </c>
      <c r="D286" s="2">
        <v>361</v>
      </c>
      <c r="E286" s="2">
        <v>367</v>
      </c>
      <c r="F286" s="2">
        <f>tbl_kpi[[#This Row],[OnHandQty]]</f>
        <v>361</v>
      </c>
      <c r="G286" s="2">
        <f>tbl_kpi[[#This Row],[CountedQty]]-tbl_kpi[[#This Row],[ExpectedQty]]</f>
        <v>6</v>
      </c>
      <c r="H286" s="2">
        <f>IF(tbl_kpi[[#This Row],[ExpectedQty]]=0, 1, MAX(0, 1 - ABS(tbl_kpi[[#This Row],[VarianceQty]]) / tbl_kpi[[#This Row],[ExpectedQty]]))</f>
        <v>0.9833795013850416</v>
      </c>
      <c r="I286" s="2" t="str">
        <f>IF(tbl_kpi[[#This Row],[AccuracyPct]] &lt; 0.98, "Y", "N")</f>
        <v>N</v>
      </c>
    </row>
    <row r="287" spans="1:9">
      <c r="A287" s="2">
        <v>417</v>
      </c>
      <c r="B287" s="2">
        <v>1</v>
      </c>
      <c r="C287" s="2" t="str">
        <f>_xlfn.XLOOKUP(tbl_kpi[[#This Row],[LocationID]], tbl_location[LocationID], tbl_location[LocationName], "UNMAPPED_LOCATION")</f>
        <v>Tool Crib</v>
      </c>
      <c r="D287" s="2">
        <v>572</v>
      </c>
      <c r="E287" s="2">
        <v>555</v>
      </c>
      <c r="F287" s="2">
        <f>tbl_kpi[[#This Row],[OnHandQty]]</f>
        <v>572</v>
      </c>
      <c r="G287" s="2">
        <f>tbl_kpi[[#This Row],[CountedQty]]-tbl_kpi[[#This Row],[ExpectedQty]]</f>
        <v>-17</v>
      </c>
      <c r="H287" s="2">
        <f>IF(tbl_kpi[[#This Row],[ExpectedQty]]=0, 1, MAX(0, 1 - ABS(tbl_kpi[[#This Row],[VarianceQty]]) / tbl_kpi[[#This Row],[ExpectedQty]]))</f>
        <v>0.97027972027972031</v>
      </c>
      <c r="I287" s="2" t="str">
        <f>IF(tbl_kpi[[#This Row],[AccuracyPct]] &lt; 0.98, "Y", "N")</f>
        <v>Y</v>
      </c>
    </row>
    <row r="288" spans="1:9">
      <c r="A288" s="2">
        <v>417</v>
      </c>
      <c r="B288" s="2">
        <v>6</v>
      </c>
      <c r="C288" s="2" t="str">
        <f>_xlfn.XLOOKUP(tbl_kpi[[#This Row],[LocationID]], tbl_location[LocationID], tbl_location[LocationName], "UNMAPPED_LOCATION")</f>
        <v>Miscellaneous Storage</v>
      </c>
      <c r="D288" s="2">
        <v>627</v>
      </c>
      <c r="E288" s="2">
        <v>630</v>
      </c>
      <c r="F288" s="2">
        <f>tbl_kpi[[#This Row],[OnHandQty]]</f>
        <v>627</v>
      </c>
      <c r="G288" s="2">
        <f>tbl_kpi[[#This Row],[CountedQty]]-tbl_kpi[[#This Row],[ExpectedQty]]</f>
        <v>3</v>
      </c>
      <c r="H288" s="2">
        <f>IF(tbl_kpi[[#This Row],[ExpectedQty]]=0, 1, MAX(0, 1 - ABS(tbl_kpi[[#This Row],[VarianceQty]]) / tbl_kpi[[#This Row],[ExpectedQty]]))</f>
        <v>0.99521531100478466</v>
      </c>
      <c r="I288" s="2" t="str">
        <f>IF(tbl_kpi[[#This Row],[AccuracyPct]] &lt; 0.98, "Y", "N")</f>
        <v>N</v>
      </c>
    </row>
    <row r="289" spans="1:9">
      <c r="A289" s="2">
        <v>417</v>
      </c>
      <c r="B289" s="2">
        <v>50</v>
      </c>
      <c r="C289" s="2" t="str">
        <f>_xlfn.XLOOKUP(tbl_kpi[[#This Row],[LocationID]], tbl_location[LocationID], tbl_location[LocationName], "UNMAPPED_LOCATION")</f>
        <v>Subassembly</v>
      </c>
      <c r="D289" s="2">
        <v>516</v>
      </c>
      <c r="E289" s="2">
        <v>508</v>
      </c>
      <c r="F289" s="2">
        <f>tbl_kpi[[#This Row],[OnHandQty]]</f>
        <v>516</v>
      </c>
      <c r="G289" s="2">
        <f>tbl_kpi[[#This Row],[CountedQty]]-tbl_kpi[[#This Row],[ExpectedQty]]</f>
        <v>-8</v>
      </c>
      <c r="H289" s="2">
        <f>IF(tbl_kpi[[#This Row],[ExpectedQty]]=0, 1, MAX(0, 1 - ABS(tbl_kpi[[#This Row],[VarianceQty]]) / tbl_kpi[[#This Row],[ExpectedQty]]))</f>
        <v>0.98449612403100772</v>
      </c>
      <c r="I289" s="2" t="str">
        <f>IF(tbl_kpi[[#This Row],[AccuracyPct]] &lt; 0.98, "Y", "N")</f>
        <v>N</v>
      </c>
    </row>
    <row r="290" spans="1:9">
      <c r="A290" s="2">
        <v>418</v>
      </c>
      <c r="B290" s="2">
        <v>1</v>
      </c>
      <c r="C290" s="2" t="str">
        <f>_xlfn.XLOOKUP(tbl_kpi[[#This Row],[LocationID]], tbl_location[LocationID], tbl_location[LocationName], "UNMAPPED_LOCATION")</f>
        <v>Tool Crib</v>
      </c>
      <c r="D290" s="2">
        <v>248</v>
      </c>
      <c r="E290" s="2">
        <v>252</v>
      </c>
      <c r="F290" s="2">
        <f>tbl_kpi[[#This Row],[OnHandQty]]</f>
        <v>248</v>
      </c>
      <c r="G290" s="2">
        <f>tbl_kpi[[#This Row],[CountedQty]]-tbl_kpi[[#This Row],[ExpectedQty]]</f>
        <v>4</v>
      </c>
      <c r="H290" s="2">
        <f>IF(tbl_kpi[[#This Row],[ExpectedQty]]=0, 1, MAX(0, 1 - ABS(tbl_kpi[[#This Row],[VarianceQty]]) / tbl_kpi[[#This Row],[ExpectedQty]]))</f>
        <v>0.9838709677419355</v>
      </c>
      <c r="I290" s="2" t="str">
        <f>IF(tbl_kpi[[#This Row],[AccuracyPct]] &lt; 0.98, "Y", "N")</f>
        <v>N</v>
      </c>
    </row>
    <row r="291" spans="1:9">
      <c r="A291" s="2">
        <v>418</v>
      </c>
      <c r="B291" s="2">
        <v>6</v>
      </c>
      <c r="C291" s="2" t="str">
        <f>_xlfn.XLOOKUP(tbl_kpi[[#This Row],[LocationID]], tbl_location[LocationID], tbl_location[LocationName], "UNMAPPED_LOCATION")</f>
        <v>Miscellaneous Storage</v>
      </c>
      <c r="D291" s="2">
        <v>283</v>
      </c>
      <c r="E291" s="2">
        <v>288</v>
      </c>
      <c r="F291" s="2">
        <f>tbl_kpi[[#This Row],[OnHandQty]]</f>
        <v>283</v>
      </c>
      <c r="G291" s="2">
        <f>tbl_kpi[[#This Row],[CountedQty]]-tbl_kpi[[#This Row],[ExpectedQty]]</f>
        <v>5</v>
      </c>
      <c r="H291" s="2">
        <f>IF(tbl_kpi[[#This Row],[ExpectedQty]]=0, 1, MAX(0, 1 - ABS(tbl_kpi[[#This Row],[VarianceQty]]) / tbl_kpi[[#This Row],[ExpectedQty]]))</f>
        <v>0.98233215547703179</v>
      </c>
      <c r="I291" s="2" t="str">
        <f>IF(tbl_kpi[[#This Row],[AccuracyPct]] &lt; 0.98, "Y", "N")</f>
        <v>N</v>
      </c>
    </row>
    <row r="292" spans="1:9">
      <c r="A292" s="2">
        <v>418</v>
      </c>
      <c r="B292" s="2">
        <v>50</v>
      </c>
      <c r="C292" s="2" t="str">
        <f>_xlfn.XLOOKUP(tbl_kpi[[#This Row],[LocationID]], tbl_location[LocationID], tbl_location[LocationName], "UNMAPPED_LOCATION")</f>
        <v>Subassembly</v>
      </c>
      <c r="D292" s="2">
        <v>388</v>
      </c>
      <c r="E292" s="2">
        <v>378</v>
      </c>
      <c r="F292" s="2">
        <f>tbl_kpi[[#This Row],[OnHandQty]]</f>
        <v>388</v>
      </c>
      <c r="G292" s="2">
        <f>tbl_kpi[[#This Row],[CountedQty]]-tbl_kpi[[#This Row],[ExpectedQty]]</f>
        <v>-10</v>
      </c>
      <c r="H292" s="2">
        <f>IF(tbl_kpi[[#This Row],[ExpectedQty]]=0, 1, MAX(0, 1 - ABS(tbl_kpi[[#This Row],[VarianceQty]]) / tbl_kpi[[#This Row],[ExpectedQty]]))</f>
        <v>0.97422680412371132</v>
      </c>
      <c r="I292" s="2" t="str">
        <f>IF(tbl_kpi[[#This Row],[AccuracyPct]] &lt; 0.98, "Y", "N")</f>
        <v>Y</v>
      </c>
    </row>
    <row r="293" spans="1:9">
      <c r="A293" s="2">
        <v>419</v>
      </c>
      <c r="B293" s="2">
        <v>1</v>
      </c>
      <c r="C293" s="2" t="str">
        <f>_xlfn.XLOOKUP(tbl_kpi[[#This Row],[LocationID]], tbl_location[LocationID], tbl_location[LocationName], "UNMAPPED_LOCATION")</f>
        <v>Tool Crib</v>
      </c>
      <c r="D293" s="2">
        <v>246</v>
      </c>
      <c r="E293" s="2">
        <v>246</v>
      </c>
      <c r="F293" s="2">
        <f>tbl_kpi[[#This Row],[OnHandQty]]</f>
        <v>246</v>
      </c>
      <c r="G293" s="2">
        <f>tbl_kpi[[#This Row],[CountedQty]]-tbl_kpi[[#This Row],[ExpectedQty]]</f>
        <v>0</v>
      </c>
      <c r="H293" s="2">
        <f>IF(tbl_kpi[[#This Row],[ExpectedQty]]=0, 1, MAX(0, 1 - ABS(tbl_kpi[[#This Row],[VarianceQty]]) / tbl_kpi[[#This Row],[ExpectedQty]]))</f>
        <v>1</v>
      </c>
      <c r="I293" s="2" t="str">
        <f>IF(tbl_kpi[[#This Row],[AccuracyPct]] &lt; 0.98, "Y", "N")</f>
        <v>N</v>
      </c>
    </row>
    <row r="294" spans="1:9">
      <c r="A294" s="2">
        <v>419</v>
      </c>
      <c r="B294" s="2">
        <v>6</v>
      </c>
      <c r="C294" s="2" t="str">
        <f>_xlfn.XLOOKUP(tbl_kpi[[#This Row],[LocationID]], tbl_location[LocationID], tbl_location[LocationName], "UNMAPPED_LOCATION")</f>
        <v>Miscellaneous Storage</v>
      </c>
      <c r="D294" s="2">
        <v>281</v>
      </c>
      <c r="E294" s="2">
        <v>279</v>
      </c>
      <c r="F294" s="2">
        <f>tbl_kpi[[#This Row],[OnHandQty]]</f>
        <v>281</v>
      </c>
      <c r="G294" s="2">
        <f>tbl_kpi[[#This Row],[CountedQty]]-tbl_kpi[[#This Row],[ExpectedQty]]</f>
        <v>-2</v>
      </c>
      <c r="H294" s="2">
        <f>IF(tbl_kpi[[#This Row],[ExpectedQty]]=0, 1, MAX(0, 1 - ABS(tbl_kpi[[#This Row],[VarianceQty]]) / tbl_kpi[[#This Row],[ExpectedQty]]))</f>
        <v>0.99288256227758009</v>
      </c>
      <c r="I294" s="2" t="str">
        <f>IF(tbl_kpi[[#This Row],[AccuracyPct]] &lt; 0.98, "Y", "N")</f>
        <v>N</v>
      </c>
    </row>
    <row r="295" spans="1:9">
      <c r="A295" s="2">
        <v>419</v>
      </c>
      <c r="B295" s="2">
        <v>50</v>
      </c>
      <c r="C295" s="2" t="str">
        <f>_xlfn.XLOOKUP(tbl_kpi[[#This Row],[LocationID]], tbl_location[LocationID], tbl_location[LocationName], "UNMAPPED_LOCATION")</f>
        <v>Subassembly</v>
      </c>
      <c r="D295" s="2">
        <v>387</v>
      </c>
      <c r="E295" s="2">
        <v>377</v>
      </c>
      <c r="F295" s="2">
        <f>tbl_kpi[[#This Row],[OnHandQty]]</f>
        <v>387</v>
      </c>
      <c r="G295" s="2">
        <f>tbl_kpi[[#This Row],[CountedQty]]-tbl_kpi[[#This Row],[ExpectedQty]]</f>
        <v>-10</v>
      </c>
      <c r="H295" s="2">
        <f>IF(tbl_kpi[[#This Row],[ExpectedQty]]=0, 1, MAX(0, 1 - ABS(tbl_kpi[[#This Row],[VarianceQty]]) / tbl_kpi[[#This Row],[ExpectedQty]]))</f>
        <v>0.97416020671834624</v>
      </c>
      <c r="I295" s="2" t="str">
        <f>IF(tbl_kpi[[#This Row],[AccuracyPct]] &lt; 0.98, "Y", "N")</f>
        <v>Y</v>
      </c>
    </row>
    <row r="296" spans="1:9">
      <c r="A296" s="2">
        <v>420</v>
      </c>
      <c r="B296" s="2">
        <v>1</v>
      </c>
      <c r="C296" s="2" t="str">
        <f>_xlfn.XLOOKUP(tbl_kpi[[#This Row],[LocationID]], tbl_location[LocationID], tbl_location[LocationName], "UNMAPPED_LOCATION")</f>
        <v>Tool Crib</v>
      </c>
      <c r="D296" s="2">
        <v>244</v>
      </c>
      <c r="E296" s="2">
        <v>249</v>
      </c>
      <c r="F296" s="2">
        <f>tbl_kpi[[#This Row],[OnHandQty]]</f>
        <v>244</v>
      </c>
      <c r="G296" s="2">
        <f>tbl_kpi[[#This Row],[CountedQty]]-tbl_kpi[[#This Row],[ExpectedQty]]</f>
        <v>5</v>
      </c>
      <c r="H296" s="2">
        <f>IF(tbl_kpi[[#This Row],[ExpectedQty]]=0, 1, MAX(0, 1 - ABS(tbl_kpi[[#This Row],[VarianceQty]]) / tbl_kpi[[#This Row],[ExpectedQty]]))</f>
        <v>0.97950819672131151</v>
      </c>
      <c r="I296" s="2" t="str">
        <f>IF(tbl_kpi[[#This Row],[AccuracyPct]] &lt; 0.98, "Y", "N")</f>
        <v>Y</v>
      </c>
    </row>
    <row r="297" spans="1:9">
      <c r="A297" s="2">
        <v>420</v>
      </c>
      <c r="B297" s="2">
        <v>6</v>
      </c>
      <c r="C297" s="2" t="str">
        <f>_xlfn.XLOOKUP(tbl_kpi[[#This Row],[LocationID]], tbl_location[LocationID], tbl_location[LocationName], "UNMAPPED_LOCATION")</f>
        <v>Miscellaneous Storage</v>
      </c>
      <c r="D297" s="2">
        <v>280</v>
      </c>
      <c r="E297" s="2">
        <v>280</v>
      </c>
      <c r="F297" s="2">
        <f>tbl_kpi[[#This Row],[OnHandQty]]</f>
        <v>280</v>
      </c>
      <c r="G297" s="2">
        <f>tbl_kpi[[#This Row],[CountedQty]]-tbl_kpi[[#This Row],[ExpectedQty]]</f>
        <v>0</v>
      </c>
      <c r="H297" s="2">
        <f>IF(tbl_kpi[[#This Row],[ExpectedQty]]=0, 1, MAX(0, 1 - ABS(tbl_kpi[[#This Row],[VarianceQty]]) / tbl_kpi[[#This Row],[ExpectedQty]]))</f>
        <v>1</v>
      </c>
      <c r="I297" s="2" t="str">
        <f>IF(tbl_kpi[[#This Row],[AccuracyPct]] &lt; 0.98, "Y", "N")</f>
        <v>N</v>
      </c>
    </row>
    <row r="298" spans="1:9">
      <c r="A298" s="2">
        <v>420</v>
      </c>
      <c r="B298" s="2">
        <v>50</v>
      </c>
      <c r="C298" s="2" t="str">
        <f>_xlfn.XLOOKUP(tbl_kpi[[#This Row],[LocationID]], tbl_location[LocationID], tbl_location[LocationName], "UNMAPPED_LOCATION")</f>
        <v>Subassembly</v>
      </c>
      <c r="D298" s="2">
        <v>385</v>
      </c>
      <c r="E298" s="2">
        <v>377</v>
      </c>
      <c r="F298" s="2">
        <f>tbl_kpi[[#This Row],[OnHandQty]]</f>
        <v>385</v>
      </c>
      <c r="G298" s="2">
        <f>tbl_kpi[[#This Row],[CountedQty]]-tbl_kpi[[#This Row],[ExpectedQty]]</f>
        <v>-8</v>
      </c>
      <c r="H298" s="2">
        <f>IF(tbl_kpi[[#This Row],[ExpectedQty]]=0, 1, MAX(0, 1 - ABS(tbl_kpi[[#This Row],[VarianceQty]]) / tbl_kpi[[#This Row],[ExpectedQty]]))</f>
        <v>0.97922077922077921</v>
      </c>
      <c r="I298" s="2" t="str">
        <f>IF(tbl_kpi[[#This Row],[AccuracyPct]] &lt; 0.98, "Y", "N")</f>
        <v>Y</v>
      </c>
    </row>
    <row r="299" spans="1:9">
      <c r="A299" s="2">
        <v>421</v>
      </c>
      <c r="B299" s="2">
        <v>1</v>
      </c>
      <c r="C299" s="2" t="str">
        <f>_xlfn.XLOOKUP(tbl_kpi[[#This Row],[LocationID]], tbl_location[LocationID], tbl_location[LocationName], "UNMAPPED_LOCATION")</f>
        <v>Tool Crib</v>
      </c>
      <c r="D299" s="2">
        <v>243</v>
      </c>
      <c r="E299" s="2">
        <v>248</v>
      </c>
      <c r="F299" s="2">
        <f>tbl_kpi[[#This Row],[OnHandQty]]</f>
        <v>243</v>
      </c>
      <c r="G299" s="2">
        <f>tbl_kpi[[#This Row],[CountedQty]]-tbl_kpi[[#This Row],[ExpectedQty]]</f>
        <v>5</v>
      </c>
      <c r="H299" s="2">
        <f>IF(tbl_kpi[[#This Row],[ExpectedQty]]=0, 1, MAX(0, 1 - ABS(tbl_kpi[[#This Row],[VarianceQty]]) / tbl_kpi[[#This Row],[ExpectedQty]]))</f>
        <v>0.97942386831275718</v>
      </c>
      <c r="I299" s="2" t="str">
        <f>IF(tbl_kpi[[#This Row],[AccuracyPct]] &lt; 0.98, "Y", "N")</f>
        <v>Y</v>
      </c>
    </row>
    <row r="300" spans="1:9">
      <c r="A300" s="2">
        <v>421</v>
      </c>
      <c r="B300" s="2">
        <v>6</v>
      </c>
      <c r="C300" s="2" t="str">
        <f>_xlfn.XLOOKUP(tbl_kpi[[#This Row],[LocationID]], tbl_location[LocationID], tbl_location[LocationName], "UNMAPPED_LOCATION")</f>
        <v>Miscellaneous Storage</v>
      </c>
      <c r="D300" s="2">
        <v>278</v>
      </c>
      <c r="E300" s="2">
        <v>277</v>
      </c>
      <c r="F300" s="2">
        <f>tbl_kpi[[#This Row],[OnHandQty]]</f>
        <v>278</v>
      </c>
      <c r="G300" s="2">
        <f>tbl_kpi[[#This Row],[CountedQty]]-tbl_kpi[[#This Row],[ExpectedQty]]</f>
        <v>-1</v>
      </c>
      <c r="H300" s="2">
        <f>IF(tbl_kpi[[#This Row],[ExpectedQty]]=0, 1, MAX(0, 1 - ABS(tbl_kpi[[#This Row],[VarianceQty]]) / tbl_kpi[[#This Row],[ExpectedQty]]))</f>
        <v>0.99640287769784175</v>
      </c>
      <c r="I300" s="2" t="str">
        <f>IF(tbl_kpi[[#This Row],[AccuracyPct]] &lt; 0.98, "Y", "N")</f>
        <v>N</v>
      </c>
    </row>
    <row r="301" spans="1:9">
      <c r="A301" s="2">
        <v>421</v>
      </c>
      <c r="B301" s="2">
        <v>50</v>
      </c>
      <c r="C301" s="2" t="str">
        <f>_xlfn.XLOOKUP(tbl_kpi[[#This Row],[LocationID]], tbl_location[LocationID], tbl_location[LocationName], "UNMAPPED_LOCATION")</f>
        <v>Subassembly</v>
      </c>
      <c r="D301" s="2">
        <v>384</v>
      </c>
      <c r="E301" s="2">
        <v>373</v>
      </c>
      <c r="F301" s="2">
        <f>tbl_kpi[[#This Row],[OnHandQty]]</f>
        <v>384</v>
      </c>
      <c r="G301" s="2">
        <f>tbl_kpi[[#This Row],[CountedQty]]-tbl_kpi[[#This Row],[ExpectedQty]]</f>
        <v>-11</v>
      </c>
      <c r="H301" s="2">
        <f>IF(tbl_kpi[[#This Row],[ExpectedQty]]=0, 1, MAX(0, 1 - ABS(tbl_kpi[[#This Row],[VarianceQty]]) / tbl_kpi[[#This Row],[ExpectedQty]]))</f>
        <v>0.97135416666666663</v>
      </c>
      <c r="I301" s="2" t="str">
        <f>IF(tbl_kpi[[#This Row],[AccuracyPct]] &lt; 0.98, "Y", "N")</f>
        <v>Y</v>
      </c>
    </row>
    <row r="302" spans="1:9">
      <c r="A302" s="2">
        <v>422</v>
      </c>
      <c r="B302" s="2">
        <v>1</v>
      </c>
      <c r="C302" s="2" t="str">
        <f>_xlfn.XLOOKUP(tbl_kpi[[#This Row],[LocationID]], tbl_location[LocationID], tbl_location[LocationName], "UNMAPPED_LOCATION")</f>
        <v>Tool Crib</v>
      </c>
      <c r="D302" s="2">
        <v>620</v>
      </c>
      <c r="E302" s="2">
        <v>613</v>
      </c>
      <c r="F302" s="2">
        <f>tbl_kpi[[#This Row],[OnHandQty]]</f>
        <v>620</v>
      </c>
      <c r="G302" s="2">
        <f>tbl_kpi[[#This Row],[CountedQty]]-tbl_kpi[[#This Row],[ExpectedQty]]</f>
        <v>-7</v>
      </c>
      <c r="H302" s="2">
        <f>IF(tbl_kpi[[#This Row],[ExpectedQty]]=0, 1, MAX(0, 1 - ABS(tbl_kpi[[#This Row],[VarianceQty]]) / tbl_kpi[[#This Row],[ExpectedQty]]))</f>
        <v>0.98870967741935489</v>
      </c>
      <c r="I302" s="2" t="str">
        <f>IF(tbl_kpi[[#This Row],[AccuracyPct]] &lt; 0.98, "Y", "N")</f>
        <v>N</v>
      </c>
    </row>
    <row r="303" spans="1:9">
      <c r="A303" s="2">
        <v>422</v>
      </c>
      <c r="B303" s="2">
        <v>6</v>
      </c>
      <c r="C303" s="2" t="str">
        <f>_xlfn.XLOOKUP(tbl_kpi[[#This Row],[LocationID]], tbl_location[LocationID], tbl_location[LocationName], "UNMAPPED_LOCATION")</f>
        <v>Miscellaneous Storage</v>
      </c>
      <c r="D303" s="2">
        <v>515</v>
      </c>
      <c r="E303" s="2">
        <v>525</v>
      </c>
      <c r="F303" s="2">
        <f>tbl_kpi[[#This Row],[OnHandQty]]</f>
        <v>515</v>
      </c>
      <c r="G303" s="2">
        <f>tbl_kpi[[#This Row],[CountedQty]]-tbl_kpi[[#This Row],[ExpectedQty]]</f>
        <v>10</v>
      </c>
      <c r="H303" s="2">
        <f>IF(tbl_kpi[[#This Row],[ExpectedQty]]=0, 1, MAX(0, 1 - ABS(tbl_kpi[[#This Row],[VarianceQty]]) / tbl_kpi[[#This Row],[ExpectedQty]]))</f>
        <v>0.98058252427184467</v>
      </c>
      <c r="I303" s="2" t="str">
        <f>IF(tbl_kpi[[#This Row],[AccuracyPct]] &lt; 0.98, "Y", "N")</f>
        <v>N</v>
      </c>
    </row>
    <row r="304" spans="1:9">
      <c r="A304" s="2">
        <v>422</v>
      </c>
      <c r="B304" s="2">
        <v>50</v>
      </c>
      <c r="C304" s="2" t="str">
        <f>_xlfn.XLOOKUP(tbl_kpi[[#This Row],[LocationID]], tbl_location[LocationID], tbl_location[LocationName], "UNMAPPED_LOCATION")</f>
        <v>Subassembly</v>
      </c>
      <c r="D304" s="2">
        <v>497</v>
      </c>
      <c r="E304" s="2">
        <v>490</v>
      </c>
      <c r="F304" s="2">
        <f>tbl_kpi[[#This Row],[OnHandQty]]</f>
        <v>497</v>
      </c>
      <c r="G304" s="2">
        <f>tbl_kpi[[#This Row],[CountedQty]]-tbl_kpi[[#This Row],[ExpectedQty]]</f>
        <v>-7</v>
      </c>
      <c r="H304" s="2">
        <f>IF(tbl_kpi[[#This Row],[ExpectedQty]]=0, 1, MAX(0, 1 - ABS(tbl_kpi[[#This Row],[VarianceQty]]) / tbl_kpi[[#This Row],[ExpectedQty]]))</f>
        <v>0.9859154929577465</v>
      </c>
      <c r="I304" s="2" t="str">
        <f>IF(tbl_kpi[[#This Row],[AccuracyPct]] &lt; 0.98, "Y", "N")</f>
        <v>N</v>
      </c>
    </row>
    <row r="305" spans="1:9">
      <c r="A305" s="2">
        <v>423</v>
      </c>
      <c r="B305" s="2">
        <v>1</v>
      </c>
      <c r="C305" s="2" t="str">
        <f>_xlfn.XLOOKUP(tbl_kpi[[#This Row],[LocationID]], tbl_location[LocationID], tbl_location[LocationName], "UNMAPPED_LOCATION")</f>
        <v>Tool Crib</v>
      </c>
      <c r="D305" s="2">
        <v>619</v>
      </c>
      <c r="E305" s="2">
        <v>602</v>
      </c>
      <c r="F305" s="2">
        <f>tbl_kpi[[#This Row],[OnHandQty]]</f>
        <v>619</v>
      </c>
      <c r="G305" s="2">
        <f>tbl_kpi[[#This Row],[CountedQty]]-tbl_kpi[[#This Row],[ExpectedQty]]</f>
        <v>-17</v>
      </c>
      <c r="H305" s="2">
        <f>IF(tbl_kpi[[#This Row],[ExpectedQty]]=0, 1, MAX(0, 1 - ABS(tbl_kpi[[#This Row],[VarianceQty]]) / tbl_kpi[[#This Row],[ExpectedQty]]))</f>
        <v>0.97253634894991925</v>
      </c>
      <c r="I305" s="2" t="str">
        <f>IF(tbl_kpi[[#This Row],[AccuracyPct]] &lt; 0.98, "Y", "N")</f>
        <v>Y</v>
      </c>
    </row>
    <row r="306" spans="1:9">
      <c r="A306" s="2">
        <v>423</v>
      </c>
      <c r="B306" s="2">
        <v>6</v>
      </c>
      <c r="C306" s="2" t="str">
        <f>_xlfn.XLOOKUP(tbl_kpi[[#This Row],[LocationID]], tbl_location[LocationID], tbl_location[LocationName], "UNMAPPED_LOCATION")</f>
        <v>Miscellaneous Storage</v>
      </c>
      <c r="D306" s="2">
        <v>513</v>
      </c>
      <c r="E306" s="2">
        <v>515</v>
      </c>
      <c r="F306" s="2">
        <f>tbl_kpi[[#This Row],[OnHandQty]]</f>
        <v>513</v>
      </c>
      <c r="G306" s="2">
        <f>tbl_kpi[[#This Row],[CountedQty]]-tbl_kpi[[#This Row],[ExpectedQty]]</f>
        <v>2</v>
      </c>
      <c r="H306" s="2">
        <f>IF(tbl_kpi[[#This Row],[ExpectedQty]]=0, 1, MAX(0, 1 - ABS(tbl_kpi[[#This Row],[VarianceQty]]) / tbl_kpi[[#This Row],[ExpectedQty]]))</f>
        <v>0.99610136452241715</v>
      </c>
      <c r="I306" s="2" t="str">
        <f>IF(tbl_kpi[[#This Row],[AccuracyPct]] &lt; 0.98, "Y", "N")</f>
        <v>N</v>
      </c>
    </row>
    <row r="307" spans="1:9">
      <c r="A307" s="2">
        <v>423</v>
      </c>
      <c r="B307" s="2">
        <v>50</v>
      </c>
      <c r="C307" s="2" t="str">
        <f>_xlfn.XLOOKUP(tbl_kpi[[#This Row],[LocationID]], tbl_location[LocationID], tbl_location[LocationName], "UNMAPPED_LOCATION")</f>
        <v>Subassembly</v>
      </c>
      <c r="D307" s="2">
        <v>496</v>
      </c>
      <c r="E307" s="2">
        <v>502</v>
      </c>
      <c r="F307" s="2">
        <f>tbl_kpi[[#This Row],[OnHandQty]]</f>
        <v>496</v>
      </c>
      <c r="G307" s="2">
        <f>tbl_kpi[[#This Row],[CountedQty]]-tbl_kpi[[#This Row],[ExpectedQty]]</f>
        <v>6</v>
      </c>
      <c r="H307" s="2">
        <f>IF(tbl_kpi[[#This Row],[ExpectedQty]]=0, 1, MAX(0, 1 - ABS(tbl_kpi[[#This Row],[VarianceQty]]) / tbl_kpi[[#This Row],[ExpectedQty]]))</f>
        <v>0.98790322580645162</v>
      </c>
      <c r="I307" s="2" t="str">
        <f>IF(tbl_kpi[[#This Row],[AccuracyPct]] &lt; 0.98, "Y", "N")</f>
        <v>N</v>
      </c>
    </row>
    <row r="308" spans="1:9">
      <c r="A308" s="2">
        <v>424</v>
      </c>
      <c r="B308" s="2">
        <v>1</v>
      </c>
      <c r="C308" s="2" t="str">
        <f>_xlfn.XLOOKUP(tbl_kpi[[#This Row],[LocationID]], tbl_location[LocationID], tbl_location[LocationName], "UNMAPPED_LOCATION")</f>
        <v>Tool Crib</v>
      </c>
      <c r="D308" s="2">
        <v>617</v>
      </c>
      <c r="E308" s="2">
        <v>614</v>
      </c>
      <c r="F308" s="2">
        <f>tbl_kpi[[#This Row],[OnHandQty]]</f>
        <v>617</v>
      </c>
      <c r="G308" s="2">
        <f>tbl_kpi[[#This Row],[CountedQty]]-tbl_kpi[[#This Row],[ExpectedQty]]</f>
        <v>-3</v>
      </c>
      <c r="H308" s="2">
        <f>IF(tbl_kpi[[#This Row],[ExpectedQty]]=0, 1, MAX(0, 1 - ABS(tbl_kpi[[#This Row],[VarianceQty]]) / tbl_kpi[[#This Row],[ExpectedQty]]))</f>
        <v>0.99513776337115067</v>
      </c>
      <c r="I308" s="2" t="str">
        <f>IF(tbl_kpi[[#This Row],[AccuracyPct]] &lt; 0.98, "Y", "N")</f>
        <v>N</v>
      </c>
    </row>
    <row r="309" spans="1:9">
      <c r="A309" s="2">
        <v>424</v>
      </c>
      <c r="B309" s="2">
        <v>6</v>
      </c>
      <c r="C309" s="2" t="str">
        <f>_xlfn.XLOOKUP(tbl_kpi[[#This Row],[LocationID]], tbl_location[LocationID], tbl_location[LocationName], "UNMAPPED_LOCATION")</f>
        <v>Miscellaneous Storage</v>
      </c>
      <c r="D309" s="2">
        <v>512</v>
      </c>
      <c r="E309" s="2">
        <v>507</v>
      </c>
      <c r="F309" s="2">
        <f>tbl_kpi[[#This Row],[OnHandQty]]</f>
        <v>512</v>
      </c>
      <c r="G309" s="2">
        <f>tbl_kpi[[#This Row],[CountedQty]]-tbl_kpi[[#This Row],[ExpectedQty]]</f>
        <v>-5</v>
      </c>
      <c r="H309" s="2">
        <f>IF(tbl_kpi[[#This Row],[ExpectedQty]]=0, 1, MAX(0, 1 - ABS(tbl_kpi[[#This Row],[VarianceQty]]) / tbl_kpi[[#This Row],[ExpectedQty]]))</f>
        <v>0.990234375</v>
      </c>
      <c r="I309" s="2" t="str">
        <f>IF(tbl_kpi[[#This Row],[AccuracyPct]] &lt; 0.98, "Y", "N")</f>
        <v>N</v>
      </c>
    </row>
    <row r="310" spans="1:9">
      <c r="A310" s="2">
        <v>424</v>
      </c>
      <c r="B310" s="2">
        <v>50</v>
      </c>
      <c r="C310" s="2" t="str">
        <f>_xlfn.XLOOKUP(tbl_kpi[[#This Row],[LocationID]], tbl_location[LocationID], tbl_location[LocationName], "UNMAPPED_LOCATION")</f>
        <v>Subassembly</v>
      </c>
      <c r="D310" s="2">
        <v>494</v>
      </c>
      <c r="E310" s="2">
        <v>502</v>
      </c>
      <c r="F310" s="2">
        <f>tbl_kpi[[#This Row],[OnHandQty]]</f>
        <v>494</v>
      </c>
      <c r="G310" s="2">
        <f>tbl_kpi[[#This Row],[CountedQty]]-tbl_kpi[[#This Row],[ExpectedQty]]</f>
        <v>8</v>
      </c>
      <c r="H310" s="2">
        <f>IF(tbl_kpi[[#This Row],[ExpectedQty]]=0, 1, MAX(0, 1 - ABS(tbl_kpi[[#This Row],[VarianceQty]]) / tbl_kpi[[#This Row],[ExpectedQty]]))</f>
        <v>0.98380566801619429</v>
      </c>
      <c r="I310" s="2" t="str">
        <f>IF(tbl_kpi[[#This Row],[AccuracyPct]] &lt; 0.98, "Y", "N")</f>
        <v>N</v>
      </c>
    </row>
    <row r="311" spans="1:9">
      <c r="A311" s="2">
        <v>425</v>
      </c>
      <c r="B311" s="2">
        <v>1</v>
      </c>
      <c r="C311" s="2" t="str">
        <f>_xlfn.XLOOKUP(tbl_kpi[[#This Row],[LocationID]], tbl_location[LocationID], tbl_location[LocationName], "UNMAPPED_LOCATION")</f>
        <v>Tool Crib</v>
      </c>
      <c r="D311" s="2">
        <v>616</v>
      </c>
      <c r="E311" s="2">
        <v>630</v>
      </c>
      <c r="F311" s="2">
        <f>tbl_kpi[[#This Row],[OnHandQty]]</f>
        <v>616</v>
      </c>
      <c r="G311" s="2">
        <f>tbl_kpi[[#This Row],[CountedQty]]-tbl_kpi[[#This Row],[ExpectedQty]]</f>
        <v>14</v>
      </c>
      <c r="H311" s="2">
        <f>IF(tbl_kpi[[#This Row],[ExpectedQty]]=0, 1, MAX(0, 1 - ABS(tbl_kpi[[#This Row],[VarianceQty]]) / tbl_kpi[[#This Row],[ExpectedQty]]))</f>
        <v>0.97727272727272729</v>
      </c>
      <c r="I311" s="2" t="str">
        <f>IF(tbl_kpi[[#This Row],[AccuracyPct]] &lt; 0.98, "Y", "N")</f>
        <v>Y</v>
      </c>
    </row>
    <row r="312" spans="1:9">
      <c r="A312" s="2">
        <v>425</v>
      </c>
      <c r="B312" s="2">
        <v>6</v>
      </c>
      <c r="C312" s="2" t="str">
        <f>_xlfn.XLOOKUP(tbl_kpi[[#This Row],[LocationID]], tbl_location[LocationID], tbl_location[LocationName], "UNMAPPED_LOCATION")</f>
        <v>Miscellaneous Storage</v>
      </c>
      <c r="D312" s="2">
        <v>510</v>
      </c>
      <c r="E312" s="2">
        <v>522</v>
      </c>
      <c r="F312" s="2">
        <f>tbl_kpi[[#This Row],[OnHandQty]]</f>
        <v>510</v>
      </c>
      <c r="G312" s="2">
        <f>tbl_kpi[[#This Row],[CountedQty]]-tbl_kpi[[#This Row],[ExpectedQty]]</f>
        <v>12</v>
      </c>
      <c r="H312" s="2">
        <f>IF(tbl_kpi[[#This Row],[ExpectedQty]]=0, 1, MAX(0, 1 - ABS(tbl_kpi[[#This Row],[VarianceQty]]) / tbl_kpi[[#This Row],[ExpectedQty]]))</f>
        <v>0.97647058823529409</v>
      </c>
      <c r="I312" s="2" t="str">
        <f>IF(tbl_kpi[[#This Row],[AccuracyPct]] &lt; 0.98, "Y", "N")</f>
        <v>Y</v>
      </c>
    </row>
    <row r="313" spans="1:9">
      <c r="A313" s="2">
        <v>425</v>
      </c>
      <c r="B313" s="2">
        <v>50</v>
      </c>
      <c r="C313" s="2" t="str">
        <f>_xlfn.XLOOKUP(tbl_kpi[[#This Row],[LocationID]], tbl_location[LocationID], tbl_location[LocationName], "UNMAPPED_LOCATION")</f>
        <v>Subassembly</v>
      </c>
      <c r="D313" s="2">
        <v>492</v>
      </c>
      <c r="E313" s="2">
        <v>479</v>
      </c>
      <c r="F313" s="2">
        <f>tbl_kpi[[#This Row],[OnHandQty]]</f>
        <v>492</v>
      </c>
      <c r="G313" s="2">
        <f>tbl_kpi[[#This Row],[CountedQty]]-tbl_kpi[[#This Row],[ExpectedQty]]</f>
        <v>-13</v>
      </c>
      <c r="H313" s="2">
        <f>IF(tbl_kpi[[#This Row],[ExpectedQty]]=0, 1, MAX(0, 1 - ABS(tbl_kpi[[#This Row],[VarianceQty]]) / tbl_kpi[[#This Row],[ExpectedQty]]))</f>
        <v>0.97357723577235777</v>
      </c>
      <c r="I313" s="2" t="str">
        <f>IF(tbl_kpi[[#This Row],[AccuracyPct]] &lt; 0.98, "Y", "N")</f>
        <v>Y</v>
      </c>
    </row>
    <row r="314" spans="1:9">
      <c r="A314" s="2">
        <v>426</v>
      </c>
      <c r="B314" s="2">
        <v>1</v>
      </c>
      <c r="C314" s="2" t="str">
        <f>_xlfn.XLOOKUP(tbl_kpi[[#This Row],[LocationID]], tbl_location[LocationID], tbl_location[LocationName], "UNMAPPED_LOCATION")</f>
        <v>Tool Crib</v>
      </c>
      <c r="D314" s="2">
        <v>614</v>
      </c>
      <c r="E314" s="2">
        <v>626</v>
      </c>
      <c r="F314" s="2">
        <f>tbl_kpi[[#This Row],[OnHandQty]]</f>
        <v>614</v>
      </c>
      <c r="G314" s="2">
        <f>tbl_kpi[[#This Row],[CountedQty]]-tbl_kpi[[#This Row],[ExpectedQty]]</f>
        <v>12</v>
      </c>
      <c r="H314" s="2">
        <f>IF(tbl_kpi[[#This Row],[ExpectedQty]]=0, 1, MAX(0, 1 - ABS(tbl_kpi[[#This Row],[VarianceQty]]) / tbl_kpi[[#This Row],[ExpectedQty]]))</f>
        <v>0.98045602605863191</v>
      </c>
      <c r="I314" s="2" t="str">
        <f>IF(tbl_kpi[[#This Row],[AccuracyPct]] &lt; 0.98, "Y", "N")</f>
        <v>N</v>
      </c>
    </row>
    <row r="315" spans="1:9">
      <c r="A315" s="2">
        <v>426</v>
      </c>
      <c r="B315" s="2">
        <v>6</v>
      </c>
      <c r="C315" s="2" t="str">
        <f>_xlfn.XLOOKUP(tbl_kpi[[#This Row],[LocationID]], tbl_location[LocationID], tbl_location[LocationName], "UNMAPPED_LOCATION")</f>
        <v>Miscellaneous Storage</v>
      </c>
      <c r="D315" s="2">
        <v>508</v>
      </c>
      <c r="E315" s="2">
        <v>502</v>
      </c>
      <c r="F315" s="2">
        <f>tbl_kpi[[#This Row],[OnHandQty]]</f>
        <v>508</v>
      </c>
      <c r="G315" s="2">
        <f>tbl_kpi[[#This Row],[CountedQty]]-tbl_kpi[[#This Row],[ExpectedQty]]</f>
        <v>-6</v>
      </c>
      <c r="H315" s="2">
        <f>IF(tbl_kpi[[#This Row],[ExpectedQty]]=0, 1, MAX(0, 1 - ABS(tbl_kpi[[#This Row],[VarianceQty]]) / tbl_kpi[[#This Row],[ExpectedQty]]))</f>
        <v>0.98818897637795278</v>
      </c>
      <c r="I315" s="2" t="str">
        <f>IF(tbl_kpi[[#This Row],[AccuracyPct]] &lt; 0.98, "Y", "N")</f>
        <v>N</v>
      </c>
    </row>
    <row r="316" spans="1:9">
      <c r="A316" s="2">
        <v>426</v>
      </c>
      <c r="B316" s="2">
        <v>50</v>
      </c>
      <c r="C316" s="2" t="str">
        <f>_xlfn.XLOOKUP(tbl_kpi[[#This Row],[LocationID]], tbl_location[LocationID], tbl_location[LocationName], "UNMAPPED_LOCATION")</f>
        <v>Subassembly</v>
      </c>
      <c r="D316" s="2">
        <v>491</v>
      </c>
      <c r="E316" s="2">
        <v>490</v>
      </c>
      <c r="F316" s="2">
        <f>tbl_kpi[[#This Row],[OnHandQty]]</f>
        <v>491</v>
      </c>
      <c r="G316" s="2">
        <f>tbl_kpi[[#This Row],[CountedQty]]-tbl_kpi[[#This Row],[ExpectedQty]]</f>
        <v>-1</v>
      </c>
      <c r="H316" s="2">
        <f>IF(tbl_kpi[[#This Row],[ExpectedQty]]=0, 1, MAX(0, 1 - ABS(tbl_kpi[[#This Row],[VarianceQty]]) / tbl_kpi[[#This Row],[ExpectedQty]]))</f>
        <v>0.99796334012219956</v>
      </c>
      <c r="I316" s="2" t="str">
        <f>IF(tbl_kpi[[#This Row],[AccuracyPct]] &lt; 0.98, "Y", "N")</f>
        <v>N</v>
      </c>
    </row>
    <row r="317" spans="1:9">
      <c r="A317" s="2">
        <v>427</v>
      </c>
      <c r="B317" s="2">
        <v>1</v>
      </c>
      <c r="C317" s="2" t="str">
        <f>_xlfn.XLOOKUP(tbl_kpi[[#This Row],[LocationID]], tbl_location[LocationID], tbl_location[LocationName], "UNMAPPED_LOCATION")</f>
        <v>Tool Crib</v>
      </c>
      <c r="D317" s="2">
        <v>612</v>
      </c>
      <c r="E317" s="2">
        <v>615</v>
      </c>
      <c r="F317" s="2">
        <f>tbl_kpi[[#This Row],[OnHandQty]]</f>
        <v>612</v>
      </c>
      <c r="G317" s="2">
        <f>tbl_kpi[[#This Row],[CountedQty]]-tbl_kpi[[#This Row],[ExpectedQty]]</f>
        <v>3</v>
      </c>
      <c r="H317" s="2">
        <f>IF(tbl_kpi[[#This Row],[ExpectedQty]]=0, 1, MAX(0, 1 - ABS(tbl_kpi[[#This Row],[VarianceQty]]) / tbl_kpi[[#This Row],[ExpectedQty]]))</f>
        <v>0.99509803921568629</v>
      </c>
      <c r="I317" s="2" t="str">
        <f>IF(tbl_kpi[[#This Row],[AccuracyPct]] &lt; 0.98, "Y", "N")</f>
        <v>N</v>
      </c>
    </row>
    <row r="318" spans="1:9">
      <c r="A318" s="2">
        <v>427</v>
      </c>
      <c r="B318" s="2">
        <v>6</v>
      </c>
      <c r="C318" s="2" t="str">
        <f>_xlfn.XLOOKUP(tbl_kpi[[#This Row],[LocationID]], tbl_location[LocationID], tbl_location[LocationName], "UNMAPPED_LOCATION")</f>
        <v>Miscellaneous Storage</v>
      </c>
      <c r="D318" s="2">
        <v>507</v>
      </c>
      <c r="E318" s="2">
        <v>500</v>
      </c>
      <c r="F318" s="2">
        <f>tbl_kpi[[#This Row],[OnHandQty]]</f>
        <v>507</v>
      </c>
      <c r="G318" s="2">
        <f>tbl_kpi[[#This Row],[CountedQty]]-tbl_kpi[[#This Row],[ExpectedQty]]</f>
        <v>-7</v>
      </c>
      <c r="H318" s="2">
        <f>IF(tbl_kpi[[#This Row],[ExpectedQty]]=0, 1, MAX(0, 1 - ABS(tbl_kpi[[#This Row],[VarianceQty]]) / tbl_kpi[[#This Row],[ExpectedQty]]))</f>
        <v>0.98619329388560162</v>
      </c>
      <c r="I318" s="2" t="str">
        <f>IF(tbl_kpi[[#This Row],[AccuracyPct]] &lt; 0.98, "Y", "N")</f>
        <v>N</v>
      </c>
    </row>
    <row r="319" spans="1:9">
      <c r="A319" s="2">
        <v>427</v>
      </c>
      <c r="B319" s="2">
        <v>50</v>
      </c>
      <c r="C319" s="2" t="str">
        <f>_xlfn.XLOOKUP(tbl_kpi[[#This Row],[LocationID]], tbl_location[LocationID], tbl_location[LocationName], "UNMAPPED_LOCATION")</f>
        <v>Subassembly</v>
      </c>
      <c r="D319" s="2">
        <v>489</v>
      </c>
      <c r="E319" s="2">
        <v>477</v>
      </c>
      <c r="F319" s="2">
        <f>tbl_kpi[[#This Row],[OnHandQty]]</f>
        <v>489</v>
      </c>
      <c r="G319" s="2">
        <f>tbl_kpi[[#This Row],[CountedQty]]-tbl_kpi[[#This Row],[ExpectedQty]]</f>
        <v>-12</v>
      </c>
      <c r="H319" s="2">
        <f>IF(tbl_kpi[[#This Row],[ExpectedQty]]=0, 1, MAX(0, 1 - ABS(tbl_kpi[[#This Row],[VarianceQty]]) / tbl_kpi[[#This Row],[ExpectedQty]]))</f>
        <v>0.97546012269938653</v>
      </c>
      <c r="I319" s="2" t="str">
        <f>IF(tbl_kpi[[#This Row],[AccuracyPct]] &lt; 0.98, "Y", "N")</f>
        <v>Y</v>
      </c>
    </row>
    <row r="320" spans="1:9">
      <c r="A320" s="2">
        <v>428</v>
      </c>
      <c r="B320" s="2">
        <v>1</v>
      </c>
      <c r="C320" s="2" t="str">
        <f>_xlfn.XLOOKUP(tbl_kpi[[#This Row],[LocationID]], tbl_location[LocationID], tbl_location[LocationName], "UNMAPPED_LOCATION")</f>
        <v>Tool Crib</v>
      </c>
      <c r="D320" s="2">
        <v>611</v>
      </c>
      <c r="E320" s="2">
        <v>613</v>
      </c>
      <c r="F320" s="2">
        <f>tbl_kpi[[#This Row],[OnHandQty]]</f>
        <v>611</v>
      </c>
      <c r="G320" s="2">
        <f>tbl_kpi[[#This Row],[CountedQty]]-tbl_kpi[[#This Row],[ExpectedQty]]</f>
        <v>2</v>
      </c>
      <c r="H320" s="2">
        <f>IF(tbl_kpi[[#This Row],[ExpectedQty]]=0, 1, MAX(0, 1 - ABS(tbl_kpi[[#This Row],[VarianceQty]]) / tbl_kpi[[#This Row],[ExpectedQty]]))</f>
        <v>0.99672667757774136</v>
      </c>
      <c r="I320" s="2" t="str">
        <f>IF(tbl_kpi[[#This Row],[AccuracyPct]] &lt; 0.98, "Y", "N")</f>
        <v>N</v>
      </c>
    </row>
    <row r="321" spans="1:9">
      <c r="A321" s="2">
        <v>428</v>
      </c>
      <c r="B321" s="2">
        <v>6</v>
      </c>
      <c r="C321" s="2" t="str">
        <f>_xlfn.XLOOKUP(tbl_kpi[[#This Row],[LocationID]], tbl_location[LocationID], tbl_location[LocationName], "UNMAPPED_LOCATION")</f>
        <v>Miscellaneous Storage</v>
      </c>
      <c r="D321" s="2">
        <v>505</v>
      </c>
      <c r="E321" s="2">
        <v>510</v>
      </c>
      <c r="F321" s="2">
        <f>tbl_kpi[[#This Row],[OnHandQty]]</f>
        <v>505</v>
      </c>
      <c r="G321" s="2">
        <f>tbl_kpi[[#This Row],[CountedQty]]-tbl_kpi[[#This Row],[ExpectedQty]]</f>
        <v>5</v>
      </c>
      <c r="H321" s="2">
        <f>IF(tbl_kpi[[#This Row],[ExpectedQty]]=0, 1, MAX(0, 1 - ABS(tbl_kpi[[#This Row],[VarianceQty]]) / tbl_kpi[[#This Row],[ExpectedQty]]))</f>
        <v>0.99009900990099009</v>
      </c>
      <c r="I321" s="2" t="str">
        <f>IF(tbl_kpi[[#This Row],[AccuracyPct]] &lt; 0.98, "Y", "N")</f>
        <v>N</v>
      </c>
    </row>
    <row r="322" spans="1:9">
      <c r="A322" s="2">
        <v>428</v>
      </c>
      <c r="B322" s="2">
        <v>50</v>
      </c>
      <c r="C322" s="2" t="str">
        <f>_xlfn.XLOOKUP(tbl_kpi[[#This Row],[LocationID]], tbl_location[LocationID], tbl_location[LocationName], "UNMAPPED_LOCATION")</f>
        <v>Subassembly</v>
      </c>
      <c r="D322" s="2">
        <v>488</v>
      </c>
      <c r="E322" s="2">
        <v>502</v>
      </c>
      <c r="F322" s="2">
        <f>tbl_kpi[[#This Row],[OnHandQty]]</f>
        <v>488</v>
      </c>
      <c r="G322" s="2">
        <f>tbl_kpi[[#This Row],[CountedQty]]-tbl_kpi[[#This Row],[ExpectedQty]]</f>
        <v>14</v>
      </c>
      <c r="H322" s="2">
        <f>IF(tbl_kpi[[#This Row],[ExpectedQty]]=0, 1, MAX(0, 1 - ABS(tbl_kpi[[#This Row],[VarianceQty]]) / tbl_kpi[[#This Row],[ExpectedQty]]))</f>
        <v>0.97131147540983609</v>
      </c>
      <c r="I322" s="2" t="str">
        <f>IF(tbl_kpi[[#This Row],[AccuracyPct]] &lt; 0.98, "Y", "N")</f>
        <v>Y</v>
      </c>
    </row>
    <row r="323" spans="1:9">
      <c r="A323" s="2">
        <v>429</v>
      </c>
      <c r="B323" s="2">
        <v>1</v>
      </c>
      <c r="C323" s="2" t="str">
        <f>_xlfn.XLOOKUP(tbl_kpi[[#This Row],[LocationID]], tbl_location[LocationID], tbl_location[LocationName], "UNMAPPED_LOCATION")</f>
        <v>Tool Crib</v>
      </c>
      <c r="D323" s="2">
        <v>609</v>
      </c>
      <c r="E323" s="2">
        <v>608</v>
      </c>
      <c r="F323" s="2">
        <f>tbl_kpi[[#This Row],[OnHandQty]]</f>
        <v>609</v>
      </c>
      <c r="G323" s="2">
        <f>tbl_kpi[[#This Row],[CountedQty]]-tbl_kpi[[#This Row],[ExpectedQty]]</f>
        <v>-1</v>
      </c>
      <c r="H323" s="2">
        <f>IF(tbl_kpi[[#This Row],[ExpectedQty]]=0, 1, MAX(0, 1 - ABS(tbl_kpi[[#This Row],[VarianceQty]]) / tbl_kpi[[#This Row],[ExpectedQty]]))</f>
        <v>0.99835796387520526</v>
      </c>
      <c r="I323" s="2" t="str">
        <f>IF(tbl_kpi[[#This Row],[AccuracyPct]] &lt; 0.98, "Y", "N")</f>
        <v>N</v>
      </c>
    </row>
    <row r="324" spans="1:9">
      <c r="A324" s="2">
        <v>429</v>
      </c>
      <c r="B324" s="2">
        <v>6</v>
      </c>
      <c r="C324" s="2" t="str">
        <f>_xlfn.XLOOKUP(tbl_kpi[[#This Row],[LocationID]], tbl_location[LocationID], tbl_location[LocationName], "UNMAPPED_LOCATION")</f>
        <v>Miscellaneous Storage</v>
      </c>
      <c r="D324" s="2">
        <v>504</v>
      </c>
      <c r="E324" s="2">
        <v>495</v>
      </c>
      <c r="F324" s="2">
        <f>tbl_kpi[[#This Row],[OnHandQty]]</f>
        <v>504</v>
      </c>
      <c r="G324" s="2">
        <f>tbl_kpi[[#This Row],[CountedQty]]-tbl_kpi[[#This Row],[ExpectedQty]]</f>
        <v>-9</v>
      </c>
      <c r="H324" s="2">
        <f>IF(tbl_kpi[[#This Row],[ExpectedQty]]=0, 1, MAX(0, 1 - ABS(tbl_kpi[[#This Row],[VarianceQty]]) / tbl_kpi[[#This Row],[ExpectedQty]]))</f>
        <v>0.9821428571428571</v>
      </c>
      <c r="I324" s="2" t="str">
        <f>IF(tbl_kpi[[#This Row],[AccuracyPct]] &lt; 0.98, "Y", "N")</f>
        <v>N</v>
      </c>
    </row>
    <row r="325" spans="1:9">
      <c r="A325" s="2">
        <v>429</v>
      </c>
      <c r="B325" s="2">
        <v>50</v>
      </c>
      <c r="C325" s="2" t="str">
        <f>_xlfn.XLOOKUP(tbl_kpi[[#This Row],[LocationID]], tbl_location[LocationID], tbl_location[LocationName], "UNMAPPED_LOCATION")</f>
        <v>Subassembly</v>
      </c>
      <c r="D325" s="2">
        <v>486</v>
      </c>
      <c r="E325" s="2">
        <v>485</v>
      </c>
      <c r="F325" s="2">
        <f>tbl_kpi[[#This Row],[OnHandQty]]</f>
        <v>486</v>
      </c>
      <c r="G325" s="2">
        <f>tbl_kpi[[#This Row],[CountedQty]]-tbl_kpi[[#This Row],[ExpectedQty]]</f>
        <v>-1</v>
      </c>
      <c r="H325" s="2">
        <f>IF(tbl_kpi[[#This Row],[ExpectedQty]]=0, 1, MAX(0, 1 - ABS(tbl_kpi[[#This Row],[VarianceQty]]) / tbl_kpi[[#This Row],[ExpectedQty]]))</f>
        <v>0.99794238683127567</v>
      </c>
      <c r="I325" s="2" t="str">
        <f>IF(tbl_kpi[[#This Row],[AccuracyPct]] &lt; 0.98, "Y", "N")</f>
        <v>N</v>
      </c>
    </row>
    <row r="326" spans="1:9">
      <c r="A326" s="2">
        <v>430</v>
      </c>
      <c r="B326" s="2">
        <v>1</v>
      </c>
      <c r="C326" s="2" t="str">
        <f>_xlfn.XLOOKUP(tbl_kpi[[#This Row],[LocationID]], tbl_location[LocationID], tbl_location[LocationName], "UNMAPPED_LOCATION")</f>
        <v>Tool Crib</v>
      </c>
      <c r="D326" s="2">
        <v>608</v>
      </c>
      <c r="E326" s="2">
        <v>610</v>
      </c>
      <c r="F326" s="2">
        <f>tbl_kpi[[#This Row],[OnHandQty]]</f>
        <v>608</v>
      </c>
      <c r="G326" s="2">
        <f>tbl_kpi[[#This Row],[CountedQty]]-tbl_kpi[[#This Row],[ExpectedQty]]</f>
        <v>2</v>
      </c>
      <c r="H326" s="2">
        <f>IF(tbl_kpi[[#This Row],[ExpectedQty]]=0, 1, MAX(0, 1 - ABS(tbl_kpi[[#This Row],[VarianceQty]]) / tbl_kpi[[#This Row],[ExpectedQty]]))</f>
        <v>0.99671052631578949</v>
      </c>
      <c r="I326" s="2" t="str">
        <f>IF(tbl_kpi[[#This Row],[AccuracyPct]] &lt; 0.98, "Y", "N")</f>
        <v>N</v>
      </c>
    </row>
    <row r="327" spans="1:9">
      <c r="A327" s="2">
        <v>430</v>
      </c>
      <c r="B327" s="2">
        <v>6</v>
      </c>
      <c r="C327" s="2" t="str">
        <f>_xlfn.XLOOKUP(tbl_kpi[[#This Row],[LocationID]], tbl_location[LocationID], tbl_location[LocationName], "UNMAPPED_LOCATION")</f>
        <v>Miscellaneous Storage</v>
      </c>
      <c r="D327" s="2">
        <v>502</v>
      </c>
      <c r="E327" s="2">
        <v>515</v>
      </c>
      <c r="F327" s="2">
        <f>tbl_kpi[[#This Row],[OnHandQty]]</f>
        <v>502</v>
      </c>
      <c r="G327" s="2">
        <f>tbl_kpi[[#This Row],[CountedQty]]-tbl_kpi[[#This Row],[ExpectedQty]]</f>
        <v>13</v>
      </c>
      <c r="H327" s="2">
        <f>IF(tbl_kpi[[#This Row],[ExpectedQty]]=0, 1, MAX(0, 1 - ABS(tbl_kpi[[#This Row],[VarianceQty]]) / tbl_kpi[[#This Row],[ExpectedQty]]))</f>
        <v>0.97410358565737054</v>
      </c>
      <c r="I327" s="2" t="str">
        <f>IF(tbl_kpi[[#This Row],[AccuracyPct]] &lt; 0.98, "Y", "N")</f>
        <v>Y</v>
      </c>
    </row>
    <row r="328" spans="1:9">
      <c r="A328" s="2">
        <v>430</v>
      </c>
      <c r="B328" s="2">
        <v>50</v>
      </c>
      <c r="C328" s="2" t="str">
        <f>_xlfn.XLOOKUP(tbl_kpi[[#This Row],[LocationID]], tbl_location[LocationID], tbl_location[LocationName], "UNMAPPED_LOCATION")</f>
        <v>Subassembly</v>
      </c>
      <c r="D328" s="2">
        <v>484</v>
      </c>
      <c r="E328" s="2">
        <v>481</v>
      </c>
      <c r="F328" s="2">
        <f>tbl_kpi[[#This Row],[OnHandQty]]</f>
        <v>484</v>
      </c>
      <c r="G328" s="2">
        <f>tbl_kpi[[#This Row],[CountedQty]]-tbl_kpi[[#This Row],[ExpectedQty]]</f>
        <v>-3</v>
      </c>
      <c r="H328" s="2">
        <f>IF(tbl_kpi[[#This Row],[ExpectedQty]]=0, 1, MAX(0, 1 - ABS(tbl_kpi[[#This Row],[VarianceQty]]) / tbl_kpi[[#This Row],[ExpectedQty]]))</f>
        <v>0.99380165289256195</v>
      </c>
      <c r="I328" s="2" t="str">
        <f>IF(tbl_kpi[[#This Row],[AccuracyPct]] &lt; 0.98, "Y", "N")</f>
        <v>N</v>
      </c>
    </row>
    <row r="329" spans="1:9">
      <c r="A329" s="2">
        <v>431</v>
      </c>
      <c r="B329" s="2">
        <v>1</v>
      </c>
      <c r="C329" s="2" t="str">
        <f>_xlfn.XLOOKUP(tbl_kpi[[#This Row],[LocationID]], tbl_location[LocationID], tbl_location[LocationName], "UNMAPPED_LOCATION")</f>
        <v>Tool Crib</v>
      </c>
      <c r="D329" s="2">
        <v>611</v>
      </c>
      <c r="E329" s="2">
        <v>624</v>
      </c>
      <c r="F329" s="2">
        <f>tbl_kpi[[#This Row],[OnHandQty]]</f>
        <v>611</v>
      </c>
      <c r="G329" s="2">
        <f>tbl_kpi[[#This Row],[CountedQty]]-tbl_kpi[[#This Row],[ExpectedQty]]</f>
        <v>13</v>
      </c>
      <c r="H329" s="2">
        <f>IF(tbl_kpi[[#This Row],[ExpectedQty]]=0, 1, MAX(0, 1 - ABS(tbl_kpi[[#This Row],[VarianceQty]]) / tbl_kpi[[#This Row],[ExpectedQty]]))</f>
        <v>0.97872340425531912</v>
      </c>
      <c r="I329" s="2" t="str">
        <f>IF(tbl_kpi[[#This Row],[AccuracyPct]] &lt; 0.98, "Y", "N")</f>
        <v>Y</v>
      </c>
    </row>
    <row r="330" spans="1:9">
      <c r="A330" s="2">
        <v>431</v>
      </c>
      <c r="B330" s="2">
        <v>6</v>
      </c>
      <c r="C330" s="2" t="str">
        <f>_xlfn.XLOOKUP(tbl_kpi[[#This Row],[LocationID]], tbl_location[LocationID], tbl_location[LocationName], "UNMAPPED_LOCATION")</f>
        <v>Miscellaneous Storage</v>
      </c>
      <c r="D330" s="2">
        <v>505</v>
      </c>
      <c r="E330" s="2">
        <v>492</v>
      </c>
      <c r="F330" s="2">
        <f>tbl_kpi[[#This Row],[OnHandQty]]</f>
        <v>505</v>
      </c>
      <c r="G330" s="2">
        <f>tbl_kpi[[#This Row],[CountedQty]]-tbl_kpi[[#This Row],[ExpectedQty]]</f>
        <v>-13</v>
      </c>
      <c r="H330" s="2">
        <f>IF(tbl_kpi[[#This Row],[ExpectedQty]]=0, 1, MAX(0, 1 - ABS(tbl_kpi[[#This Row],[VarianceQty]]) / tbl_kpi[[#This Row],[ExpectedQty]]))</f>
        <v>0.97425742574257423</v>
      </c>
      <c r="I330" s="2" t="str">
        <f>IF(tbl_kpi[[#This Row],[AccuracyPct]] &lt; 0.98, "Y", "N")</f>
        <v>Y</v>
      </c>
    </row>
    <row r="331" spans="1:9">
      <c r="A331" s="2">
        <v>431</v>
      </c>
      <c r="B331" s="2">
        <v>50</v>
      </c>
      <c r="C331" s="2" t="str">
        <f>_xlfn.XLOOKUP(tbl_kpi[[#This Row],[LocationID]], tbl_location[LocationID], tbl_location[LocationName], "UNMAPPED_LOCATION")</f>
        <v>Subassembly</v>
      </c>
      <c r="D331" s="2">
        <v>488</v>
      </c>
      <c r="E331" s="2">
        <v>486</v>
      </c>
      <c r="F331" s="2">
        <f>tbl_kpi[[#This Row],[OnHandQty]]</f>
        <v>488</v>
      </c>
      <c r="G331" s="2">
        <f>tbl_kpi[[#This Row],[CountedQty]]-tbl_kpi[[#This Row],[ExpectedQty]]</f>
        <v>-2</v>
      </c>
      <c r="H331" s="2">
        <f>IF(tbl_kpi[[#This Row],[ExpectedQty]]=0, 1, MAX(0, 1 - ABS(tbl_kpi[[#This Row],[VarianceQty]]) / tbl_kpi[[#This Row],[ExpectedQty]]))</f>
        <v>0.99590163934426235</v>
      </c>
      <c r="I331" s="2" t="str">
        <f>IF(tbl_kpi[[#This Row],[AccuracyPct]] &lt; 0.98, "Y", "N")</f>
        <v>N</v>
      </c>
    </row>
    <row r="332" spans="1:9">
      <c r="A332" s="2">
        <v>432</v>
      </c>
      <c r="B332" s="2">
        <v>1</v>
      </c>
      <c r="C332" s="2" t="str">
        <f>_xlfn.XLOOKUP(tbl_kpi[[#This Row],[LocationID]], tbl_location[LocationID], tbl_location[LocationName], "UNMAPPED_LOCATION")</f>
        <v>Tool Crib</v>
      </c>
      <c r="D332" s="2">
        <v>614</v>
      </c>
      <c r="E332" s="2">
        <v>621</v>
      </c>
      <c r="F332" s="2">
        <f>tbl_kpi[[#This Row],[OnHandQty]]</f>
        <v>614</v>
      </c>
      <c r="G332" s="2">
        <f>tbl_kpi[[#This Row],[CountedQty]]-tbl_kpi[[#This Row],[ExpectedQty]]</f>
        <v>7</v>
      </c>
      <c r="H332" s="2">
        <f>IF(tbl_kpi[[#This Row],[ExpectedQty]]=0, 1, MAX(0, 1 - ABS(tbl_kpi[[#This Row],[VarianceQty]]) / tbl_kpi[[#This Row],[ExpectedQty]]))</f>
        <v>0.98859934853420195</v>
      </c>
      <c r="I332" s="2" t="str">
        <f>IF(tbl_kpi[[#This Row],[AccuracyPct]] &lt; 0.98, "Y", "N")</f>
        <v>N</v>
      </c>
    </row>
    <row r="333" spans="1:9">
      <c r="A333" s="2">
        <v>432</v>
      </c>
      <c r="B333" s="2">
        <v>6</v>
      </c>
      <c r="C333" s="2" t="str">
        <f>_xlfn.XLOOKUP(tbl_kpi[[#This Row],[LocationID]], tbl_location[LocationID], tbl_location[LocationName], "UNMAPPED_LOCATION")</f>
        <v>Miscellaneous Storage</v>
      </c>
      <c r="D333" s="2">
        <v>508</v>
      </c>
      <c r="E333" s="2">
        <v>521</v>
      </c>
      <c r="F333" s="2">
        <f>tbl_kpi[[#This Row],[OnHandQty]]</f>
        <v>508</v>
      </c>
      <c r="G333" s="2">
        <f>tbl_kpi[[#This Row],[CountedQty]]-tbl_kpi[[#This Row],[ExpectedQty]]</f>
        <v>13</v>
      </c>
      <c r="H333" s="2">
        <f>IF(tbl_kpi[[#This Row],[ExpectedQty]]=0, 1, MAX(0, 1 - ABS(tbl_kpi[[#This Row],[VarianceQty]]) / tbl_kpi[[#This Row],[ExpectedQty]]))</f>
        <v>0.97440944881889768</v>
      </c>
      <c r="I333" s="2" t="str">
        <f>IF(tbl_kpi[[#This Row],[AccuracyPct]] &lt; 0.98, "Y", "N")</f>
        <v>Y</v>
      </c>
    </row>
    <row r="334" spans="1:9">
      <c r="A334" s="2">
        <v>432</v>
      </c>
      <c r="B334" s="2">
        <v>50</v>
      </c>
      <c r="C334" s="2" t="str">
        <f>_xlfn.XLOOKUP(tbl_kpi[[#This Row],[LocationID]], tbl_location[LocationID], tbl_location[LocationName], "UNMAPPED_LOCATION")</f>
        <v>Subassembly</v>
      </c>
      <c r="D334" s="2">
        <v>491</v>
      </c>
      <c r="E334" s="2">
        <v>486</v>
      </c>
      <c r="F334" s="2">
        <f>tbl_kpi[[#This Row],[OnHandQty]]</f>
        <v>491</v>
      </c>
      <c r="G334" s="2">
        <f>tbl_kpi[[#This Row],[CountedQty]]-tbl_kpi[[#This Row],[ExpectedQty]]</f>
        <v>-5</v>
      </c>
      <c r="H334" s="2">
        <f>IF(tbl_kpi[[#This Row],[ExpectedQty]]=0, 1, MAX(0, 1 - ABS(tbl_kpi[[#This Row],[VarianceQty]]) / tbl_kpi[[#This Row],[ExpectedQty]]))</f>
        <v>0.98981670061099791</v>
      </c>
      <c r="I334" s="2" t="str">
        <f>IF(tbl_kpi[[#This Row],[AccuracyPct]] &lt; 0.98, "Y", "N")</f>
        <v>N</v>
      </c>
    </row>
    <row r="335" spans="1:9">
      <c r="A335" s="2">
        <v>433</v>
      </c>
      <c r="B335" s="2">
        <v>1</v>
      </c>
      <c r="C335" s="2" t="str">
        <f>_xlfn.XLOOKUP(tbl_kpi[[#This Row],[LocationID]], tbl_location[LocationID], tbl_location[LocationName], "UNMAPPED_LOCATION")</f>
        <v>Tool Crib</v>
      </c>
      <c r="D335" s="2">
        <v>617</v>
      </c>
      <c r="E335" s="2">
        <v>606</v>
      </c>
      <c r="F335" s="2">
        <f>tbl_kpi[[#This Row],[OnHandQty]]</f>
        <v>617</v>
      </c>
      <c r="G335" s="2">
        <f>tbl_kpi[[#This Row],[CountedQty]]-tbl_kpi[[#This Row],[ExpectedQty]]</f>
        <v>-11</v>
      </c>
      <c r="H335" s="2">
        <f>IF(tbl_kpi[[#This Row],[ExpectedQty]]=0, 1, MAX(0, 1 - ABS(tbl_kpi[[#This Row],[VarianceQty]]) / tbl_kpi[[#This Row],[ExpectedQty]]))</f>
        <v>0.98217179902755269</v>
      </c>
      <c r="I335" s="2" t="str">
        <f>IF(tbl_kpi[[#This Row],[AccuracyPct]] &lt; 0.98, "Y", "N")</f>
        <v>N</v>
      </c>
    </row>
    <row r="336" spans="1:9">
      <c r="A336" s="2">
        <v>433</v>
      </c>
      <c r="B336" s="2">
        <v>6</v>
      </c>
      <c r="C336" s="2" t="str">
        <f>_xlfn.XLOOKUP(tbl_kpi[[#This Row],[LocationID]], tbl_location[LocationID], tbl_location[LocationName], "UNMAPPED_LOCATION")</f>
        <v>Miscellaneous Storage</v>
      </c>
      <c r="D336" s="2">
        <v>512</v>
      </c>
      <c r="E336" s="2">
        <v>497</v>
      </c>
      <c r="F336" s="2">
        <f>tbl_kpi[[#This Row],[OnHandQty]]</f>
        <v>512</v>
      </c>
      <c r="G336" s="2">
        <f>tbl_kpi[[#This Row],[CountedQty]]-tbl_kpi[[#This Row],[ExpectedQty]]</f>
        <v>-15</v>
      </c>
      <c r="H336" s="2">
        <f>IF(tbl_kpi[[#This Row],[ExpectedQty]]=0, 1, MAX(0, 1 - ABS(tbl_kpi[[#This Row],[VarianceQty]]) / tbl_kpi[[#This Row],[ExpectedQty]]))</f>
        <v>0.970703125</v>
      </c>
      <c r="I336" s="2" t="str">
        <f>IF(tbl_kpi[[#This Row],[AccuracyPct]] &lt; 0.98, "Y", "N")</f>
        <v>Y</v>
      </c>
    </row>
    <row r="337" spans="1:9">
      <c r="A337" s="2">
        <v>433</v>
      </c>
      <c r="B337" s="2">
        <v>50</v>
      </c>
      <c r="C337" s="2" t="str">
        <f>_xlfn.XLOOKUP(tbl_kpi[[#This Row],[LocationID]], tbl_location[LocationID], tbl_location[LocationName], "UNMAPPED_LOCATION")</f>
        <v>Subassembly</v>
      </c>
      <c r="D337" s="2">
        <v>494</v>
      </c>
      <c r="E337" s="2">
        <v>480</v>
      </c>
      <c r="F337" s="2">
        <f>tbl_kpi[[#This Row],[OnHandQty]]</f>
        <v>494</v>
      </c>
      <c r="G337" s="2">
        <f>tbl_kpi[[#This Row],[CountedQty]]-tbl_kpi[[#This Row],[ExpectedQty]]</f>
        <v>-14</v>
      </c>
      <c r="H337" s="2">
        <f>IF(tbl_kpi[[#This Row],[ExpectedQty]]=0, 1, MAX(0, 1 - ABS(tbl_kpi[[#This Row],[VarianceQty]]) / tbl_kpi[[#This Row],[ExpectedQty]]))</f>
        <v>0.97165991902834004</v>
      </c>
      <c r="I337" s="2" t="str">
        <f>IF(tbl_kpi[[#This Row],[AccuracyPct]] &lt; 0.98, "Y", "N")</f>
        <v>Y</v>
      </c>
    </row>
    <row r="338" spans="1:9">
      <c r="A338" s="2">
        <v>434</v>
      </c>
      <c r="B338" s="2">
        <v>1</v>
      </c>
      <c r="C338" s="2" t="str">
        <f>_xlfn.XLOOKUP(tbl_kpi[[#This Row],[LocationID]], tbl_location[LocationID], tbl_location[LocationName], "UNMAPPED_LOCATION")</f>
        <v>Tool Crib</v>
      </c>
      <c r="D338" s="2">
        <v>620</v>
      </c>
      <c r="E338" s="2">
        <v>633</v>
      </c>
      <c r="F338" s="2">
        <f>tbl_kpi[[#This Row],[OnHandQty]]</f>
        <v>620</v>
      </c>
      <c r="G338" s="2">
        <f>tbl_kpi[[#This Row],[CountedQty]]-tbl_kpi[[#This Row],[ExpectedQty]]</f>
        <v>13</v>
      </c>
      <c r="H338" s="2">
        <f>IF(tbl_kpi[[#This Row],[ExpectedQty]]=0, 1, MAX(0, 1 - ABS(tbl_kpi[[#This Row],[VarianceQty]]) / tbl_kpi[[#This Row],[ExpectedQty]]))</f>
        <v>0.9790322580645161</v>
      </c>
      <c r="I338" s="2" t="str">
        <f>IF(tbl_kpi[[#This Row],[AccuracyPct]] &lt; 0.98, "Y", "N")</f>
        <v>Y</v>
      </c>
    </row>
    <row r="339" spans="1:9">
      <c r="A339" s="2">
        <v>434</v>
      </c>
      <c r="B339" s="2">
        <v>6</v>
      </c>
      <c r="C339" s="2" t="str">
        <f>_xlfn.XLOOKUP(tbl_kpi[[#This Row],[LocationID]], tbl_location[LocationID], tbl_location[LocationName], "UNMAPPED_LOCATION")</f>
        <v>Miscellaneous Storage</v>
      </c>
      <c r="D339" s="2">
        <v>515</v>
      </c>
      <c r="E339" s="2">
        <v>501</v>
      </c>
      <c r="F339" s="2">
        <f>tbl_kpi[[#This Row],[OnHandQty]]</f>
        <v>515</v>
      </c>
      <c r="G339" s="2">
        <f>tbl_kpi[[#This Row],[CountedQty]]-tbl_kpi[[#This Row],[ExpectedQty]]</f>
        <v>-14</v>
      </c>
      <c r="H339" s="2">
        <f>IF(tbl_kpi[[#This Row],[ExpectedQty]]=0, 1, MAX(0, 1 - ABS(tbl_kpi[[#This Row],[VarianceQty]]) / tbl_kpi[[#This Row],[ExpectedQty]]))</f>
        <v>0.97281553398058251</v>
      </c>
      <c r="I339" s="2" t="str">
        <f>IF(tbl_kpi[[#This Row],[AccuracyPct]] &lt; 0.98, "Y", "N")</f>
        <v>Y</v>
      </c>
    </row>
    <row r="340" spans="1:9">
      <c r="A340" s="2">
        <v>434</v>
      </c>
      <c r="B340" s="2">
        <v>50</v>
      </c>
      <c r="C340" s="2" t="str">
        <f>_xlfn.XLOOKUP(tbl_kpi[[#This Row],[LocationID]], tbl_location[LocationID], tbl_location[LocationName], "UNMAPPED_LOCATION")</f>
        <v>Subassembly</v>
      </c>
      <c r="D340" s="2">
        <v>497</v>
      </c>
      <c r="E340" s="2">
        <v>484</v>
      </c>
      <c r="F340" s="2">
        <f>tbl_kpi[[#This Row],[OnHandQty]]</f>
        <v>497</v>
      </c>
      <c r="G340" s="2">
        <f>tbl_kpi[[#This Row],[CountedQty]]-tbl_kpi[[#This Row],[ExpectedQty]]</f>
        <v>-13</v>
      </c>
      <c r="H340" s="2">
        <f>IF(tbl_kpi[[#This Row],[ExpectedQty]]=0, 1, MAX(0, 1 - ABS(tbl_kpi[[#This Row],[VarianceQty]]) / tbl_kpi[[#This Row],[ExpectedQty]]))</f>
        <v>0.97384305835010065</v>
      </c>
      <c r="I340" s="2" t="str">
        <f>IF(tbl_kpi[[#This Row],[AccuracyPct]] &lt; 0.98, "Y", "N")</f>
        <v>Y</v>
      </c>
    </row>
    <row r="341" spans="1:9">
      <c r="A341" s="2">
        <v>435</v>
      </c>
      <c r="B341" s="2">
        <v>1</v>
      </c>
      <c r="C341" s="2" t="str">
        <f>_xlfn.XLOOKUP(tbl_kpi[[#This Row],[LocationID]], tbl_location[LocationID], tbl_location[LocationName], "UNMAPPED_LOCATION")</f>
        <v>Tool Crib</v>
      </c>
      <c r="D341" s="2">
        <v>624</v>
      </c>
      <c r="E341" s="2">
        <v>627</v>
      </c>
      <c r="F341" s="2">
        <f>tbl_kpi[[#This Row],[OnHandQty]]</f>
        <v>624</v>
      </c>
      <c r="G341" s="2">
        <f>tbl_kpi[[#This Row],[CountedQty]]-tbl_kpi[[#This Row],[ExpectedQty]]</f>
        <v>3</v>
      </c>
      <c r="H341" s="2">
        <f>IF(tbl_kpi[[#This Row],[ExpectedQty]]=0, 1, MAX(0, 1 - ABS(tbl_kpi[[#This Row],[VarianceQty]]) / tbl_kpi[[#This Row],[ExpectedQty]]))</f>
        <v>0.99519230769230771</v>
      </c>
      <c r="I341" s="2" t="str">
        <f>IF(tbl_kpi[[#This Row],[AccuracyPct]] &lt; 0.98, "Y", "N")</f>
        <v>N</v>
      </c>
    </row>
    <row r="342" spans="1:9">
      <c r="A342" s="2">
        <v>435</v>
      </c>
      <c r="B342" s="2">
        <v>6</v>
      </c>
      <c r="C342" s="2" t="str">
        <f>_xlfn.XLOOKUP(tbl_kpi[[#This Row],[LocationID]], tbl_location[LocationID], tbl_location[LocationName], "UNMAPPED_LOCATION")</f>
        <v>Miscellaneous Storage</v>
      </c>
      <c r="D342" s="2">
        <v>518</v>
      </c>
      <c r="E342" s="2">
        <v>529</v>
      </c>
      <c r="F342" s="2">
        <f>tbl_kpi[[#This Row],[OnHandQty]]</f>
        <v>518</v>
      </c>
      <c r="G342" s="2">
        <f>tbl_kpi[[#This Row],[CountedQty]]-tbl_kpi[[#This Row],[ExpectedQty]]</f>
        <v>11</v>
      </c>
      <c r="H342" s="2">
        <f>IF(tbl_kpi[[#This Row],[ExpectedQty]]=0, 1, MAX(0, 1 - ABS(tbl_kpi[[#This Row],[VarianceQty]]) / tbl_kpi[[#This Row],[ExpectedQty]]))</f>
        <v>0.97876447876447881</v>
      </c>
      <c r="I342" s="2" t="str">
        <f>IF(tbl_kpi[[#This Row],[AccuracyPct]] &lt; 0.98, "Y", "N")</f>
        <v>Y</v>
      </c>
    </row>
    <row r="343" spans="1:9">
      <c r="A343" s="2">
        <v>435</v>
      </c>
      <c r="B343" s="2">
        <v>50</v>
      </c>
      <c r="C343" s="2" t="str">
        <f>_xlfn.XLOOKUP(tbl_kpi[[#This Row],[LocationID]], tbl_location[LocationID], tbl_location[LocationName], "UNMAPPED_LOCATION")</f>
        <v>Subassembly</v>
      </c>
      <c r="D343" s="2">
        <v>500</v>
      </c>
      <c r="E343" s="2">
        <v>512</v>
      </c>
      <c r="F343" s="2">
        <f>tbl_kpi[[#This Row],[OnHandQty]]</f>
        <v>500</v>
      </c>
      <c r="G343" s="2">
        <f>tbl_kpi[[#This Row],[CountedQty]]-tbl_kpi[[#This Row],[ExpectedQty]]</f>
        <v>12</v>
      </c>
      <c r="H343" s="2">
        <f>IF(tbl_kpi[[#This Row],[ExpectedQty]]=0, 1, MAX(0, 1 - ABS(tbl_kpi[[#This Row],[VarianceQty]]) / tbl_kpi[[#This Row],[ExpectedQty]]))</f>
        <v>0.97599999999999998</v>
      </c>
      <c r="I343" s="2" t="str">
        <f>IF(tbl_kpi[[#This Row],[AccuracyPct]] &lt; 0.98, "Y", "N")</f>
        <v>Y</v>
      </c>
    </row>
    <row r="344" spans="1:9">
      <c r="A344" s="2">
        <v>436</v>
      </c>
      <c r="B344" s="2">
        <v>1</v>
      </c>
      <c r="C344" s="2" t="str">
        <f>_xlfn.XLOOKUP(tbl_kpi[[#This Row],[LocationID]], tbl_location[LocationID], tbl_location[LocationName], "UNMAPPED_LOCATION")</f>
        <v>Tool Crib</v>
      </c>
      <c r="D344" s="2">
        <v>627</v>
      </c>
      <c r="E344" s="2">
        <v>630</v>
      </c>
      <c r="F344" s="2">
        <f>tbl_kpi[[#This Row],[OnHandQty]]</f>
        <v>627</v>
      </c>
      <c r="G344" s="2">
        <f>tbl_kpi[[#This Row],[CountedQty]]-tbl_kpi[[#This Row],[ExpectedQty]]</f>
        <v>3</v>
      </c>
      <c r="H344" s="2">
        <f>IF(tbl_kpi[[#This Row],[ExpectedQty]]=0, 1, MAX(0, 1 - ABS(tbl_kpi[[#This Row],[VarianceQty]]) / tbl_kpi[[#This Row],[ExpectedQty]]))</f>
        <v>0.99521531100478466</v>
      </c>
      <c r="I344" s="2" t="str">
        <f>IF(tbl_kpi[[#This Row],[AccuracyPct]] &lt; 0.98, "Y", "N")</f>
        <v>N</v>
      </c>
    </row>
    <row r="345" spans="1:9">
      <c r="A345" s="2">
        <v>436</v>
      </c>
      <c r="B345" s="2">
        <v>6</v>
      </c>
      <c r="C345" s="2" t="str">
        <f>_xlfn.XLOOKUP(tbl_kpi[[#This Row],[LocationID]], tbl_location[LocationID], tbl_location[LocationName], "UNMAPPED_LOCATION")</f>
        <v>Miscellaneous Storage</v>
      </c>
      <c r="D345" s="2">
        <v>521</v>
      </c>
      <c r="E345" s="2">
        <v>524</v>
      </c>
      <c r="F345" s="2">
        <f>tbl_kpi[[#This Row],[OnHandQty]]</f>
        <v>521</v>
      </c>
      <c r="G345" s="2">
        <f>tbl_kpi[[#This Row],[CountedQty]]-tbl_kpi[[#This Row],[ExpectedQty]]</f>
        <v>3</v>
      </c>
      <c r="H345" s="2">
        <f>IF(tbl_kpi[[#This Row],[ExpectedQty]]=0, 1, MAX(0, 1 - ABS(tbl_kpi[[#This Row],[VarianceQty]]) / tbl_kpi[[#This Row],[ExpectedQty]]))</f>
        <v>0.99424184261036463</v>
      </c>
      <c r="I345" s="2" t="str">
        <f>IF(tbl_kpi[[#This Row],[AccuracyPct]] &lt; 0.98, "Y", "N")</f>
        <v>N</v>
      </c>
    </row>
    <row r="346" spans="1:9">
      <c r="A346" s="2">
        <v>436</v>
      </c>
      <c r="B346" s="2">
        <v>50</v>
      </c>
      <c r="C346" s="2" t="str">
        <f>_xlfn.XLOOKUP(tbl_kpi[[#This Row],[LocationID]], tbl_location[LocationID], tbl_location[LocationName], "UNMAPPED_LOCATION")</f>
        <v>Subassembly</v>
      </c>
      <c r="D346" s="2">
        <v>504</v>
      </c>
      <c r="E346" s="2">
        <v>493</v>
      </c>
      <c r="F346" s="2">
        <f>tbl_kpi[[#This Row],[OnHandQty]]</f>
        <v>504</v>
      </c>
      <c r="G346" s="2">
        <f>tbl_kpi[[#This Row],[CountedQty]]-tbl_kpi[[#This Row],[ExpectedQty]]</f>
        <v>-11</v>
      </c>
      <c r="H346" s="2">
        <f>IF(tbl_kpi[[#This Row],[ExpectedQty]]=0, 1, MAX(0, 1 - ABS(tbl_kpi[[#This Row],[VarianceQty]]) / tbl_kpi[[#This Row],[ExpectedQty]]))</f>
        <v>0.97817460317460314</v>
      </c>
      <c r="I346" s="2" t="str">
        <f>IF(tbl_kpi[[#This Row],[AccuracyPct]] &lt; 0.98, "Y", "N")</f>
        <v>Y</v>
      </c>
    </row>
    <row r="347" spans="1:9">
      <c r="A347" s="2">
        <v>437</v>
      </c>
      <c r="B347" s="2">
        <v>1</v>
      </c>
      <c r="C347" s="2" t="str">
        <f>_xlfn.XLOOKUP(tbl_kpi[[#This Row],[LocationID]], tbl_location[LocationID], tbl_location[LocationName], "UNMAPPED_LOCATION")</f>
        <v>Tool Crib</v>
      </c>
      <c r="D347" s="2">
        <v>630</v>
      </c>
      <c r="E347" s="2">
        <v>618</v>
      </c>
      <c r="F347" s="2">
        <f>tbl_kpi[[#This Row],[OnHandQty]]</f>
        <v>630</v>
      </c>
      <c r="G347" s="2">
        <f>tbl_kpi[[#This Row],[CountedQty]]-tbl_kpi[[#This Row],[ExpectedQty]]</f>
        <v>-12</v>
      </c>
      <c r="H347" s="2">
        <f>IF(tbl_kpi[[#This Row],[ExpectedQty]]=0, 1, MAX(0, 1 - ABS(tbl_kpi[[#This Row],[VarianceQty]]) / tbl_kpi[[#This Row],[ExpectedQty]]))</f>
        <v>0.98095238095238091</v>
      </c>
      <c r="I347" s="2" t="str">
        <f>IF(tbl_kpi[[#This Row],[AccuracyPct]] &lt; 0.98, "Y", "N")</f>
        <v>N</v>
      </c>
    </row>
    <row r="348" spans="1:9">
      <c r="A348" s="2">
        <v>437</v>
      </c>
      <c r="B348" s="2">
        <v>6</v>
      </c>
      <c r="C348" s="2" t="str">
        <f>_xlfn.XLOOKUP(tbl_kpi[[#This Row],[LocationID]], tbl_location[LocationID], tbl_location[LocationName], "UNMAPPED_LOCATION")</f>
        <v>Miscellaneous Storage</v>
      </c>
      <c r="D348" s="2">
        <v>524</v>
      </c>
      <c r="E348" s="2">
        <v>530</v>
      </c>
      <c r="F348" s="2">
        <f>tbl_kpi[[#This Row],[OnHandQty]]</f>
        <v>524</v>
      </c>
      <c r="G348" s="2">
        <f>tbl_kpi[[#This Row],[CountedQty]]-tbl_kpi[[#This Row],[ExpectedQty]]</f>
        <v>6</v>
      </c>
      <c r="H348" s="2">
        <f>IF(tbl_kpi[[#This Row],[ExpectedQty]]=0, 1, MAX(0, 1 - ABS(tbl_kpi[[#This Row],[VarianceQty]]) / tbl_kpi[[#This Row],[ExpectedQty]]))</f>
        <v>0.98854961832061072</v>
      </c>
      <c r="I348" s="2" t="str">
        <f>IF(tbl_kpi[[#This Row],[AccuracyPct]] &lt; 0.98, "Y", "N")</f>
        <v>N</v>
      </c>
    </row>
    <row r="349" spans="1:9">
      <c r="A349" s="2">
        <v>437</v>
      </c>
      <c r="B349" s="2">
        <v>50</v>
      </c>
      <c r="C349" s="2" t="str">
        <f>_xlfn.XLOOKUP(tbl_kpi[[#This Row],[LocationID]], tbl_location[LocationID], tbl_location[LocationName], "UNMAPPED_LOCATION")</f>
        <v>Subassembly</v>
      </c>
      <c r="D349" s="2">
        <v>507</v>
      </c>
      <c r="E349" s="2">
        <v>512</v>
      </c>
      <c r="F349" s="2">
        <f>tbl_kpi[[#This Row],[OnHandQty]]</f>
        <v>507</v>
      </c>
      <c r="G349" s="2">
        <f>tbl_kpi[[#This Row],[CountedQty]]-tbl_kpi[[#This Row],[ExpectedQty]]</f>
        <v>5</v>
      </c>
      <c r="H349" s="2">
        <f>IF(tbl_kpi[[#This Row],[ExpectedQty]]=0, 1, MAX(0, 1 - ABS(tbl_kpi[[#This Row],[VarianceQty]]) / tbl_kpi[[#This Row],[ExpectedQty]]))</f>
        <v>0.99013806706114393</v>
      </c>
      <c r="I349" s="2" t="str">
        <f>IF(tbl_kpi[[#This Row],[AccuracyPct]] &lt; 0.98, "Y", "N")</f>
        <v>N</v>
      </c>
    </row>
    <row r="350" spans="1:9">
      <c r="A350" s="2">
        <v>438</v>
      </c>
      <c r="B350" s="2">
        <v>1</v>
      </c>
      <c r="C350" s="2" t="str">
        <f>_xlfn.XLOOKUP(tbl_kpi[[#This Row],[LocationID]], tbl_location[LocationID], tbl_location[LocationName], "UNMAPPED_LOCATION")</f>
        <v>Tool Crib</v>
      </c>
      <c r="D350" s="2">
        <v>633</v>
      </c>
      <c r="E350" s="2">
        <v>621</v>
      </c>
      <c r="F350" s="2">
        <f>tbl_kpi[[#This Row],[OnHandQty]]</f>
        <v>633</v>
      </c>
      <c r="G350" s="2">
        <f>tbl_kpi[[#This Row],[CountedQty]]-tbl_kpi[[#This Row],[ExpectedQty]]</f>
        <v>-12</v>
      </c>
      <c r="H350" s="2">
        <f>IF(tbl_kpi[[#This Row],[ExpectedQty]]=0, 1, MAX(0, 1 - ABS(tbl_kpi[[#This Row],[VarianceQty]]) / tbl_kpi[[#This Row],[ExpectedQty]]))</f>
        <v>0.98104265402843605</v>
      </c>
      <c r="I350" s="2" t="str">
        <f>IF(tbl_kpi[[#This Row],[AccuracyPct]] &lt; 0.98, "Y", "N")</f>
        <v>N</v>
      </c>
    </row>
    <row r="351" spans="1:9">
      <c r="A351" s="2">
        <v>438</v>
      </c>
      <c r="B351" s="2">
        <v>6</v>
      </c>
      <c r="C351" s="2" t="str">
        <f>_xlfn.XLOOKUP(tbl_kpi[[#This Row],[LocationID]], tbl_location[LocationID], tbl_location[LocationName], "UNMAPPED_LOCATION")</f>
        <v>Miscellaneous Storage</v>
      </c>
      <c r="D351" s="2">
        <v>528</v>
      </c>
      <c r="E351" s="2">
        <v>519</v>
      </c>
      <c r="F351" s="2">
        <f>tbl_kpi[[#This Row],[OnHandQty]]</f>
        <v>528</v>
      </c>
      <c r="G351" s="2">
        <f>tbl_kpi[[#This Row],[CountedQty]]-tbl_kpi[[#This Row],[ExpectedQty]]</f>
        <v>-9</v>
      </c>
      <c r="H351" s="2">
        <f>IF(tbl_kpi[[#This Row],[ExpectedQty]]=0, 1, MAX(0, 1 - ABS(tbl_kpi[[#This Row],[VarianceQty]]) / tbl_kpi[[#This Row],[ExpectedQty]]))</f>
        <v>0.98295454545454541</v>
      </c>
      <c r="I351" s="2" t="str">
        <f>IF(tbl_kpi[[#This Row],[AccuracyPct]] &lt; 0.98, "Y", "N")</f>
        <v>N</v>
      </c>
    </row>
    <row r="352" spans="1:9">
      <c r="A352" s="2">
        <v>438</v>
      </c>
      <c r="B352" s="2">
        <v>50</v>
      </c>
      <c r="C352" s="2" t="str">
        <f>_xlfn.XLOOKUP(tbl_kpi[[#This Row],[LocationID]], tbl_location[LocationID], tbl_location[LocationName], "UNMAPPED_LOCATION")</f>
        <v>Subassembly</v>
      </c>
      <c r="D352" s="2">
        <v>510</v>
      </c>
      <c r="E352" s="2">
        <v>500</v>
      </c>
      <c r="F352" s="2">
        <f>tbl_kpi[[#This Row],[OnHandQty]]</f>
        <v>510</v>
      </c>
      <c r="G352" s="2">
        <f>tbl_kpi[[#This Row],[CountedQty]]-tbl_kpi[[#This Row],[ExpectedQty]]</f>
        <v>-10</v>
      </c>
      <c r="H352" s="2">
        <f>IF(tbl_kpi[[#This Row],[ExpectedQty]]=0, 1, MAX(0, 1 - ABS(tbl_kpi[[#This Row],[VarianceQty]]) / tbl_kpi[[#This Row],[ExpectedQty]]))</f>
        <v>0.98039215686274506</v>
      </c>
      <c r="I352" s="2" t="str">
        <f>IF(tbl_kpi[[#This Row],[AccuracyPct]] &lt; 0.98, "Y", "N")</f>
        <v>N</v>
      </c>
    </row>
    <row r="353" spans="1:9">
      <c r="A353" s="2">
        <v>439</v>
      </c>
      <c r="B353" s="2">
        <v>1</v>
      </c>
      <c r="C353" s="2" t="str">
        <f>_xlfn.XLOOKUP(tbl_kpi[[#This Row],[LocationID]], tbl_location[LocationID], tbl_location[LocationName], "UNMAPPED_LOCATION")</f>
        <v>Tool Crib</v>
      </c>
      <c r="D353" s="2">
        <v>636</v>
      </c>
      <c r="E353" s="2">
        <v>638</v>
      </c>
      <c r="F353" s="2">
        <f>tbl_kpi[[#This Row],[OnHandQty]]</f>
        <v>636</v>
      </c>
      <c r="G353" s="2">
        <f>tbl_kpi[[#This Row],[CountedQty]]-tbl_kpi[[#This Row],[ExpectedQty]]</f>
        <v>2</v>
      </c>
      <c r="H353" s="2">
        <f>IF(tbl_kpi[[#This Row],[ExpectedQty]]=0, 1, MAX(0, 1 - ABS(tbl_kpi[[#This Row],[VarianceQty]]) / tbl_kpi[[#This Row],[ExpectedQty]]))</f>
        <v>0.99685534591194969</v>
      </c>
      <c r="I353" s="2" t="str">
        <f>IF(tbl_kpi[[#This Row],[AccuracyPct]] &lt; 0.98, "Y", "N")</f>
        <v>N</v>
      </c>
    </row>
    <row r="354" spans="1:9">
      <c r="A354" s="2">
        <v>439</v>
      </c>
      <c r="B354" s="2">
        <v>6</v>
      </c>
      <c r="C354" s="2" t="str">
        <f>_xlfn.XLOOKUP(tbl_kpi[[#This Row],[LocationID]], tbl_location[LocationID], tbl_location[LocationName], "UNMAPPED_LOCATION")</f>
        <v>Miscellaneous Storage</v>
      </c>
      <c r="D354" s="2">
        <v>531</v>
      </c>
      <c r="E354" s="2">
        <v>535</v>
      </c>
      <c r="F354" s="2">
        <f>tbl_kpi[[#This Row],[OnHandQty]]</f>
        <v>531</v>
      </c>
      <c r="G354" s="2">
        <f>tbl_kpi[[#This Row],[CountedQty]]-tbl_kpi[[#This Row],[ExpectedQty]]</f>
        <v>4</v>
      </c>
      <c r="H354" s="2">
        <f>IF(tbl_kpi[[#This Row],[ExpectedQty]]=0, 1, MAX(0, 1 - ABS(tbl_kpi[[#This Row],[VarianceQty]]) / tbl_kpi[[#This Row],[ExpectedQty]]))</f>
        <v>0.99246704331450097</v>
      </c>
      <c r="I354" s="2" t="str">
        <f>IF(tbl_kpi[[#This Row],[AccuracyPct]] &lt; 0.98, "Y", "N")</f>
        <v>N</v>
      </c>
    </row>
    <row r="355" spans="1:9">
      <c r="A355" s="2">
        <v>439</v>
      </c>
      <c r="B355" s="2">
        <v>50</v>
      </c>
      <c r="C355" s="2" t="str">
        <f>_xlfn.XLOOKUP(tbl_kpi[[#This Row],[LocationID]], tbl_location[LocationID], tbl_location[LocationName], "UNMAPPED_LOCATION")</f>
        <v>Subassembly</v>
      </c>
      <c r="D355" s="2">
        <v>513</v>
      </c>
      <c r="E355" s="2">
        <v>510</v>
      </c>
      <c r="F355" s="2">
        <f>tbl_kpi[[#This Row],[OnHandQty]]</f>
        <v>513</v>
      </c>
      <c r="G355" s="2">
        <f>tbl_kpi[[#This Row],[CountedQty]]-tbl_kpi[[#This Row],[ExpectedQty]]</f>
        <v>-3</v>
      </c>
      <c r="H355" s="2">
        <f>IF(tbl_kpi[[#This Row],[ExpectedQty]]=0, 1, MAX(0, 1 - ABS(tbl_kpi[[#This Row],[VarianceQty]]) / tbl_kpi[[#This Row],[ExpectedQty]]))</f>
        <v>0.99415204678362579</v>
      </c>
      <c r="I355" s="2" t="str">
        <f>IF(tbl_kpi[[#This Row],[AccuracyPct]] &lt; 0.98, "Y", "N")</f>
        <v>N</v>
      </c>
    </row>
    <row r="356" spans="1:9">
      <c r="A356" s="2">
        <v>440</v>
      </c>
      <c r="B356" s="2">
        <v>1</v>
      </c>
      <c r="C356" s="2" t="str">
        <f>_xlfn.XLOOKUP(tbl_kpi[[#This Row],[LocationID]], tbl_location[LocationID], tbl_location[LocationName], "UNMAPPED_LOCATION")</f>
        <v>Tool Crib</v>
      </c>
      <c r="D356" s="2">
        <v>640</v>
      </c>
      <c r="E356" s="2">
        <v>623</v>
      </c>
      <c r="F356" s="2">
        <f>tbl_kpi[[#This Row],[OnHandQty]]</f>
        <v>640</v>
      </c>
      <c r="G356" s="2">
        <f>tbl_kpi[[#This Row],[CountedQty]]-tbl_kpi[[#This Row],[ExpectedQty]]</f>
        <v>-17</v>
      </c>
      <c r="H356" s="2">
        <f>IF(tbl_kpi[[#This Row],[ExpectedQty]]=0, 1, MAX(0, 1 - ABS(tbl_kpi[[#This Row],[VarianceQty]]) / tbl_kpi[[#This Row],[ExpectedQty]]))</f>
        <v>0.97343749999999996</v>
      </c>
      <c r="I356" s="2" t="str">
        <f>IF(tbl_kpi[[#This Row],[AccuracyPct]] &lt; 0.98, "Y", "N")</f>
        <v>Y</v>
      </c>
    </row>
    <row r="357" spans="1:9">
      <c r="A357" s="2">
        <v>440</v>
      </c>
      <c r="B357" s="2">
        <v>6</v>
      </c>
      <c r="C357" s="2" t="str">
        <f>_xlfn.XLOOKUP(tbl_kpi[[#This Row],[LocationID]], tbl_location[LocationID], tbl_location[LocationName], "UNMAPPED_LOCATION")</f>
        <v>Miscellaneous Storage</v>
      </c>
      <c r="D357" s="2">
        <v>534</v>
      </c>
      <c r="E357" s="2">
        <v>518</v>
      </c>
      <c r="F357" s="2">
        <f>tbl_kpi[[#This Row],[OnHandQty]]</f>
        <v>534</v>
      </c>
      <c r="G357" s="2">
        <f>tbl_kpi[[#This Row],[CountedQty]]-tbl_kpi[[#This Row],[ExpectedQty]]</f>
        <v>-16</v>
      </c>
      <c r="H357" s="2">
        <f>IF(tbl_kpi[[#This Row],[ExpectedQty]]=0, 1, MAX(0, 1 - ABS(tbl_kpi[[#This Row],[VarianceQty]]) / tbl_kpi[[#This Row],[ExpectedQty]]))</f>
        <v>0.97003745318352064</v>
      </c>
      <c r="I357" s="2" t="str">
        <f>IF(tbl_kpi[[#This Row],[AccuracyPct]] &lt; 0.98, "Y", "N")</f>
        <v>Y</v>
      </c>
    </row>
    <row r="358" spans="1:9">
      <c r="A358" s="2">
        <v>440</v>
      </c>
      <c r="B358" s="2">
        <v>50</v>
      </c>
      <c r="C358" s="2" t="str">
        <f>_xlfn.XLOOKUP(tbl_kpi[[#This Row],[LocationID]], tbl_location[LocationID], tbl_location[LocationName], "UNMAPPED_LOCATION")</f>
        <v>Subassembly</v>
      </c>
      <c r="D358" s="2">
        <v>516</v>
      </c>
      <c r="E358" s="2">
        <v>521</v>
      </c>
      <c r="F358" s="2">
        <f>tbl_kpi[[#This Row],[OnHandQty]]</f>
        <v>516</v>
      </c>
      <c r="G358" s="2">
        <f>tbl_kpi[[#This Row],[CountedQty]]-tbl_kpi[[#This Row],[ExpectedQty]]</f>
        <v>5</v>
      </c>
      <c r="H358" s="2">
        <f>IF(tbl_kpi[[#This Row],[ExpectedQty]]=0, 1, MAX(0, 1 - ABS(tbl_kpi[[#This Row],[VarianceQty]]) / tbl_kpi[[#This Row],[ExpectedQty]]))</f>
        <v>0.99031007751937983</v>
      </c>
      <c r="I358" s="2" t="str">
        <f>IF(tbl_kpi[[#This Row],[AccuracyPct]] &lt; 0.98, "Y", "N")</f>
        <v>N</v>
      </c>
    </row>
    <row r="359" spans="1:9">
      <c r="A359" s="2">
        <v>441</v>
      </c>
      <c r="B359" s="2">
        <v>1</v>
      </c>
      <c r="C359" s="2" t="str">
        <f>_xlfn.XLOOKUP(tbl_kpi[[#This Row],[LocationID]], tbl_location[LocationID], tbl_location[LocationName], "UNMAPPED_LOCATION")</f>
        <v>Tool Crib</v>
      </c>
      <c r="D359" s="2">
        <v>635</v>
      </c>
      <c r="E359" s="2">
        <v>635</v>
      </c>
      <c r="F359" s="2">
        <f>tbl_kpi[[#This Row],[OnHandQty]]</f>
        <v>635</v>
      </c>
      <c r="G359" s="2">
        <f>tbl_kpi[[#This Row],[CountedQty]]-tbl_kpi[[#This Row],[ExpectedQty]]</f>
        <v>0</v>
      </c>
      <c r="H359" s="2">
        <f>IF(tbl_kpi[[#This Row],[ExpectedQty]]=0, 1, MAX(0, 1 - ABS(tbl_kpi[[#This Row],[VarianceQty]]) / tbl_kpi[[#This Row],[ExpectedQty]]))</f>
        <v>1</v>
      </c>
      <c r="I359" s="2" t="str">
        <f>IF(tbl_kpi[[#This Row],[AccuracyPct]] &lt; 0.98, "Y", "N")</f>
        <v>N</v>
      </c>
    </row>
    <row r="360" spans="1:9">
      <c r="A360" s="2">
        <v>441</v>
      </c>
      <c r="B360" s="2">
        <v>6</v>
      </c>
      <c r="C360" s="2" t="str">
        <f>_xlfn.XLOOKUP(tbl_kpi[[#This Row],[LocationID]], tbl_location[LocationID], tbl_location[LocationName], "UNMAPPED_LOCATION")</f>
        <v>Miscellaneous Storage</v>
      </c>
      <c r="D360" s="2">
        <v>529</v>
      </c>
      <c r="E360" s="2">
        <v>515</v>
      </c>
      <c r="F360" s="2">
        <f>tbl_kpi[[#This Row],[OnHandQty]]</f>
        <v>529</v>
      </c>
      <c r="G360" s="2">
        <f>tbl_kpi[[#This Row],[CountedQty]]-tbl_kpi[[#This Row],[ExpectedQty]]</f>
        <v>-14</v>
      </c>
      <c r="H360" s="2">
        <f>IF(tbl_kpi[[#This Row],[ExpectedQty]]=0, 1, MAX(0, 1 - ABS(tbl_kpi[[#This Row],[VarianceQty]]) / tbl_kpi[[#This Row],[ExpectedQty]]))</f>
        <v>0.97353497164461245</v>
      </c>
      <c r="I360" s="2" t="str">
        <f>IF(tbl_kpi[[#This Row],[AccuracyPct]] &lt; 0.98, "Y", "N")</f>
        <v>Y</v>
      </c>
    </row>
    <row r="361" spans="1:9">
      <c r="A361" s="2">
        <v>441</v>
      </c>
      <c r="B361" s="2">
        <v>50</v>
      </c>
      <c r="C361" s="2" t="str">
        <f>_xlfn.XLOOKUP(tbl_kpi[[#This Row],[LocationID]], tbl_location[LocationID], tbl_location[LocationName], "UNMAPPED_LOCATION")</f>
        <v>Subassembly</v>
      </c>
      <c r="D361" s="2">
        <v>512</v>
      </c>
      <c r="E361" s="2">
        <v>509</v>
      </c>
      <c r="F361" s="2">
        <f>tbl_kpi[[#This Row],[OnHandQty]]</f>
        <v>512</v>
      </c>
      <c r="G361" s="2">
        <f>tbl_kpi[[#This Row],[CountedQty]]-tbl_kpi[[#This Row],[ExpectedQty]]</f>
        <v>-3</v>
      </c>
      <c r="H361" s="2">
        <f>IF(tbl_kpi[[#This Row],[ExpectedQty]]=0, 1, MAX(0, 1 - ABS(tbl_kpi[[#This Row],[VarianceQty]]) / tbl_kpi[[#This Row],[ExpectedQty]]))</f>
        <v>0.994140625</v>
      </c>
      <c r="I361" s="2" t="str">
        <f>IF(tbl_kpi[[#This Row],[AccuracyPct]] &lt; 0.98, "Y", "N")</f>
        <v>N</v>
      </c>
    </row>
    <row r="362" spans="1:9">
      <c r="A362" s="2">
        <v>442</v>
      </c>
      <c r="B362" s="2">
        <v>1</v>
      </c>
      <c r="C362" s="2" t="str">
        <f>_xlfn.XLOOKUP(tbl_kpi[[#This Row],[LocationID]], tbl_location[LocationID], tbl_location[LocationName], "UNMAPPED_LOCATION")</f>
        <v>Tool Crib</v>
      </c>
      <c r="D362" s="2">
        <v>630</v>
      </c>
      <c r="E362" s="2">
        <v>643</v>
      </c>
      <c r="F362" s="2">
        <f>tbl_kpi[[#This Row],[OnHandQty]]</f>
        <v>630</v>
      </c>
      <c r="G362" s="2">
        <f>tbl_kpi[[#This Row],[CountedQty]]-tbl_kpi[[#This Row],[ExpectedQty]]</f>
        <v>13</v>
      </c>
      <c r="H362" s="2">
        <f>IF(tbl_kpi[[#This Row],[ExpectedQty]]=0, 1, MAX(0, 1 - ABS(tbl_kpi[[#This Row],[VarianceQty]]) / tbl_kpi[[#This Row],[ExpectedQty]]))</f>
        <v>0.97936507936507933</v>
      </c>
      <c r="I362" s="2" t="str">
        <f>IF(tbl_kpi[[#This Row],[AccuracyPct]] &lt; 0.98, "Y", "N")</f>
        <v>Y</v>
      </c>
    </row>
    <row r="363" spans="1:9">
      <c r="A363" s="2">
        <v>442</v>
      </c>
      <c r="B363" s="2">
        <v>6</v>
      </c>
      <c r="C363" s="2" t="str">
        <f>_xlfn.XLOOKUP(tbl_kpi[[#This Row],[LocationID]], tbl_location[LocationID], tbl_location[LocationName], "UNMAPPED_LOCATION")</f>
        <v>Miscellaneous Storage</v>
      </c>
      <c r="D363" s="2">
        <v>524</v>
      </c>
      <c r="E363" s="2">
        <v>522</v>
      </c>
      <c r="F363" s="2">
        <f>tbl_kpi[[#This Row],[OnHandQty]]</f>
        <v>524</v>
      </c>
      <c r="G363" s="2">
        <f>tbl_kpi[[#This Row],[CountedQty]]-tbl_kpi[[#This Row],[ExpectedQty]]</f>
        <v>-2</v>
      </c>
      <c r="H363" s="2">
        <f>IF(tbl_kpi[[#This Row],[ExpectedQty]]=0, 1, MAX(0, 1 - ABS(tbl_kpi[[#This Row],[VarianceQty]]) / tbl_kpi[[#This Row],[ExpectedQty]]))</f>
        <v>0.99618320610687028</v>
      </c>
      <c r="I363" s="2" t="str">
        <f>IF(tbl_kpi[[#This Row],[AccuracyPct]] &lt; 0.98, "Y", "N")</f>
        <v>N</v>
      </c>
    </row>
    <row r="364" spans="1:9">
      <c r="A364" s="2">
        <v>442</v>
      </c>
      <c r="B364" s="2">
        <v>50</v>
      </c>
      <c r="C364" s="2" t="str">
        <f>_xlfn.XLOOKUP(tbl_kpi[[#This Row],[LocationID]], tbl_location[LocationID], tbl_location[LocationName], "UNMAPPED_LOCATION")</f>
        <v>Subassembly</v>
      </c>
      <c r="D364" s="2">
        <v>507</v>
      </c>
      <c r="E364" s="2">
        <v>519</v>
      </c>
      <c r="F364" s="2">
        <f>tbl_kpi[[#This Row],[OnHandQty]]</f>
        <v>507</v>
      </c>
      <c r="G364" s="2">
        <f>tbl_kpi[[#This Row],[CountedQty]]-tbl_kpi[[#This Row],[ExpectedQty]]</f>
        <v>12</v>
      </c>
      <c r="H364" s="2">
        <f>IF(tbl_kpi[[#This Row],[ExpectedQty]]=0, 1, MAX(0, 1 - ABS(tbl_kpi[[#This Row],[VarianceQty]]) / tbl_kpi[[#This Row],[ExpectedQty]]))</f>
        <v>0.97633136094674555</v>
      </c>
      <c r="I364" s="2" t="str">
        <f>IF(tbl_kpi[[#This Row],[AccuracyPct]] &lt; 0.98, "Y", "N")</f>
        <v>Y</v>
      </c>
    </row>
    <row r="365" spans="1:9">
      <c r="A365" s="2">
        <v>443</v>
      </c>
      <c r="B365" s="2">
        <v>1</v>
      </c>
      <c r="C365" s="2" t="str">
        <f>_xlfn.XLOOKUP(tbl_kpi[[#This Row],[LocationID]], tbl_location[LocationID], tbl_location[LocationName], "UNMAPPED_LOCATION")</f>
        <v>Tool Crib</v>
      </c>
      <c r="D365" s="2">
        <v>625</v>
      </c>
      <c r="E365" s="2">
        <v>622</v>
      </c>
      <c r="F365" s="2">
        <f>tbl_kpi[[#This Row],[OnHandQty]]</f>
        <v>625</v>
      </c>
      <c r="G365" s="2">
        <f>tbl_kpi[[#This Row],[CountedQty]]-tbl_kpi[[#This Row],[ExpectedQty]]</f>
        <v>-3</v>
      </c>
      <c r="H365" s="2">
        <f>IF(tbl_kpi[[#This Row],[ExpectedQty]]=0, 1, MAX(0, 1 - ABS(tbl_kpi[[#This Row],[VarianceQty]]) / tbl_kpi[[#This Row],[ExpectedQty]]))</f>
        <v>0.99519999999999997</v>
      </c>
      <c r="I365" s="2" t="str">
        <f>IF(tbl_kpi[[#This Row],[AccuracyPct]] &lt; 0.98, "Y", "N")</f>
        <v>N</v>
      </c>
    </row>
    <row r="366" spans="1:9">
      <c r="A366" s="2">
        <v>443</v>
      </c>
      <c r="B366" s="2">
        <v>6</v>
      </c>
      <c r="C366" s="2" t="str">
        <f>_xlfn.XLOOKUP(tbl_kpi[[#This Row],[LocationID]], tbl_location[LocationID], tbl_location[LocationName], "UNMAPPED_LOCATION")</f>
        <v>Miscellaneous Storage</v>
      </c>
      <c r="D366" s="2">
        <v>520</v>
      </c>
      <c r="E366" s="2">
        <v>505</v>
      </c>
      <c r="F366" s="2">
        <f>tbl_kpi[[#This Row],[OnHandQty]]</f>
        <v>520</v>
      </c>
      <c r="G366" s="2">
        <f>tbl_kpi[[#This Row],[CountedQty]]-tbl_kpi[[#This Row],[ExpectedQty]]</f>
        <v>-15</v>
      </c>
      <c r="H366" s="2">
        <f>IF(tbl_kpi[[#This Row],[ExpectedQty]]=0, 1, MAX(0, 1 - ABS(tbl_kpi[[#This Row],[VarianceQty]]) / tbl_kpi[[#This Row],[ExpectedQty]]))</f>
        <v>0.97115384615384615</v>
      </c>
      <c r="I366" s="2" t="str">
        <f>IF(tbl_kpi[[#This Row],[AccuracyPct]] &lt; 0.98, "Y", "N")</f>
        <v>Y</v>
      </c>
    </row>
    <row r="367" spans="1:9">
      <c r="A367" s="2">
        <v>443</v>
      </c>
      <c r="B367" s="2">
        <v>50</v>
      </c>
      <c r="C367" s="2" t="str">
        <f>_xlfn.XLOOKUP(tbl_kpi[[#This Row],[LocationID]], tbl_location[LocationID], tbl_location[LocationName], "UNMAPPED_LOCATION")</f>
        <v>Subassembly</v>
      </c>
      <c r="D367" s="2">
        <v>502</v>
      </c>
      <c r="E367" s="2">
        <v>515</v>
      </c>
      <c r="F367" s="2">
        <f>tbl_kpi[[#This Row],[OnHandQty]]</f>
        <v>502</v>
      </c>
      <c r="G367" s="2">
        <f>tbl_kpi[[#This Row],[CountedQty]]-tbl_kpi[[#This Row],[ExpectedQty]]</f>
        <v>13</v>
      </c>
      <c r="H367" s="2">
        <f>IF(tbl_kpi[[#This Row],[ExpectedQty]]=0, 1, MAX(0, 1 - ABS(tbl_kpi[[#This Row],[VarianceQty]]) / tbl_kpi[[#This Row],[ExpectedQty]]))</f>
        <v>0.97410358565737054</v>
      </c>
      <c r="I367" s="2" t="str">
        <f>IF(tbl_kpi[[#This Row],[AccuracyPct]] &lt; 0.98, "Y", "N")</f>
        <v>Y</v>
      </c>
    </row>
    <row r="368" spans="1:9">
      <c r="A368" s="2">
        <v>444</v>
      </c>
      <c r="B368" s="2">
        <v>1</v>
      </c>
      <c r="C368" s="2" t="str">
        <f>_xlfn.XLOOKUP(tbl_kpi[[#This Row],[LocationID]], tbl_location[LocationID], tbl_location[LocationName], "UNMAPPED_LOCATION")</f>
        <v>Tool Crib</v>
      </c>
      <c r="D368" s="2">
        <v>620</v>
      </c>
      <c r="E368" s="2">
        <v>623</v>
      </c>
      <c r="F368" s="2">
        <f>tbl_kpi[[#This Row],[OnHandQty]]</f>
        <v>620</v>
      </c>
      <c r="G368" s="2">
        <f>tbl_kpi[[#This Row],[CountedQty]]-tbl_kpi[[#This Row],[ExpectedQty]]</f>
        <v>3</v>
      </c>
      <c r="H368" s="2">
        <f>IF(tbl_kpi[[#This Row],[ExpectedQty]]=0, 1, MAX(0, 1 - ABS(tbl_kpi[[#This Row],[VarianceQty]]) / tbl_kpi[[#This Row],[ExpectedQty]]))</f>
        <v>0.99516129032258061</v>
      </c>
      <c r="I368" s="2" t="str">
        <f>IF(tbl_kpi[[#This Row],[AccuracyPct]] &lt; 0.98, "Y", "N")</f>
        <v>N</v>
      </c>
    </row>
    <row r="369" spans="1:9">
      <c r="A369" s="2">
        <v>444</v>
      </c>
      <c r="B369" s="2">
        <v>6</v>
      </c>
      <c r="C369" s="2" t="str">
        <f>_xlfn.XLOOKUP(tbl_kpi[[#This Row],[LocationID]], tbl_location[LocationID], tbl_location[LocationName], "UNMAPPED_LOCATION")</f>
        <v>Miscellaneous Storage</v>
      </c>
      <c r="D369" s="2">
        <v>515</v>
      </c>
      <c r="E369" s="2">
        <v>504</v>
      </c>
      <c r="F369" s="2">
        <f>tbl_kpi[[#This Row],[OnHandQty]]</f>
        <v>515</v>
      </c>
      <c r="G369" s="2">
        <f>tbl_kpi[[#This Row],[CountedQty]]-tbl_kpi[[#This Row],[ExpectedQty]]</f>
        <v>-11</v>
      </c>
      <c r="H369" s="2">
        <f>IF(tbl_kpi[[#This Row],[ExpectedQty]]=0, 1, MAX(0, 1 - ABS(tbl_kpi[[#This Row],[VarianceQty]]) / tbl_kpi[[#This Row],[ExpectedQty]]))</f>
        <v>0.97864077669902916</v>
      </c>
      <c r="I369" s="2" t="str">
        <f>IF(tbl_kpi[[#This Row],[AccuracyPct]] &lt; 0.98, "Y", "N")</f>
        <v>Y</v>
      </c>
    </row>
    <row r="370" spans="1:9">
      <c r="A370" s="2">
        <v>444</v>
      </c>
      <c r="B370" s="2">
        <v>50</v>
      </c>
      <c r="C370" s="2" t="str">
        <f>_xlfn.XLOOKUP(tbl_kpi[[#This Row],[LocationID]], tbl_location[LocationID], tbl_location[LocationName], "UNMAPPED_LOCATION")</f>
        <v>Subassembly</v>
      </c>
      <c r="D370" s="2">
        <v>497</v>
      </c>
      <c r="E370" s="2">
        <v>490</v>
      </c>
      <c r="F370" s="2">
        <f>tbl_kpi[[#This Row],[OnHandQty]]</f>
        <v>497</v>
      </c>
      <c r="G370" s="2">
        <f>tbl_kpi[[#This Row],[CountedQty]]-tbl_kpi[[#This Row],[ExpectedQty]]</f>
        <v>-7</v>
      </c>
      <c r="H370" s="2">
        <f>IF(tbl_kpi[[#This Row],[ExpectedQty]]=0, 1, MAX(0, 1 - ABS(tbl_kpi[[#This Row],[VarianceQty]]) / tbl_kpi[[#This Row],[ExpectedQty]]))</f>
        <v>0.9859154929577465</v>
      </c>
      <c r="I370" s="2" t="str">
        <f>IF(tbl_kpi[[#This Row],[AccuracyPct]] &lt; 0.98, "Y", "N")</f>
        <v>N</v>
      </c>
    </row>
    <row r="371" spans="1:9">
      <c r="A371" s="2">
        <v>445</v>
      </c>
      <c r="B371" s="2">
        <v>1</v>
      </c>
      <c r="C371" s="2" t="str">
        <f>_xlfn.XLOOKUP(tbl_kpi[[#This Row],[LocationID]], tbl_location[LocationID], tbl_location[LocationName], "UNMAPPED_LOCATION")</f>
        <v>Tool Crib</v>
      </c>
      <c r="D371" s="2">
        <v>616</v>
      </c>
      <c r="E371" s="2">
        <v>631</v>
      </c>
      <c r="F371" s="2">
        <f>tbl_kpi[[#This Row],[OnHandQty]]</f>
        <v>616</v>
      </c>
      <c r="G371" s="2">
        <f>tbl_kpi[[#This Row],[CountedQty]]-tbl_kpi[[#This Row],[ExpectedQty]]</f>
        <v>15</v>
      </c>
      <c r="H371" s="2">
        <f>IF(tbl_kpi[[#This Row],[ExpectedQty]]=0, 1, MAX(0, 1 - ABS(tbl_kpi[[#This Row],[VarianceQty]]) / tbl_kpi[[#This Row],[ExpectedQty]]))</f>
        <v>0.97564935064935066</v>
      </c>
      <c r="I371" s="2" t="str">
        <f>IF(tbl_kpi[[#This Row],[AccuracyPct]] &lt; 0.98, "Y", "N")</f>
        <v>Y</v>
      </c>
    </row>
    <row r="372" spans="1:9">
      <c r="A372" s="2">
        <v>445</v>
      </c>
      <c r="B372" s="2">
        <v>6</v>
      </c>
      <c r="C372" s="2" t="str">
        <f>_xlfn.XLOOKUP(tbl_kpi[[#This Row],[LocationID]], tbl_location[LocationID], tbl_location[LocationName], "UNMAPPED_LOCATION")</f>
        <v>Miscellaneous Storage</v>
      </c>
      <c r="D372" s="2">
        <v>510</v>
      </c>
      <c r="E372" s="2">
        <v>505</v>
      </c>
      <c r="F372" s="2">
        <f>tbl_kpi[[#This Row],[OnHandQty]]</f>
        <v>510</v>
      </c>
      <c r="G372" s="2">
        <f>tbl_kpi[[#This Row],[CountedQty]]-tbl_kpi[[#This Row],[ExpectedQty]]</f>
        <v>-5</v>
      </c>
      <c r="H372" s="2">
        <f>IF(tbl_kpi[[#This Row],[ExpectedQty]]=0, 1, MAX(0, 1 - ABS(tbl_kpi[[#This Row],[VarianceQty]]) / tbl_kpi[[#This Row],[ExpectedQty]]))</f>
        <v>0.99019607843137258</v>
      </c>
      <c r="I372" s="2" t="str">
        <f>IF(tbl_kpi[[#This Row],[AccuracyPct]] &lt; 0.98, "Y", "N")</f>
        <v>N</v>
      </c>
    </row>
    <row r="373" spans="1:9">
      <c r="A373" s="2">
        <v>445</v>
      </c>
      <c r="B373" s="2">
        <v>50</v>
      </c>
      <c r="C373" s="2" t="str">
        <f>_xlfn.XLOOKUP(tbl_kpi[[#This Row],[LocationID]], tbl_location[LocationID], tbl_location[LocationName], "UNMAPPED_LOCATION")</f>
        <v>Subassembly</v>
      </c>
      <c r="D373" s="2">
        <v>492</v>
      </c>
      <c r="E373" s="2">
        <v>500</v>
      </c>
      <c r="F373" s="2">
        <f>tbl_kpi[[#This Row],[OnHandQty]]</f>
        <v>492</v>
      </c>
      <c r="G373" s="2">
        <f>tbl_kpi[[#This Row],[CountedQty]]-tbl_kpi[[#This Row],[ExpectedQty]]</f>
        <v>8</v>
      </c>
      <c r="H373" s="2">
        <f>IF(tbl_kpi[[#This Row],[ExpectedQty]]=0, 1, MAX(0, 1 - ABS(tbl_kpi[[#This Row],[VarianceQty]]) / tbl_kpi[[#This Row],[ExpectedQty]]))</f>
        <v>0.98373983739837401</v>
      </c>
      <c r="I373" s="2" t="str">
        <f>IF(tbl_kpi[[#This Row],[AccuracyPct]] &lt; 0.98, "Y", "N")</f>
        <v>N</v>
      </c>
    </row>
    <row r="374" spans="1:9">
      <c r="A374" s="2">
        <v>446</v>
      </c>
      <c r="B374" s="2">
        <v>1</v>
      </c>
      <c r="C374" s="2" t="str">
        <f>_xlfn.XLOOKUP(tbl_kpi[[#This Row],[LocationID]], tbl_location[LocationID], tbl_location[LocationName], "UNMAPPED_LOCATION")</f>
        <v>Tool Crib</v>
      </c>
      <c r="D374" s="2">
        <v>611</v>
      </c>
      <c r="E374" s="2">
        <v>606</v>
      </c>
      <c r="F374" s="2">
        <f>tbl_kpi[[#This Row],[OnHandQty]]</f>
        <v>611</v>
      </c>
      <c r="G374" s="2">
        <f>tbl_kpi[[#This Row],[CountedQty]]-tbl_kpi[[#This Row],[ExpectedQty]]</f>
        <v>-5</v>
      </c>
      <c r="H374" s="2">
        <f>IF(tbl_kpi[[#This Row],[ExpectedQty]]=0, 1, MAX(0, 1 - ABS(tbl_kpi[[#This Row],[VarianceQty]]) / tbl_kpi[[#This Row],[ExpectedQty]]))</f>
        <v>0.99181669394435357</v>
      </c>
      <c r="I374" s="2" t="str">
        <f>IF(tbl_kpi[[#This Row],[AccuracyPct]] &lt; 0.98, "Y", "N")</f>
        <v>N</v>
      </c>
    </row>
    <row r="375" spans="1:9">
      <c r="A375" s="2">
        <v>446</v>
      </c>
      <c r="B375" s="2">
        <v>6</v>
      </c>
      <c r="C375" s="2" t="str">
        <f>_xlfn.XLOOKUP(tbl_kpi[[#This Row],[LocationID]], tbl_location[LocationID], tbl_location[LocationName], "UNMAPPED_LOCATION")</f>
        <v>Miscellaneous Storage</v>
      </c>
      <c r="D375" s="2">
        <v>505</v>
      </c>
      <c r="E375" s="2">
        <v>503</v>
      </c>
      <c r="F375" s="2">
        <f>tbl_kpi[[#This Row],[OnHandQty]]</f>
        <v>505</v>
      </c>
      <c r="G375" s="2">
        <f>tbl_kpi[[#This Row],[CountedQty]]-tbl_kpi[[#This Row],[ExpectedQty]]</f>
        <v>-2</v>
      </c>
      <c r="H375" s="2">
        <f>IF(tbl_kpi[[#This Row],[ExpectedQty]]=0, 1, MAX(0, 1 - ABS(tbl_kpi[[#This Row],[VarianceQty]]) / tbl_kpi[[#This Row],[ExpectedQty]]))</f>
        <v>0.99603960396039604</v>
      </c>
      <c r="I375" s="2" t="str">
        <f>IF(tbl_kpi[[#This Row],[AccuracyPct]] &lt; 0.98, "Y", "N")</f>
        <v>N</v>
      </c>
    </row>
    <row r="376" spans="1:9">
      <c r="A376" s="2">
        <v>446</v>
      </c>
      <c r="B376" s="2">
        <v>50</v>
      </c>
      <c r="C376" s="2" t="str">
        <f>_xlfn.XLOOKUP(tbl_kpi[[#This Row],[LocationID]], tbl_location[LocationID], tbl_location[LocationName], "UNMAPPED_LOCATION")</f>
        <v>Subassembly</v>
      </c>
      <c r="D376" s="2">
        <v>488</v>
      </c>
      <c r="E376" s="2">
        <v>478</v>
      </c>
      <c r="F376" s="2">
        <f>tbl_kpi[[#This Row],[OnHandQty]]</f>
        <v>488</v>
      </c>
      <c r="G376" s="2">
        <f>tbl_kpi[[#This Row],[CountedQty]]-tbl_kpi[[#This Row],[ExpectedQty]]</f>
        <v>-10</v>
      </c>
      <c r="H376" s="2">
        <f>IF(tbl_kpi[[#This Row],[ExpectedQty]]=0, 1, MAX(0, 1 - ABS(tbl_kpi[[#This Row],[VarianceQty]]) / tbl_kpi[[#This Row],[ExpectedQty]]))</f>
        <v>0.97950819672131151</v>
      </c>
      <c r="I376" s="2" t="str">
        <f>IF(tbl_kpi[[#This Row],[AccuracyPct]] &lt; 0.98, "Y", "N")</f>
        <v>Y</v>
      </c>
    </row>
    <row r="377" spans="1:9">
      <c r="A377" s="2">
        <v>447</v>
      </c>
      <c r="B377" s="2">
        <v>1</v>
      </c>
      <c r="C377" s="2" t="str">
        <f>_xlfn.XLOOKUP(tbl_kpi[[#This Row],[LocationID]], tbl_location[LocationID], tbl_location[LocationName], "UNMAPPED_LOCATION")</f>
        <v>Tool Crib</v>
      </c>
      <c r="D377" s="2">
        <v>606</v>
      </c>
      <c r="E377" s="2">
        <v>594</v>
      </c>
      <c r="F377" s="2">
        <f>tbl_kpi[[#This Row],[OnHandQty]]</f>
        <v>606</v>
      </c>
      <c r="G377" s="2">
        <f>tbl_kpi[[#This Row],[CountedQty]]-tbl_kpi[[#This Row],[ExpectedQty]]</f>
        <v>-12</v>
      </c>
      <c r="H377" s="2">
        <f>IF(tbl_kpi[[#This Row],[ExpectedQty]]=0, 1, MAX(0, 1 - ABS(tbl_kpi[[#This Row],[VarianceQty]]) / tbl_kpi[[#This Row],[ExpectedQty]]))</f>
        <v>0.98019801980198018</v>
      </c>
      <c r="I377" s="2" t="str">
        <f>IF(tbl_kpi[[#This Row],[AccuracyPct]] &lt; 0.98, "Y", "N")</f>
        <v>N</v>
      </c>
    </row>
    <row r="378" spans="1:9">
      <c r="A378" s="2">
        <v>447</v>
      </c>
      <c r="B378" s="2">
        <v>6</v>
      </c>
      <c r="C378" s="2" t="str">
        <f>_xlfn.XLOOKUP(tbl_kpi[[#This Row],[LocationID]], tbl_location[LocationID], tbl_location[LocationName], "UNMAPPED_LOCATION")</f>
        <v>Miscellaneous Storage</v>
      </c>
      <c r="D378" s="2">
        <v>500</v>
      </c>
      <c r="E378" s="2">
        <v>508</v>
      </c>
      <c r="F378" s="2">
        <f>tbl_kpi[[#This Row],[OnHandQty]]</f>
        <v>500</v>
      </c>
      <c r="G378" s="2">
        <f>tbl_kpi[[#This Row],[CountedQty]]-tbl_kpi[[#This Row],[ExpectedQty]]</f>
        <v>8</v>
      </c>
      <c r="H378" s="2">
        <f>IF(tbl_kpi[[#This Row],[ExpectedQty]]=0, 1, MAX(0, 1 - ABS(tbl_kpi[[#This Row],[VarianceQty]]) / tbl_kpi[[#This Row],[ExpectedQty]]))</f>
        <v>0.98399999999999999</v>
      </c>
      <c r="I378" s="2" t="str">
        <f>IF(tbl_kpi[[#This Row],[AccuracyPct]] &lt; 0.98, "Y", "N")</f>
        <v>N</v>
      </c>
    </row>
    <row r="379" spans="1:9">
      <c r="A379" s="2">
        <v>447</v>
      </c>
      <c r="B379" s="2">
        <v>50</v>
      </c>
      <c r="C379" s="2" t="str">
        <f>_xlfn.XLOOKUP(tbl_kpi[[#This Row],[LocationID]], tbl_location[LocationID], tbl_location[LocationName], "UNMAPPED_LOCATION")</f>
        <v>Subassembly</v>
      </c>
      <c r="D379" s="2">
        <v>483</v>
      </c>
      <c r="E379" s="2">
        <v>487</v>
      </c>
      <c r="F379" s="2">
        <f>tbl_kpi[[#This Row],[OnHandQty]]</f>
        <v>483</v>
      </c>
      <c r="G379" s="2">
        <f>tbl_kpi[[#This Row],[CountedQty]]-tbl_kpi[[#This Row],[ExpectedQty]]</f>
        <v>4</v>
      </c>
      <c r="H379" s="2">
        <f>IF(tbl_kpi[[#This Row],[ExpectedQty]]=0, 1, MAX(0, 1 - ABS(tbl_kpi[[#This Row],[VarianceQty]]) / tbl_kpi[[#This Row],[ExpectedQty]]))</f>
        <v>0.99171842650103514</v>
      </c>
      <c r="I379" s="2" t="str">
        <f>IF(tbl_kpi[[#This Row],[AccuracyPct]] &lt; 0.98, "Y", "N")</f>
        <v>N</v>
      </c>
    </row>
    <row r="380" spans="1:9">
      <c r="A380" s="2">
        <v>448</v>
      </c>
      <c r="B380" s="2">
        <v>1</v>
      </c>
      <c r="C380" s="2" t="str">
        <f>_xlfn.XLOOKUP(tbl_kpi[[#This Row],[LocationID]], tbl_location[LocationID], tbl_location[LocationName], "UNMAPPED_LOCATION")</f>
        <v>Tool Crib</v>
      </c>
      <c r="D380" s="2">
        <v>601</v>
      </c>
      <c r="E380" s="2">
        <v>614</v>
      </c>
      <c r="F380" s="2">
        <f>tbl_kpi[[#This Row],[OnHandQty]]</f>
        <v>601</v>
      </c>
      <c r="G380" s="2">
        <f>tbl_kpi[[#This Row],[CountedQty]]-tbl_kpi[[#This Row],[ExpectedQty]]</f>
        <v>13</v>
      </c>
      <c r="H380" s="2">
        <f>IF(tbl_kpi[[#This Row],[ExpectedQty]]=0, 1, MAX(0, 1 - ABS(tbl_kpi[[#This Row],[VarianceQty]]) / tbl_kpi[[#This Row],[ExpectedQty]]))</f>
        <v>0.97836938435940102</v>
      </c>
      <c r="I380" s="2" t="str">
        <f>IF(tbl_kpi[[#This Row],[AccuracyPct]] &lt; 0.98, "Y", "N")</f>
        <v>Y</v>
      </c>
    </row>
    <row r="381" spans="1:9">
      <c r="A381" s="2">
        <v>448</v>
      </c>
      <c r="B381" s="2">
        <v>6</v>
      </c>
      <c r="C381" s="2" t="str">
        <f>_xlfn.XLOOKUP(tbl_kpi[[#This Row],[LocationID]], tbl_location[LocationID], tbl_location[LocationName], "UNMAPPED_LOCATION")</f>
        <v>Miscellaneous Storage</v>
      </c>
      <c r="D381" s="2">
        <v>496</v>
      </c>
      <c r="E381" s="2">
        <v>490</v>
      </c>
      <c r="F381" s="2">
        <f>tbl_kpi[[#This Row],[OnHandQty]]</f>
        <v>496</v>
      </c>
      <c r="G381" s="2">
        <f>tbl_kpi[[#This Row],[CountedQty]]-tbl_kpi[[#This Row],[ExpectedQty]]</f>
        <v>-6</v>
      </c>
      <c r="H381" s="2">
        <f>IF(tbl_kpi[[#This Row],[ExpectedQty]]=0, 1, MAX(0, 1 - ABS(tbl_kpi[[#This Row],[VarianceQty]]) / tbl_kpi[[#This Row],[ExpectedQty]]))</f>
        <v>0.98790322580645162</v>
      </c>
      <c r="I381" s="2" t="str">
        <f>IF(tbl_kpi[[#This Row],[AccuracyPct]] &lt; 0.98, "Y", "N")</f>
        <v>N</v>
      </c>
    </row>
    <row r="382" spans="1:9">
      <c r="A382" s="2">
        <v>448</v>
      </c>
      <c r="B382" s="2">
        <v>50</v>
      </c>
      <c r="C382" s="2" t="str">
        <f>_xlfn.XLOOKUP(tbl_kpi[[#This Row],[LocationID]], tbl_location[LocationID], tbl_location[LocationName], "UNMAPPED_LOCATION")</f>
        <v>Subassembly</v>
      </c>
      <c r="D382" s="2">
        <v>478</v>
      </c>
      <c r="E382" s="2">
        <v>470</v>
      </c>
      <c r="F382" s="2">
        <f>tbl_kpi[[#This Row],[OnHandQty]]</f>
        <v>478</v>
      </c>
      <c r="G382" s="2">
        <f>tbl_kpi[[#This Row],[CountedQty]]-tbl_kpi[[#This Row],[ExpectedQty]]</f>
        <v>-8</v>
      </c>
      <c r="H382" s="2">
        <f>IF(tbl_kpi[[#This Row],[ExpectedQty]]=0, 1, MAX(0, 1 - ABS(tbl_kpi[[#This Row],[VarianceQty]]) / tbl_kpi[[#This Row],[ExpectedQty]]))</f>
        <v>0.98326359832635979</v>
      </c>
      <c r="I382" s="2" t="str">
        <f>IF(tbl_kpi[[#This Row],[AccuracyPct]] &lt; 0.98, "Y", "N")</f>
        <v>N</v>
      </c>
    </row>
    <row r="383" spans="1:9">
      <c r="A383" s="2">
        <v>449</v>
      </c>
      <c r="B383" s="2">
        <v>1</v>
      </c>
      <c r="C383" s="2" t="str">
        <f>_xlfn.XLOOKUP(tbl_kpi[[#This Row],[LocationID]], tbl_location[LocationID], tbl_location[LocationName], "UNMAPPED_LOCATION")</f>
        <v>Tool Crib</v>
      </c>
      <c r="D383" s="2">
        <v>596</v>
      </c>
      <c r="E383" s="2">
        <v>607</v>
      </c>
      <c r="F383" s="2">
        <f>tbl_kpi[[#This Row],[OnHandQty]]</f>
        <v>596</v>
      </c>
      <c r="G383" s="2">
        <f>tbl_kpi[[#This Row],[CountedQty]]-tbl_kpi[[#This Row],[ExpectedQty]]</f>
        <v>11</v>
      </c>
      <c r="H383" s="2">
        <f>IF(tbl_kpi[[#This Row],[ExpectedQty]]=0, 1, MAX(0, 1 - ABS(tbl_kpi[[#This Row],[VarianceQty]]) / tbl_kpi[[#This Row],[ExpectedQty]]))</f>
        <v>0.98154362416107377</v>
      </c>
      <c r="I383" s="2" t="str">
        <f>IF(tbl_kpi[[#This Row],[AccuracyPct]] &lt; 0.98, "Y", "N")</f>
        <v>N</v>
      </c>
    </row>
    <row r="384" spans="1:9">
      <c r="A384" s="2">
        <v>449</v>
      </c>
      <c r="B384" s="2">
        <v>6</v>
      </c>
      <c r="C384" s="2" t="str">
        <f>_xlfn.XLOOKUP(tbl_kpi[[#This Row],[LocationID]], tbl_location[LocationID], tbl_location[LocationName], "UNMAPPED_LOCATION")</f>
        <v>Miscellaneous Storage</v>
      </c>
      <c r="D384" s="2">
        <v>491</v>
      </c>
      <c r="E384" s="2">
        <v>486</v>
      </c>
      <c r="F384" s="2">
        <f>tbl_kpi[[#This Row],[OnHandQty]]</f>
        <v>491</v>
      </c>
      <c r="G384" s="2">
        <f>tbl_kpi[[#This Row],[CountedQty]]-tbl_kpi[[#This Row],[ExpectedQty]]</f>
        <v>-5</v>
      </c>
      <c r="H384" s="2">
        <f>IF(tbl_kpi[[#This Row],[ExpectedQty]]=0, 1, MAX(0, 1 - ABS(tbl_kpi[[#This Row],[VarianceQty]]) / tbl_kpi[[#This Row],[ExpectedQty]]))</f>
        <v>0.98981670061099791</v>
      </c>
      <c r="I384" s="2" t="str">
        <f>IF(tbl_kpi[[#This Row],[AccuracyPct]] &lt; 0.98, "Y", "N")</f>
        <v>N</v>
      </c>
    </row>
    <row r="385" spans="1:9">
      <c r="A385" s="2">
        <v>449</v>
      </c>
      <c r="B385" s="2">
        <v>50</v>
      </c>
      <c r="C385" s="2" t="str">
        <f>_xlfn.XLOOKUP(tbl_kpi[[#This Row],[LocationID]], tbl_location[LocationID], tbl_location[LocationName], "UNMAPPED_LOCATION")</f>
        <v>Subassembly</v>
      </c>
      <c r="D385" s="2">
        <v>473</v>
      </c>
      <c r="E385" s="2">
        <v>460</v>
      </c>
      <c r="F385" s="2">
        <f>tbl_kpi[[#This Row],[OnHandQty]]</f>
        <v>473</v>
      </c>
      <c r="G385" s="2">
        <f>tbl_kpi[[#This Row],[CountedQty]]-tbl_kpi[[#This Row],[ExpectedQty]]</f>
        <v>-13</v>
      </c>
      <c r="H385" s="2">
        <f>IF(tbl_kpi[[#This Row],[ExpectedQty]]=0, 1, MAX(0, 1 - ABS(tbl_kpi[[#This Row],[VarianceQty]]) / tbl_kpi[[#This Row],[ExpectedQty]]))</f>
        <v>0.97251585623678649</v>
      </c>
      <c r="I385" s="2" t="str">
        <f>IF(tbl_kpi[[#This Row],[AccuracyPct]] &lt; 0.98, "Y", "N")</f>
        <v>Y</v>
      </c>
    </row>
    <row r="386" spans="1:9">
      <c r="A386" s="2">
        <v>450</v>
      </c>
      <c r="B386" s="2">
        <v>1</v>
      </c>
      <c r="C386" s="2" t="str">
        <f>_xlfn.XLOOKUP(tbl_kpi[[#This Row],[LocationID]], tbl_location[LocationID], tbl_location[LocationName], "UNMAPPED_LOCATION")</f>
        <v>Tool Crib</v>
      </c>
      <c r="D386" s="2">
        <v>592</v>
      </c>
      <c r="E386" s="2">
        <v>608</v>
      </c>
      <c r="F386" s="2">
        <f>tbl_kpi[[#This Row],[OnHandQty]]</f>
        <v>592</v>
      </c>
      <c r="G386" s="2">
        <f>tbl_kpi[[#This Row],[CountedQty]]-tbl_kpi[[#This Row],[ExpectedQty]]</f>
        <v>16</v>
      </c>
      <c r="H386" s="2">
        <f>IF(tbl_kpi[[#This Row],[ExpectedQty]]=0, 1, MAX(0, 1 - ABS(tbl_kpi[[#This Row],[VarianceQty]]) / tbl_kpi[[#This Row],[ExpectedQty]]))</f>
        <v>0.97297297297297303</v>
      </c>
      <c r="I386" s="2" t="str">
        <f>IF(tbl_kpi[[#This Row],[AccuracyPct]] &lt; 0.98, "Y", "N")</f>
        <v>Y</v>
      </c>
    </row>
    <row r="387" spans="1:9">
      <c r="A387" s="2">
        <v>450</v>
      </c>
      <c r="B387" s="2">
        <v>6</v>
      </c>
      <c r="C387" s="2" t="str">
        <f>_xlfn.XLOOKUP(tbl_kpi[[#This Row],[LocationID]], tbl_location[LocationID], tbl_location[LocationName], "UNMAPPED_LOCATION")</f>
        <v>Miscellaneous Storage</v>
      </c>
      <c r="D387" s="2">
        <v>486</v>
      </c>
      <c r="E387" s="2">
        <v>486</v>
      </c>
      <c r="F387" s="2">
        <f>tbl_kpi[[#This Row],[OnHandQty]]</f>
        <v>486</v>
      </c>
      <c r="G387" s="2">
        <f>tbl_kpi[[#This Row],[CountedQty]]-tbl_kpi[[#This Row],[ExpectedQty]]</f>
        <v>0</v>
      </c>
      <c r="H387" s="2">
        <f>IF(tbl_kpi[[#This Row],[ExpectedQty]]=0, 1, MAX(0, 1 - ABS(tbl_kpi[[#This Row],[VarianceQty]]) / tbl_kpi[[#This Row],[ExpectedQty]]))</f>
        <v>1</v>
      </c>
      <c r="I387" s="2" t="str">
        <f>IF(tbl_kpi[[#This Row],[AccuracyPct]] &lt; 0.98, "Y", "N")</f>
        <v>N</v>
      </c>
    </row>
    <row r="388" spans="1:9">
      <c r="A388" s="2">
        <v>450</v>
      </c>
      <c r="B388" s="2">
        <v>50</v>
      </c>
      <c r="C388" s="2" t="str">
        <f>_xlfn.XLOOKUP(tbl_kpi[[#This Row],[LocationID]], tbl_location[LocationID], tbl_location[LocationName], "UNMAPPED_LOCATION")</f>
        <v>Subassembly</v>
      </c>
      <c r="D388" s="2">
        <v>468</v>
      </c>
      <c r="E388" s="2">
        <v>459</v>
      </c>
      <c r="F388" s="2">
        <f>tbl_kpi[[#This Row],[OnHandQty]]</f>
        <v>468</v>
      </c>
      <c r="G388" s="2">
        <f>tbl_kpi[[#This Row],[CountedQty]]-tbl_kpi[[#This Row],[ExpectedQty]]</f>
        <v>-9</v>
      </c>
      <c r="H388" s="2">
        <f>IF(tbl_kpi[[#This Row],[ExpectedQty]]=0, 1, MAX(0, 1 - ABS(tbl_kpi[[#This Row],[VarianceQty]]) / tbl_kpi[[#This Row],[ExpectedQty]]))</f>
        <v>0.98076923076923073</v>
      </c>
      <c r="I388" s="2" t="str">
        <f>IF(tbl_kpi[[#This Row],[AccuracyPct]] &lt; 0.98, "Y", "N")</f>
        <v>N</v>
      </c>
    </row>
    <row r="389" spans="1:9">
      <c r="A389" s="2">
        <v>451</v>
      </c>
      <c r="B389" s="2">
        <v>1</v>
      </c>
      <c r="C389" s="2" t="str">
        <f>_xlfn.XLOOKUP(tbl_kpi[[#This Row],[LocationID]], tbl_location[LocationID], tbl_location[LocationName], "UNMAPPED_LOCATION")</f>
        <v>Tool Crib</v>
      </c>
      <c r="D389" s="2">
        <v>595</v>
      </c>
      <c r="E389" s="2">
        <v>587</v>
      </c>
      <c r="F389" s="2">
        <f>tbl_kpi[[#This Row],[OnHandQty]]</f>
        <v>595</v>
      </c>
      <c r="G389" s="2">
        <f>tbl_kpi[[#This Row],[CountedQty]]-tbl_kpi[[#This Row],[ExpectedQty]]</f>
        <v>-8</v>
      </c>
      <c r="H389" s="2">
        <f>IF(tbl_kpi[[#This Row],[ExpectedQty]]=0, 1, MAX(0, 1 - ABS(tbl_kpi[[#This Row],[VarianceQty]]) / tbl_kpi[[#This Row],[ExpectedQty]]))</f>
        <v>0.98655462184873954</v>
      </c>
      <c r="I389" s="2" t="str">
        <f>IF(tbl_kpi[[#This Row],[AccuracyPct]] &lt; 0.98, "Y", "N")</f>
        <v>N</v>
      </c>
    </row>
    <row r="390" spans="1:9">
      <c r="A390" s="2">
        <v>451</v>
      </c>
      <c r="B390" s="2">
        <v>6</v>
      </c>
      <c r="C390" s="2" t="str">
        <f>_xlfn.XLOOKUP(tbl_kpi[[#This Row],[LocationID]], tbl_location[LocationID], tbl_location[LocationName], "UNMAPPED_LOCATION")</f>
        <v>Miscellaneous Storage</v>
      </c>
      <c r="D390" s="2">
        <v>489</v>
      </c>
      <c r="E390" s="2">
        <v>484</v>
      </c>
      <c r="F390" s="2">
        <f>tbl_kpi[[#This Row],[OnHandQty]]</f>
        <v>489</v>
      </c>
      <c r="G390" s="2">
        <f>tbl_kpi[[#This Row],[CountedQty]]-tbl_kpi[[#This Row],[ExpectedQty]]</f>
        <v>-5</v>
      </c>
      <c r="H390" s="2">
        <f>IF(tbl_kpi[[#This Row],[ExpectedQty]]=0, 1, MAX(0, 1 - ABS(tbl_kpi[[#This Row],[VarianceQty]]) / tbl_kpi[[#This Row],[ExpectedQty]]))</f>
        <v>0.9897750511247444</v>
      </c>
      <c r="I390" s="2" t="str">
        <f>IF(tbl_kpi[[#This Row],[AccuracyPct]] &lt; 0.98, "Y", "N")</f>
        <v>N</v>
      </c>
    </row>
    <row r="391" spans="1:9">
      <c r="A391" s="2">
        <v>451</v>
      </c>
      <c r="B391" s="2">
        <v>50</v>
      </c>
      <c r="C391" s="2" t="str">
        <f>_xlfn.XLOOKUP(tbl_kpi[[#This Row],[LocationID]], tbl_location[LocationID], tbl_location[LocationName], "UNMAPPED_LOCATION")</f>
        <v>Subassembly</v>
      </c>
      <c r="D391" s="2">
        <v>472</v>
      </c>
      <c r="E391" s="2">
        <v>461</v>
      </c>
      <c r="F391" s="2">
        <f>tbl_kpi[[#This Row],[OnHandQty]]</f>
        <v>472</v>
      </c>
      <c r="G391" s="2">
        <f>tbl_kpi[[#This Row],[CountedQty]]-tbl_kpi[[#This Row],[ExpectedQty]]</f>
        <v>-11</v>
      </c>
      <c r="H391" s="2">
        <f>IF(tbl_kpi[[#This Row],[ExpectedQty]]=0, 1, MAX(0, 1 - ABS(tbl_kpi[[#This Row],[VarianceQty]]) / tbl_kpi[[#This Row],[ExpectedQty]]))</f>
        <v>0.97669491525423724</v>
      </c>
      <c r="I391" s="2" t="str">
        <f>IF(tbl_kpi[[#This Row],[AccuracyPct]] &lt; 0.98, "Y", "N")</f>
        <v>Y</v>
      </c>
    </row>
    <row r="392" spans="1:9">
      <c r="A392" s="2">
        <v>452</v>
      </c>
      <c r="B392" s="2">
        <v>1</v>
      </c>
      <c r="C392" s="2" t="str">
        <f>_xlfn.XLOOKUP(tbl_kpi[[#This Row],[LocationID]], tbl_location[LocationID], tbl_location[LocationName], "UNMAPPED_LOCATION")</f>
        <v>Tool Crib</v>
      </c>
      <c r="D392" s="2">
        <v>598</v>
      </c>
      <c r="E392" s="2">
        <v>613</v>
      </c>
      <c r="F392" s="2">
        <f>tbl_kpi[[#This Row],[OnHandQty]]</f>
        <v>598</v>
      </c>
      <c r="G392" s="2">
        <f>tbl_kpi[[#This Row],[CountedQty]]-tbl_kpi[[#This Row],[ExpectedQty]]</f>
        <v>15</v>
      </c>
      <c r="H392" s="2">
        <f>IF(tbl_kpi[[#This Row],[ExpectedQty]]=0, 1, MAX(0, 1 - ABS(tbl_kpi[[#This Row],[VarianceQty]]) / tbl_kpi[[#This Row],[ExpectedQty]]))</f>
        <v>0.97491638795986624</v>
      </c>
      <c r="I392" s="2" t="str">
        <f>IF(tbl_kpi[[#This Row],[AccuracyPct]] &lt; 0.98, "Y", "N")</f>
        <v>Y</v>
      </c>
    </row>
    <row r="393" spans="1:9">
      <c r="A393" s="2">
        <v>452</v>
      </c>
      <c r="B393" s="2">
        <v>6</v>
      </c>
      <c r="C393" s="2" t="str">
        <f>_xlfn.XLOOKUP(tbl_kpi[[#This Row],[LocationID]], tbl_location[LocationID], tbl_location[LocationName], "UNMAPPED_LOCATION")</f>
        <v>Miscellaneous Storage</v>
      </c>
      <c r="D393" s="2">
        <v>492</v>
      </c>
      <c r="E393" s="2">
        <v>478</v>
      </c>
      <c r="F393" s="2">
        <f>tbl_kpi[[#This Row],[OnHandQty]]</f>
        <v>492</v>
      </c>
      <c r="G393" s="2">
        <f>tbl_kpi[[#This Row],[CountedQty]]-tbl_kpi[[#This Row],[ExpectedQty]]</f>
        <v>-14</v>
      </c>
      <c r="H393" s="2">
        <f>IF(tbl_kpi[[#This Row],[ExpectedQty]]=0, 1, MAX(0, 1 - ABS(tbl_kpi[[#This Row],[VarianceQty]]) / tbl_kpi[[#This Row],[ExpectedQty]]))</f>
        <v>0.97154471544715448</v>
      </c>
      <c r="I393" s="2" t="str">
        <f>IF(tbl_kpi[[#This Row],[AccuracyPct]] &lt; 0.98, "Y", "N")</f>
        <v>Y</v>
      </c>
    </row>
    <row r="394" spans="1:9">
      <c r="A394" s="2">
        <v>452</v>
      </c>
      <c r="B394" s="2">
        <v>50</v>
      </c>
      <c r="C394" s="2" t="str">
        <f>_xlfn.XLOOKUP(tbl_kpi[[#This Row],[LocationID]], tbl_location[LocationID], tbl_location[LocationName], "UNMAPPED_LOCATION")</f>
        <v>Subassembly</v>
      </c>
      <c r="D394" s="2">
        <v>475</v>
      </c>
      <c r="E394" s="2">
        <v>487</v>
      </c>
      <c r="F394" s="2">
        <f>tbl_kpi[[#This Row],[OnHandQty]]</f>
        <v>475</v>
      </c>
      <c r="G394" s="2">
        <f>tbl_kpi[[#This Row],[CountedQty]]-tbl_kpi[[#This Row],[ExpectedQty]]</f>
        <v>12</v>
      </c>
      <c r="H394" s="2">
        <f>IF(tbl_kpi[[#This Row],[ExpectedQty]]=0, 1, MAX(0, 1 - ABS(tbl_kpi[[#This Row],[VarianceQty]]) / tbl_kpi[[#This Row],[ExpectedQty]]))</f>
        <v>0.97473684210526312</v>
      </c>
      <c r="I394" s="2" t="str">
        <f>IF(tbl_kpi[[#This Row],[AccuracyPct]] &lt; 0.98, "Y", "N")</f>
        <v>Y</v>
      </c>
    </row>
    <row r="395" spans="1:9">
      <c r="A395" s="2">
        <v>453</v>
      </c>
      <c r="B395" s="2">
        <v>1</v>
      </c>
      <c r="C395" s="2" t="str">
        <f>_xlfn.XLOOKUP(tbl_kpi[[#This Row],[LocationID]], tbl_location[LocationID], tbl_location[LocationName], "UNMAPPED_LOCATION")</f>
        <v>Tool Crib</v>
      </c>
      <c r="D395" s="2">
        <v>601</v>
      </c>
      <c r="E395" s="2">
        <v>607</v>
      </c>
      <c r="F395" s="2">
        <f>tbl_kpi[[#This Row],[OnHandQty]]</f>
        <v>601</v>
      </c>
      <c r="G395" s="2">
        <f>tbl_kpi[[#This Row],[CountedQty]]-tbl_kpi[[#This Row],[ExpectedQty]]</f>
        <v>6</v>
      </c>
      <c r="H395" s="2">
        <f>IF(tbl_kpi[[#This Row],[ExpectedQty]]=0, 1, MAX(0, 1 - ABS(tbl_kpi[[#This Row],[VarianceQty]]) / tbl_kpi[[#This Row],[ExpectedQty]]))</f>
        <v>0.99001663893510816</v>
      </c>
      <c r="I395" s="2" t="str">
        <f>IF(tbl_kpi[[#This Row],[AccuracyPct]] &lt; 0.98, "Y", "N")</f>
        <v>N</v>
      </c>
    </row>
    <row r="396" spans="1:9">
      <c r="A396" s="2">
        <v>453</v>
      </c>
      <c r="B396" s="2">
        <v>6</v>
      </c>
      <c r="C396" s="2" t="str">
        <f>_xlfn.XLOOKUP(tbl_kpi[[#This Row],[LocationID]], tbl_location[LocationID], tbl_location[LocationName], "UNMAPPED_LOCATION")</f>
        <v>Miscellaneous Storage</v>
      </c>
      <c r="D396" s="2">
        <v>496</v>
      </c>
      <c r="E396" s="2">
        <v>491</v>
      </c>
      <c r="F396" s="2">
        <f>tbl_kpi[[#This Row],[OnHandQty]]</f>
        <v>496</v>
      </c>
      <c r="G396" s="2">
        <f>tbl_kpi[[#This Row],[CountedQty]]-tbl_kpi[[#This Row],[ExpectedQty]]</f>
        <v>-5</v>
      </c>
      <c r="H396" s="2">
        <f>IF(tbl_kpi[[#This Row],[ExpectedQty]]=0, 1, MAX(0, 1 - ABS(tbl_kpi[[#This Row],[VarianceQty]]) / tbl_kpi[[#This Row],[ExpectedQty]]))</f>
        <v>0.98991935483870963</v>
      </c>
      <c r="I396" s="2" t="str">
        <f>IF(tbl_kpi[[#This Row],[AccuracyPct]] &lt; 0.98, "Y", "N")</f>
        <v>N</v>
      </c>
    </row>
    <row r="397" spans="1:9">
      <c r="A397" s="2">
        <v>453</v>
      </c>
      <c r="B397" s="2">
        <v>50</v>
      </c>
      <c r="C397" s="2" t="str">
        <f>_xlfn.XLOOKUP(tbl_kpi[[#This Row],[LocationID]], tbl_location[LocationID], tbl_location[LocationName], "UNMAPPED_LOCATION")</f>
        <v>Subassembly</v>
      </c>
      <c r="D397" s="2">
        <v>478</v>
      </c>
      <c r="E397" s="2">
        <v>472</v>
      </c>
      <c r="F397" s="2">
        <f>tbl_kpi[[#This Row],[OnHandQty]]</f>
        <v>478</v>
      </c>
      <c r="G397" s="2">
        <f>tbl_kpi[[#This Row],[CountedQty]]-tbl_kpi[[#This Row],[ExpectedQty]]</f>
        <v>-6</v>
      </c>
      <c r="H397" s="2">
        <f>IF(tbl_kpi[[#This Row],[ExpectedQty]]=0, 1, MAX(0, 1 - ABS(tbl_kpi[[#This Row],[VarianceQty]]) / tbl_kpi[[#This Row],[ExpectedQty]]))</f>
        <v>0.9874476987447699</v>
      </c>
      <c r="I397" s="2" t="str">
        <f>IF(tbl_kpi[[#This Row],[AccuracyPct]] &lt; 0.98, "Y", "N")</f>
        <v>N</v>
      </c>
    </row>
    <row r="398" spans="1:9">
      <c r="A398" s="2">
        <v>454</v>
      </c>
      <c r="B398" s="2">
        <v>1</v>
      </c>
      <c r="C398" s="2" t="str">
        <f>_xlfn.XLOOKUP(tbl_kpi[[#This Row],[LocationID]], tbl_location[LocationID], tbl_location[LocationName], "UNMAPPED_LOCATION")</f>
        <v>Tool Crib</v>
      </c>
      <c r="D398" s="2">
        <v>604</v>
      </c>
      <c r="E398" s="2">
        <v>603</v>
      </c>
      <c r="F398" s="2">
        <f>tbl_kpi[[#This Row],[OnHandQty]]</f>
        <v>604</v>
      </c>
      <c r="G398" s="2">
        <f>tbl_kpi[[#This Row],[CountedQty]]-tbl_kpi[[#This Row],[ExpectedQty]]</f>
        <v>-1</v>
      </c>
      <c r="H398" s="2">
        <f>IF(tbl_kpi[[#This Row],[ExpectedQty]]=0, 1, MAX(0, 1 - ABS(tbl_kpi[[#This Row],[VarianceQty]]) / tbl_kpi[[#This Row],[ExpectedQty]]))</f>
        <v>0.9983443708609272</v>
      </c>
      <c r="I398" s="2" t="str">
        <f>IF(tbl_kpi[[#This Row],[AccuracyPct]] &lt; 0.98, "Y", "N")</f>
        <v>N</v>
      </c>
    </row>
    <row r="399" spans="1:9">
      <c r="A399" s="2">
        <v>454</v>
      </c>
      <c r="B399" s="2">
        <v>6</v>
      </c>
      <c r="C399" s="2" t="str">
        <f>_xlfn.XLOOKUP(tbl_kpi[[#This Row],[LocationID]], tbl_location[LocationID], tbl_location[LocationName], "UNMAPPED_LOCATION")</f>
        <v>Miscellaneous Storage</v>
      </c>
      <c r="D399" s="2">
        <v>499</v>
      </c>
      <c r="E399" s="2">
        <v>502</v>
      </c>
      <c r="F399" s="2">
        <f>tbl_kpi[[#This Row],[OnHandQty]]</f>
        <v>499</v>
      </c>
      <c r="G399" s="2">
        <f>tbl_kpi[[#This Row],[CountedQty]]-tbl_kpi[[#This Row],[ExpectedQty]]</f>
        <v>3</v>
      </c>
      <c r="H399" s="2">
        <f>IF(tbl_kpi[[#This Row],[ExpectedQty]]=0, 1, MAX(0, 1 - ABS(tbl_kpi[[#This Row],[VarianceQty]]) / tbl_kpi[[#This Row],[ExpectedQty]]))</f>
        <v>0.9939879759519038</v>
      </c>
      <c r="I399" s="2" t="str">
        <f>IF(tbl_kpi[[#This Row],[AccuracyPct]] &lt; 0.98, "Y", "N")</f>
        <v>N</v>
      </c>
    </row>
    <row r="400" spans="1:9">
      <c r="A400" s="2">
        <v>454</v>
      </c>
      <c r="B400" s="2">
        <v>50</v>
      </c>
      <c r="C400" s="2" t="str">
        <f>_xlfn.XLOOKUP(tbl_kpi[[#This Row],[LocationID]], tbl_location[LocationID], tbl_location[LocationName], "UNMAPPED_LOCATION")</f>
        <v>Subassembly</v>
      </c>
      <c r="D400" s="2">
        <v>481</v>
      </c>
      <c r="E400" s="2">
        <v>495</v>
      </c>
      <c r="F400" s="2">
        <f>tbl_kpi[[#This Row],[OnHandQty]]</f>
        <v>481</v>
      </c>
      <c r="G400" s="2">
        <f>tbl_kpi[[#This Row],[CountedQty]]-tbl_kpi[[#This Row],[ExpectedQty]]</f>
        <v>14</v>
      </c>
      <c r="H400" s="2">
        <f>IF(tbl_kpi[[#This Row],[ExpectedQty]]=0, 1, MAX(0, 1 - ABS(tbl_kpi[[#This Row],[VarianceQty]]) / tbl_kpi[[#This Row],[ExpectedQty]]))</f>
        <v>0.97089397089397089</v>
      </c>
      <c r="I400" s="2" t="str">
        <f>IF(tbl_kpi[[#This Row],[AccuracyPct]] &lt; 0.98, "Y", "N")</f>
        <v>Y</v>
      </c>
    </row>
    <row r="401" spans="1:9">
      <c r="A401" s="2">
        <v>455</v>
      </c>
      <c r="B401" s="2">
        <v>1</v>
      </c>
      <c r="C401" s="2" t="str">
        <f>_xlfn.XLOOKUP(tbl_kpi[[#This Row],[LocationID]], tbl_location[LocationID], tbl_location[LocationName], "UNMAPPED_LOCATION")</f>
        <v>Tool Crib</v>
      </c>
      <c r="D401" s="2">
        <v>608</v>
      </c>
      <c r="E401" s="2">
        <v>604</v>
      </c>
      <c r="F401" s="2">
        <f>tbl_kpi[[#This Row],[OnHandQty]]</f>
        <v>608</v>
      </c>
      <c r="G401" s="2">
        <f>tbl_kpi[[#This Row],[CountedQty]]-tbl_kpi[[#This Row],[ExpectedQty]]</f>
        <v>-4</v>
      </c>
      <c r="H401" s="2">
        <f>IF(tbl_kpi[[#This Row],[ExpectedQty]]=0, 1, MAX(0, 1 - ABS(tbl_kpi[[#This Row],[VarianceQty]]) / tbl_kpi[[#This Row],[ExpectedQty]]))</f>
        <v>0.99342105263157898</v>
      </c>
      <c r="I401" s="2" t="str">
        <f>IF(tbl_kpi[[#This Row],[AccuracyPct]] &lt; 0.98, "Y", "N")</f>
        <v>N</v>
      </c>
    </row>
    <row r="402" spans="1:9">
      <c r="A402" s="2">
        <v>455</v>
      </c>
      <c r="B402" s="2">
        <v>6</v>
      </c>
      <c r="C402" s="2" t="str">
        <f>_xlfn.XLOOKUP(tbl_kpi[[#This Row],[LocationID]], tbl_location[LocationID], tbl_location[LocationName], "UNMAPPED_LOCATION")</f>
        <v>Miscellaneous Storage</v>
      </c>
      <c r="D402" s="2">
        <v>502</v>
      </c>
      <c r="E402" s="2">
        <v>505</v>
      </c>
      <c r="F402" s="2">
        <f>tbl_kpi[[#This Row],[OnHandQty]]</f>
        <v>502</v>
      </c>
      <c r="G402" s="2">
        <f>tbl_kpi[[#This Row],[CountedQty]]-tbl_kpi[[#This Row],[ExpectedQty]]</f>
        <v>3</v>
      </c>
      <c r="H402" s="2">
        <f>IF(tbl_kpi[[#This Row],[ExpectedQty]]=0, 1, MAX(0, 1 - ABS(tbl_kpi[[#This Row],[VarianceQty]]) / tbl_kpi[[#This Row],[ExpectedQty]]))</f>
        <v>0.99402390438247012</v>
      </c>
      <c r="I402" s="2" t="str">
        <f>IF(tbl_kpi[[#This Row],[AccuracyPct]] &lt; 0.98, "Y", "N")</f>
        <v>N</v>
      </c>
    </row>
    <row r="403" spans="1:9">
      <c r="A403" s="2">
        <v>455</v>
      </c>
      <c r="B403" s="2">
        <v>50</v>
      </c>
      <c r="C403" s="2" t="str">
        <f>_xlfn.XLOOKUP(tbl_kpi[[#This Row],[LocationID]], tbl_location[LocationID], tbl_location[LocationName], "UNMAPPED_LOCATION")</f>
        <v>Subassembly</v>
      </c>
      <c r="D403" s="2">
        <v>484</v>
      </c>
      <c r="E403" s="2">
        <v>480</v>
      </c>
      <c r="F403" s="2">
        <f>tbl_kpi[[#This Row],[OnHandQty]]</f>
        <v>484</v>
      </c>
      <c r="G403" s="2">
        <f>tbl_kpi[[#This Row],[CountedQty]]-tbl_kpi[[#This Row],[ExpectedQty]]</f>
        <v>-4</v>
      </c>
      <c r="H403" s="2">
        <f>IF(tbl_kpi[[#This Row],[ExpectedQty]]=0, 1, MAX(0, 1 - ABS(tbl_kpi[[#This Row],[VarianceQty]]) / tbl_kpi[[#This Row],[ExpectedQty]]))</f>
        <v>0.99173553719008267</v>
      </c>
      <c r="I403" s="2" t="str">
        <f>IF(tbl_kpi[[#This Row],[AccuracyPct]] &lt; 0.98, "Y", "N")</f>
        <v>N</v>
      </c>
    </row>
    <row r="404" spans="1:9">
      <c r="A404" s="2">
        <v>456</v>
      </c>
      <c r="B404" s="2">
        <v>1</v>
      </c>
      <c r="C404" s="2" t="str">
        <f>_xlfn.XLOOKUP(tbl_kpi[[#This Row],[LocationID]], tbl_location[LocationID], tbl_location[LocationName], "UNMAPPED_LOCATION")</f>
        <v>Tool Crib</v>
      </c>
      <c r="D404" s="2">
        <v>611</v>
      </c>
      <c r="E404" s="2">
        <v>612</v>
      </c>
      <c r="F404" s="2">
        <f>tbl_kpi[[#This Row],[OnHandQty]]</f>
        <v>611</v>
      </c>
      <c r="G404" s="2">
        <f>tbl_kpi[[#This Row],[CountedQty]]-tbl_kpi[[#This Row],[ExpectedQty]]</f>
        <v>1</v>
      </c>
      <c r="H404" s="2">
        <f>IF(tbl_kpi[[#This Row],[ExpectedQty]]=0, 1, MAX(0, 1 - ABS(tbl_kpi[[#This Row],[VarianceQty]]) / tbl_kpi[[#This Row],[ExpectedQty]]))</f>
        <v>0.99836333878887074</v>
      </c>
      <c r="I404" s="2" t="str">
        <f>IF(tbl_kpi[[#This Row],[AccuracyPct]] &lt; 0.98, "Y", "N")</f>
        <v>N</v>
      </c>
    </row>
    <row r="405" spans="1:9">
      <c r="A405" s="2">
        <v>456</v>
      </c>
      <c r="B405" s="2">
        <v>6</v>
      </c>
      <c r="C405" s="2" t="str">
        <f>_xlfn.XLOOKUP(tbl_kpi[[#This Row],[LocationID]], tbl_location[LocationID], tbl_location[LocationName], "UNMAPPED_LOCATION")</f>
        <v>Miscellaneous Storage</v>
      </c>
      <c r="D405" s="2">
        <v>505</v>
      </c>
      <c r="E405" s="2">
        <v>516</v>
      </c>
      <c r="F405" s="2">
        <f>tbl_kpi[[#This Row],[OnHandQty]]</f>
        <v>505</v>
      </c>
      <c r="G405" s="2">
        <f>tbl_kpi[[#This Row],[CountedQty]]-tbl_kpi[[#This Row],[ExpectedQty]]</f>
        <v>11</v>
      </c>
      <c r="H405" s="2">
        <f>IF(tbl_kpi[[#This Row],[ExpectedQty]]=0, 1, MAX(0, 1 - ABS(tbl_kpi[[#This Row],[VarianceQty]]) / tbl_kpi[[#This Row],[ExpectedQty]]))</f>
        <v>0.9782178217821782</v>
      </c>
      <c r="I405" s="2" t="str">
        <f>IF(tbl_kpi[[#This Row],[AccuracyPct]] &lt; 0.98, "Y", "N")</f>
        <v>Y</v>
      </c>
    </row>
    <row r="406" spans="1:9">
      <c r="A406" s="2">
        <v>456</v>
      </c>
      <c r="B406" s="2">
        <v>50</v>
      </c>
      <c r="C406" s="2" t="str">
        <f>_xlfn.XLOOKUP(tbl_kpi[[#This Row],[LocationID]], tbl_location[LocationID], tbl_location[LocationName], "UNMAPPED_LOCATION")</f>
        <v>Subassembly</v>
      </c>
      <c r="D406" s="2">
        <v>488</v>
      </c>
      <c r="E406" s="2">
        <v>478</v>
      </c>
      <c r="F406" s="2">
        <f>tbl_kpi[[#This Row],[OnHandQty]]</f>
        <v>488</v>
      </c>
      <c r="G406" s="2">
        <f>tbl_kpi[[#This Row],[CountedQty]]-tbl_kpi[[#This Row],[ExpectedQty]]</f>
        <v>-10</v>
      </c>
      <c r="H406" s="2">
        <f>IF(tbl_kpi[[#This Row],[ExpectedQty]]=0, 1, MAX(0, 1 - ABS(tbl_kpi[[#This Row],[VarianceQty]]) / tbl_kpi[[#This Row],[ExpectedQty]]))</f>
        <v>0.97950819672131151</v>
      </c>
      <c r="I406" s="2" t="str">
        <f>IF(tbl_kpi[[#This Row],[AccuracyPct]] &lt; 0.98, "Y", "N")</f>
        <v>Y</v>
      </c>
    </row>
    <row r="407" spans="1:9">
      <c r="A407" s="2">
        <v>457</v>
      </c>
      <c r="B407" s="2">
        <v>1</v>
      </c>
      <c r="C407" s="2" t="str">
        <f>_xlfn.XLOOKUP(tbl_kpi[[#This Row],[LocationID]], tbl_location[LocationID], tbl_location[LocationName], "UNMAPPED_LOCATION")</f>
        <v>Tool Crib</v>
      </c>
      <c r="D407" s="2">
        <v>614</v>
      </c>
      <c r="E407" s="2">
        <v>618</v>
      </c>
      <c r="F407" s="2">
        <f>tbl_kpi[[#This Row],[OnHandQty]]</f>
        <v>614</v>
      </c>
      <c r="G407" s="2">
        <f>tbl_kpi[[#This Row],[CountedQty]]-tbl_kpi[[#This Row],[ExpectedQty]]</f>
        <v>4</v>
      </c>
      <c r="H407" s="2">
        <f>IF(tbl_kpi[[#This Row],[ExpectedQty]]=0, 1, MAX(0, 1 - ABS(tbl_kpi[[#This Row],[VarianceQty]]) / tbl_kpi[[#This Row],[ExpectedQty]]))</f>
        <v>0.99348534201954397</v>
      </c>
      <c r="I407" s="2" t="str">
        <f>IF(tbl_kpi[[#This Row],[AccuracyPct]] &lt; 0.98, "Y", "N")</f>
        <v>N</v>
      </c>
    </row>
    <row r="408" spans="1:9">
      <c r="A408" s="2">
        <v>457</v>
      </c>
      <c r="B408" s="2">
        <v>6</v>
      </c>
      <c r="C408" s="2" t="str">
        <f>_xlfn.XLOOKUP(tbl_kpi[[#This Row],[LocationID]], tbl_location[LocationID], tbl_location[LocationName], "UNMAPPED_LOCATION")</f>
        <v>Miscellaneous Storage</v>
      </c>
      <c r="D408" s="2">
        <v>508</v>
      </c>
      <c r="E408" s="2">
        <v>513</v>
      </c>
      <c r="F408" s="2">
        <f>tbl_kpi[[#This Row],[OnHandQty]]</f>
        <v>508</v>
      </c>
      <c r="G408" s="2">
        <f>tbl_kpi[[#This Row],[CountedQty]]-tbl_kpi[[#This Row],[ExpectedQty]]</f>
        <v>5</v>
      </c>
      <c r="H408" s="2">
        <f>IF(tbl_kpi[[#This Row],[ExpectedQty]]=0, 1, MAX(0, 1 - ABS(tbl_kpi[[#This Row],[VarianceQty]]) / tbl_kpi[[#This Row],[ExpectedQty]]))</f>
        <v>0.99015748031496065</v>
      </c>
      <c r="I408" s="2" t="str">
        <f>IF(tbl_kpi[[#This Row],[AccuracyPct]] &lt; 0.98, "Y", "N")</f>
        <v>N</v>
      </c>
    </row>
    <row r="409" spans="1:9">
      <c r="A409" s="2">
        <v>457</v>
      </c>
      <c r="B409" s="2">
        <v>50</v>
      </c>
      <c r="C409" s="2" t="str">
        <f>_xlfn.XLOOKUP(tbl_kpi[[#This Row],[LocationID]], tbl_location[LocationID], tbl_location[LocationName], "UNMAPPED_LOCATION")</f>
        <v>Subassembly</v>
      </c>
      <c r="D409" s="2">
        <v>491</v>
      </c>
      <c r="E409" s="2">
        <v>501</v>
      </c>
      <c r="F409" s="2">
        <f>tbl_kpi[[#This Row],[OnHandQty]]</f>
        <v>491</v>
      </c>
      <c r="G409" s="2">
        <f>tbl_kpi[[#This Row],[CountedQty]]-tbl_kpi[[#This Row],[ExpectedQty]]</f>
        <v>10</v>
      </c>
      <c r="H409" s="2">
        <f>IF(tbl_kpi[[#This Row],[ExpectedQty]]=0, 1, MAX(0, 1 - ABS(tbl_kpi[[#This Row],[VarianceQty]]) / tbl_kpi[[#This Row],[ExpectedQty]]))</f>
        <v>0.97963340122199594</v>
      </c>
      <c r="I409" s="2" t="str">
        <f>IF(tbl_kpi[[#This Row],[AccuracyPct]] &lt; 0.98, "Y", "N")</f>
        <v>Y</v>
      </c>
    </row>
    <row r="410" spans="1:9">
      <c r="A410" s="2">
        <v>458</v>
      </c>
      <c r="B410" s="2">
        <v>1</v>
      </c>
      <c r="C410" s="2" t="str">
        <f>_xlfn.XLOOKUP(tbl_kpi[[#This Row],[LocationID]], tbl_location[LocationID], tbl_location[LocationName], "UNMAPPED_LOCATION")</f>
        <v>Tool Crib</v>
      </c>
      <c r="D410" s="2">
        <v>617</v>
      </c>
      <c r="E410" s="2">
        <v>622</v>
      </c>
      <c r="F410" s="2">
        <f>tbl_kpi[[#This Row],[OnHandQty]]</f>
        <v>617</v>
      </c>
      <c r="G410" s="2">
        <f>tbl_kpi[[#This Row],[CountedQty]]-tbl_kpi[[#This Row],[ExpectedQty]]</f>
        <v>5</v>
      </c>
      <c r="H410" s="2">
        <f>IF(tbl_kpi[[#This Row],[ExpectedQty]]=0, 1, MAX(0, 1 - ABS(tbl_kpi[[#This Row],[VarianceQty]]) / tbl_kpi[[#This Row],[ExpectedQty]]))</f>
        <v>0.99189627228525123</v>
      </c>
      <c r="I410" s="2" t="str">
        <f>IF(tbl_kpi[[#This Row],[AccuracyPct]] &lt; 0.98, "Y", "N")</f>
        <v>N</v>
      </c>
    </row>
    <row r="411" spans="1:9">
      <c r="A411" s="2">
        <v>458</v>
      </c>
      <c r="B411" s="2">
        <v>6</v>
      </c>
      <c r="C411" s="2" t="str">
        <f>_xlfn.XLOOKUP(tbl_kpi[[#This Row],[LocationID]], tbl_location[LocationID], tbl_location[LocationName], "UNMAPPED_LOCATION")</f>
        <v>Miscellaneous Storage</v>
      </c>
      <c r="D411" s="2">
        <v>512</v>
      </c>
      <c r="E411" s="2">
        <v>519</v>
      </c>
      <c r="F411" s="2">
        <f>tbl_kpi[[#This Row],[OnHandQty]]</f>
        <v>512</v>
      </c>
      <c r="G411" s="2">
        <f>tbl_kpi[[#This Row],[CountedQty]]-tbl_kpi[[#This Row],[ExpectedQty]]</f>
        <v>7</v>
      </c>
      <c r="H411" s="2">
        <f>IF(tbl_kpi[[#This Row],[ExpectedQty]]=0, 1, MAX(0, 1 - ABS(tbl_kpi[[#This Row],[VarianceQty]]) / tbl_kpi[[#This Row],[ExpectedQty]]))</f>
        <v>0.986328125</v>
      </c>
      <c r="I411" s="2" t="str">
        <f>IF(tbl_kpi[[#This Row],[AccuracyPct]] &lt; 0.98, "Y", "N")</f>
        <v>N</v>
      </c>
    </row>
    <row r="412" spans="1:9">
      <c r="A412" s="2">
        <v>458</v>
      </c>
      <c r="B412" s="2">
        <v>50</v>
      </c>
      <c r="C412" s="2" t="str">
        <f>_xlfn.XLOOKUP(tbl_kpi[[#This Row],[LocationID]], tbl_location[LocationID], tbl_location[LocationName], "UNMAPPED_LOCATION")</f>
        <v>Subassembly</v>
      </c>
      <c r="D412" s="2">
        <v>494</v>
      </c>
      <c r="E412" s="2">
        <v>489</v>
      </c>
      <c r="F412" s="2">
        <f>tbl_kpi[[#This Row],[OnHandQty]]</f>
        <v>494</v>
      </c>
      <c r="G412" s="2">
        <f>tbl_kpi[[#This Row],[CountedQty]]-tbl_kpi[[#This Row],[ExpectedQty]]</f>
        <v>-5</v>
      </c>
      <c r="H412" s="2">
        <f>IF(tbl_kpi[[#This Row],[ExpectedQty]]=0, 1, MAX(0, 1 - ABS(tbl_kpi[[#This Row],[VarianceQty]]) / tbl_kpi[[#This Row],[ExpectedQty]]))</f>
        <v>0.98987854251012142</v>
      </c>
      <c r="I412" s="2" t="str">
        <f>IF(tbl_kpi[[#This Row],[AccuracyPct]] &lt; 0.98, "Y", "N")</f>
        <v>N</v>
      </c>
    </row>
    <row r="413" spans="1:9">
      <c r="A413" s="2">
        <v>459</v>
      </c>
      <c r="B413" s="2">
        <v>1</v>
      </c>
      <c r="C413" s="2" t="str">
        <f>_xlfn.XLOOKUP(tbl_kpi[[#This Row],[LocationID]], tbl_location[LocationID], tbl_location[LocationName], "UNMAPPED_LOCATION")</f>
        <v>Tool Crib</v>
      </c>
      <c r="D413" s="2">
        <v>620</v>
      </c>
      <c r="E413" s="2">
        <v>625</v>
      </c>
      <c r="F413" s="2">
        <f>tbl_kpi[[#This Row],[OnHandQty]]</f>
        <v>620</v>
      </c>
      <c r="G413" s="2">
        <f>tbl_kpi[[#This Row],[CountedQty]]-tbl_kpi[[#This Row],[ExpectedQty]]</f>
        <v>5</v>
      </c>
      <c r="H413" s="2">
        <f>IF(tbl_kpi[[#This Row],[ExpectedQty]]=0, 1, MAX(0, 1 - ABS(tbl_kpi[[#This Row],[VarianceQty]]) / tbl_kpi[[#This Row],[ExpectedQty]]))</f>
        <v>0.99193548387096775</v>
      </c>
      <c r="I413" s="2" t="str">
        <f>IF(tbl_kpi[[#This Row],[AccuracyPct]] &lt; 0.98, "Y", "N")</f>
        <v>N</v>
      </c>
    </row>
    <row r="414" spans="1:9">
      <c r="A414" s="2">
        <v>459</v>
      </c>
      <c r="B414" s="2">
        <v>6</v>
      </c>
      <c r="C414" s="2" t="str">
        <f>_xlfn.XLOOKUP(tbl_kpi[[#This Row],[LocationID]], tbl_location[LocationID], tbl_location[LocationName], "UNMAPPED_LOCATION")</f>
        <v>Miscellaneous Storage</v>
      </c>
      <c r="D414" s="2">
        <v>515</v>
      </c>
      <c r="E414" s="2">
        <v>523</v>
      </c>
      <c r="F414" s="2">
        <f>tbl_kpi[[#This Row],[OnHandQty]]</f>
        <v>515</v>
      </c>
      <c r="G414" s="2">
        <f>tbl_kpi[[#This Row],[CountedQty]]-tbl_kpi[[#This Row],[ExpectedQty]]</f>
        <v>8</v>
      </c>
      <c r="H414" s="2">
        <f>IF(tbl_kpi[[#This Row],[ExpectedQty]]=0, 1, MAX(0, 1 - ABS(tbl_kpi[[#This Row],[VarianceQty]]) / tbl_kpi[[#This Row],[ExpectedQty]]))</f>
        <v>0.98446601941747569</v>
      </c>
      <c r="I414" s="2" t="str">
        <f>IF(tbl_kpi[[#This Row],[AccuracyPct]] &lt; 0.98, "Y", "N")</f>
        <v>N</v>
      </c>
    </row>
    <row r="415" spans="1:9">
      <c r="A415" s="2">
        <v>459</v>
      </c>
      <c r="B415" s="2">
        <v>50</v>
      </c>
      <c r="C415" s="2" t="str">
        <f>_xlfn.XLOOKUP(tbl_kpi[[#This Row],[LocationID]], tbl_location[LocationID], tbl_location[LocationName], "UNMAPPED_LOCATION")</f>
        <v>Subassembly</v>
      </c>
      <c r="D415" s="2">
        <v>497</v>
      </c>
      <c r="E415" s="2">
        <v>484</v>
      </c>
      <c r="F415" s="2">
        <f>tbl_kpi[[#This Row],[OnHandQty]]</f>
        <v>497</v>
      </c>
      <c r="G415" s="2">
        <f>tbl_kpi[[#This Row],[CountedQty]]-tbl_kpi[[#This Row],[ExpectedQty]]</f>
        <v>-13</v>
      </c>
      <c r="H415" s="2">
        <f>IF(tbl_kpi[[#This Row],[ExpectedQty]]=0, 1, MAX(0, 1 - ABS(tbl_kpi[[#This Row],[VarianceQty]]) / tbl_kpi[[#This Row],[ExpectedQty]]))</f>
        <v>0.97384305835010065</v>
      </c>
      <c r="I415" s="2" t="str">
        <f>IF(tbl_kpi[[#This Row],[AccuracyPct]] &lt; 0.98, "Y", "N")</f>
        <v>Y</v>
      </c>
    </row>
    <row r="416" spans="1:9">
      <c r="A416" s="2">
        <v>460</v>
      </c>
      <c r="B416" s="2">
        <v>1</v>
      </c>
      <c r="C416" s="2" t="str">
        <f>_xlfn.XLOOKUP(tbl_kpi[[#This Row],[LocationID]], tbl_location[LocationID], tbl_location[LocationName], "UNMAPPED_LOCATION")</f>
        <v>Tool Crib</v>
      </c>
      <c r="D416" s="2">
        <v>624</v>
      </c>
      <c r="E416" s="2">
        <v>641</v>
      </c>
      <c r="F416" s="2">
        <f>tbl_kpi[[#This Row],[OnHandQty]]</f>
        <v>624</v>
      </c>
      <c r="G416" s="2">
        <f>tbl_kpi[[#This Row],[CountedQty]]-tbl_kpi[[#This Row],[ExpectedQty]]</f>
        <v>17</v>
      </c>
      <c r="H416" s="2">
        <f>IF(tbl_kpi[[#This Row],[ExpectedQty]]=0, 1, MAX(0, 1 - ABS(tbl_kpi[[#This Row],[VarianceQty]]) / tbl_kpi[[#This Row],[ExpectedQty]]))</f>
        <v>0.97275641025641024</v>
      </c>
      <c r="I416" s="2" t="str">
        <f>IF(tbl_kpi[[#This Row],[AccuracyPct]] &lt; 0.98, "Y", "N")</f>
        <v>Y</v>
      </c>
    </row>
    <row r="417" spans="1:9">
      <c r="A417" s="2">
        <v>460</v>
      </c>
      <c r="B417" s="2">
        <v>6</v>
      </c>
      <c r="C417" s="2" t="str">
        <f>_xlfn.XLOOKUP(tbl_kpi[[#This Row],[LocationID]], tbl_location[LocationID], tbl_location[LocationName], "UNMAPPED_LOCATION")</f>
        <v>Miscellaneous Storage</v>
      </c>
      <c r="D417" s="2">
        <v>518</v>
      </c>
      <c r="E417" s="2">
        <v>511</v>
      </c>
      <c r="F417" s="2">
        <f>tbl_kpi[[#This Row],[OnHandQty]]</f>
        <v>518</v>
      </c>
      <c r="G417" s="2">
        <f>tbl_kpi[[#This Row],[CountedQty]]-tbl_kpi[[#This Row],[ExpectedQty]]</f>
        <v>-7</v>
      </c>
      <c r="H417" s="2">
        <f>IF(tbl_kpi[[#This Row],[ExpectedQty]]=0, 1, MAX(0, 1 - ABS(tbl_kpi[[#This Row],[VarianceQty]]) / tbl_kpi[[#This Row],[ExpectedQty]]))</f>
        <v>0.98648648648648651</v>
      </c>
      <c r="I417" s="2" t="str">
        <f>IF(tbl_kpi[[#This Row],[AccuracyPct]] &lt; 0.98, "Y", "N")</f>
        <v>N</v>
      </c>
    </row>
    <row r="418" spans="1:9">
      <c r="A418" s="2">
        <v>460</v>
      </c>
      <c r="B418" s="2">
        <v>50</v>
      </c>
      <c r="C418" s="2" t="str">
        <f>_xlfn.XLOOKUP(tbl_kpi[[#This Row],[LocationID]], tbl_location[LocationID], tbl_location[LocationName], "UNMAPPED_LOCATION")</f>
        <v>Subassembly</v>
      </c>
      <c r="D418" s="2">
        <v>500</v>
      </c>
      <c r="E418" s="2">
        <v>487</v>
      </c>
      <c r="F418" s="2">
        <f>tbl_kpi[[#This Row],[OnHandQty]]</f>
        <v>500</v>
      </c>
      <c r="G418" s="2">
        <f>tbl_kpi[[#This Row],[CountedQty]]-tbl_kpi[[#This Row],[ExpectedQty]]</f>
        <v>-13</v>
      </c>
      <c r="H418" s="2">
        <f>IF(tbl_kpi[[#This Row],[ExpectedQty]]=0, 1, MAX(0, 1 - ABS(tbl_kpi[[#This Row],[VarianceQty]]) / tbl_kpi[[#This Row],[ExpectedQty]]))</f>
        <v>0.97399999999999998</v>
      </c>
      <c r="I418" s="2" t="str">
        <f>IF(tbl_kpi[[#This Row],[AccuracyPct]] &lt; 0.98, "Y", "N")</f>
        <v>Y</v>
      </c>
    </row>
    <row r="419" spans="1:9">
      <c r="A419" s="2">
        <v>461</v>
      </c>
      <c r="B419" s="2">
        <v>1</v>
      </c>
      <c r="C419" s="2" t="str">
        <f>_xlfn.XLOOKUP(tbl_kpi[[#This Row],[LocationID]], tbl_location[LocationID], tbl_location[LocationName], "UNMAPPED_LOCATION")</f>
        <v>Tool Crib</v>
      </c>
      <c r="D419" s="2">
        <v>627</v>
      </c>
      <c r="E419" s="2">
        <v>633</v>
      </c>
      <c r="F419" s="2">
        <f>tbl_kpi[[#This Row],[OnHandQty]]</f>
        <v>627</v>
      </c>
      <c r="G419" s="2">
        <f>tbl_kpi[[#This Row],[CountedQty]]-tbl_kpi[[#This Row],[ExpectedQty]]</f>
        <v>6</v>
      </c>
      <c r="H419" s="2">
        <f>IF(tbl_kpi[[#This Row],[ExpectedQty]]=0, 1, MAX(0, 1 - ABS(tbl_kpi[[#This Row],[VarianceQty]]) / tbl_kpi[[#This Row],[ExpectedQty]]))</f>
        <v>0.99043062200956933</v>
      </c>
      <c r="I419" s="2" t="str">
        <f>IF(tbl_kpi[[#This Row],[AccuracyPct]] &lt; 0.98, "Y", "N")</f>
        <v>N</v>
      </c>
    </row>
    <row r="420" spans="1:9">
      <c r="A420" s="2">
        <v>461</v>
      </c>
      <c r="B420" s="2">
        <v>6</v>
      </c>
      <c r="C420" s="2" t="str">
        <f>_xlfn.XLOOKUP(tbl_kpi[[#This Row],[LocationID]], tbl_location[LocationID], tbl_location[LocationName], "UNMAPPED_LOCATION")</f>
        <v>Miscellaneous Storage</v>
      </c>
      <c r="D420" s="2">
        <v>521</v>
      </c>
      <c r="E420" s="2">
        <v>536</v>
      </c>
      <c r="F420" s="2">
        <f>tbl_kpi[[#This Row],[OnHandQty]]</f>
        <v>521</v>
      </c>
      <c r="G420" s="2">
        <f>tbl_kpi[[#This Row],[CountedQty]]-tbl_kpi[[#This Row],[ExpectedQty]]</f>
        <v>15</v>
      </c>
      <c r="H420" s="2">
        <f>IF(tbl_kpi[[#This Row],[ExpectedQty]]=0, 1, MAX(0, 1 - ABS(tbl_kpi[[#This Row],[VarianceQty]]) / tbl_kpi[[#This Row],[ExpectedQty]]))</f>
        <v>0.97120921305182339</v>
      </c>
      <c r="I420" s="2" t="str">
        <f>IF(tbl_kpi[[#This Row],[AccuracyPct]] &lt; 0.98, "Y", "N")</f>
        <v>Y</v>
      </c>
    </row>
    <row r="421" spans="1:9">
      <c r="A421" s="2">
        <v>461</v>
      </c>
      <c r="B421" s="2">
        <v>50</v>
      </c>
      <c r="C421" s="2" t="str">
        <f>_xlfn.XLOOKUP(tbl_kpi[[#This Row],[LocationID]], tbl_location[LocationID], tbl_location[LocationName], "UNMAPPED_LOCATION")</f>
        <v>Subassembly</v>
      </c>
      <c r="D421" s="2">
        <v>504</v>
      </c>
      <c r="E421" s="2">
        <v>495</v>
      </c>
      <c r="F421" s="2">
        <f>tbl_kpi[[#This Row],[OnHandQty]]</f>
        <v>504</v>
      </c>
      <c r="G421" s="2">
        <f>tbl_kpi[[#This Row],[CountedQty]]-tbl_kpi[[#This Row],[ExpectedQty]]</f>
        <v>-9</v>
      </c>
      <c r="H421" s="2">
        <f>IF(tbl_kpi[[#This Row],[ExpectedQty]]=0, 1, MAX(0, 1 - ABS(tbl_kpi[[#This Row],[VarianceQty]]) / tbl_kpi[[#This Row],[ExpectedQty]]))</f>
        <v>0.9821428571428571</v>
      </c>
      <c r="I421" s="2" t="str">
        <f>IF(tbl_kpi[[#This Row],[AccuracyPct]] &lt; 0.98, "Y", "N")</f>
        <v>N</v>
      </c>
    </row>
    <row r="422" spans="1:9">
      <c r="A422" s="2">
        <v>462</v>
      </c>
      <c r="B422" s="2">
        <v>1</v>
      </c>
      <c r="C422" s="2" t="str">
        <f>_xlfn.XLOOKUP(tbl_kpi[[#This Row],[LocationID]], tbl_location[LocationID], tbl_location[LocationName], "UNMAPPED_LOCATION")</f>
        <v>Tool Crib</v>
      </c>
      <c r="D422" s="2">
        <v>310</v>
      </c>
      <c r="E422" s="2">
        <v>311</v>
      </c>
      <c r="F422" s="2">
        <f>tbl_kpi[[#This Row],[OnHandQty]]</f>
        <v>310</v>
      </c>
      <c r="G422" s="2">
        <f>tbl_kpi[[#This Row],[CountedQty]]-tbl_kpi[[#This Row],[ExpectedQty]]</f>
        <v>1</v>
      </c>
      <c r="H422" s="2">
        <f>IF(tbl_kpi[[#This Row],[ExpectedQty]]=0, 1, MAX(0, 1 - ABS(tbl_kpi[[#This Row],[VarianceQty]]) / tbl_kpi[[#This Row],[ExpectedQty]]))</f>
        <v>0.99677419354838714</v>
      </c>
      <c r="I422" s="2" t="str">
        <f>IF(tbl_kpi[[#This Row],[AccuracyPct]] &lt; 0.98, "Y", "N")</f>
        <v>N</v>
      </c>
    </row>
    <row r="423" spans="1:9">
      <c r="A423" s="2">
        <v>462</v>
      </c>
      <c r="B423" s="2">
        <v>6</v>
      </c>
      <c r="C423" s="2" t="str">
        <f>_xlfn.XLOOKUP(tbl_kpi[[#This Row],[LocationID]], tbl_location[LocationID], tbl_location[LocationName], "UNMAPPED_LOCATION")</f>
        <v>Miscellaneous Storage</v>
      </c>
      <c r="D423" s="2">
        <v>204</v>
      </c>
      <c r="E423" s="2">
        <v>201</v>
      </c>
      <c r="F423" s="2">
        <f>tbl_kpi[[#This Row],[OnHandQty]]</f>
        <v>204</v>
      </c>
      <c r="G423" s="2">
        <f>tbl_kpi[[#This Row],[CountedQty]]-tbl_kpi[[#This Row],[ExpectedQty]]</f>
        <v>-3</v>
      </c>
      <c r="H423" s="2">
        <f>IF(tbl_kpi[[#This Row],[ExpectedQty]]=0, 1, MAX(0, 1 - ABS(tbl_kpi[[#This Row],[VarianceQty]]) / tbl_kpi[[#This Row],[ExpectedQty]]))</f>
        <v>0.98529411764705888</v>
      </c>
      <c r="I423" s="2" t="str">
        <f>IF(tbl_kpi[[#This Row],[AccuracyPct]] &lt; 0.98, "Y", "N")</f>
        <v>N</v>
      </c>
    </row>
    <row r="424" spans="1:9">
      <c r="A424" s="2">
        <v>462</v>
      </c>
      <c r="B424" s="2">
        <v>50</v>
      </c>
      <c r="C424" s="2" t="str">
        <f>_xlfn.XLOOKUP(tbl_kpi[[#This Row],[LocationID]], tbl_location[LocationID], tbl_location[LocationName], "UNMAPPED_LOCATION")</f>
        <v>Subassembly</v>
      </c>
      <c r="D424" s="2">
        <v>187</v>
      </c>
      <c r="E424" s="2">
        <v>186</v>
      </c>
      <c r="F424" s="2">
        <f>tbl_kpi[[#This Row],[OnHandQty]]</f>
        <v>187</v>
      </c>
      <c r="G424" s="2">
        <f>tbl_kpi[[#This Row],[CountedQty]]-tbl_kpi[[#This Row],[ExpectedQty]]</f>
        <v>-1</v>
      </c>
      <c r="H424" s="2">
        <f>IF(tbl_kpi[[#This Row],[ExpectedQty]]=0, 1, MAX(0, 1 - ABS(tbl_kpi[[#This Row],[VarianceQty]]) / tbl_kpi[[#This Row],[ExpectedQty]]))</f>
        <v>0.99465240641711228</v>
      </c>
      <c r="I424" s="2" t="str">
        <f>IF(tbl_kpi[[#This Row],[AccuracyPct]] &lt; 0.98, "Y", "N")</f>
        <v>N</v>
      </c>
    </row>
    <row r="425" spans="1:9">
      <c r="A425" s="2">
        <v>463</v>
      </c>
      <c r="B425" s="2">
        <v>1</v>
      </c>
      <c r="C425" s="2" t="str">
        <f>_xlfn.XLOOKUP(tbl_kpi[[#This Row],[LocationID]], tbl_location[LocationID], tbl_location[LocationName], "UNMAPPED_LOCATION")</f>
        <v>Tool Crib</v>
      </c>
      <c r="D425" s="2">
        <v>499</v>
      </c>
      <c r="E425" s="2">
        <v>486</v>
      </c>
      <c r="F425" s="2">
        <f>tbl_kpi[[#This Row],[OnHandQty]]</f>
        <v>499</v>
      </c>
      <c r="G425" s="2">
        <f>tbl_kpi[[#This Row],[CountedQty]]-tbl_kpi[[#This Row],[ExpectedQty]]</f>
        <v>-13</v>
      </c>
      <c r="H425" s="2">
        <f>IF(tbl_kpi[[#This Row],[ExpectedQty]]=0, 1, MAX(0, 1 - ABS(tbl_kpi[[#This Row],[VarianceQty]]) / tbl_kpi[[#This Row],[ExpectedQty]]))</f>
        <v>0.97394789579158314</v>
      </c>
      <c r="I425" s="2" t="str">
        <f>IF(tbl_kpi[[#This Row],[AccuracyPct]] &lt; 0.98, "Y", "N")</f>
        <v>Y</v>
      </c>
    </row>
    <row r="426" spans="1:9">
      <c r="A426" s="2">
        <v>463</v>
      </c>
      <c r="B426" s="2">
        <v>6</v>
      </c>
      <c r="C426" s="2" t="str">
        <f>_xlfn.XLOOKUP(tbl_kpi[[#This Row],[LocationID]], tbl_location[LocationID], tbl_location[LocationName], "UNMAPPED_LOCATION")</f>
        <v>Miscellaneous Storage</v>
      </c>
      <c r="D426" s="2">
        <v>566</v>
      </c>
      <c r="E426" s="2">
        <v>560</v>
      </c>
      <c r="F426" s="2">
        <f>tbl_kpi[[#This Row],[OnHandQty]]</f>
        <v>566</v>
      </c>
      <c r="G426" s="2">
        <f>tbl_kpi[[#This Row],[CountedQty]]-tbl_kpi[[#This Row],[ExpectedQty]]</f>
        <v>-6</v>
      </c>
      <c r="H426" s="2">
        <f>IF(tbl_kpi[[#This Row],[ExpectedQty]]=0, 1, MAX(0, 1 - ABS(tbl_kpi[[#This Row],[VarianceQty]]) / tbl_kpi[[#This Row],[ExpectedQty]]))</f>
        <v>0.98939929328621912</v>
      </c>
      <c r="I426" s="2" t="str">
        <f>IF(tbl_kpi[[#This Row],[AccuracyPct]] &lt; 0.98, "Y", "N")</f>
        <v>N</v>
      </c>
    </row>
    <row r="427" spans="1:9">
      <c r="A427" s="2">
        <v>463</v>
      </c>
      <c r="B427" s="2">
        <v>50</v>
      </c>
      <c r="C427" s="2" t="str">
        <f>_xlfn.XLOOKUP(tbl_kpi[[#This Row],[LocationID]], tbl_location[LocationID], tbl_location[LocationName], "UNMAPPED_LOCATION")</f>
        <v>Subassembly</v>
      </c>
      <c r="D427" s="2">
        <v>620</v>
      </c>
      <c r="E427" s="2">
        <v>615</v>
      </c>
      <c r="F427" s="2">
        <f>tbl_kpi[[#This Row],[OnHandQty]]</f>
        <v>620</v>
      </c>
      <c r="G427" s="2">
        <f>tbl_kpi[[#This Row],[CountedQty]]-tbl_kpi[[#This Row],[ExpectedQty]]</f>
        <v>-5</v>
      </c>
      <c r="H427" s="2">
        <f>IF(tbl_kpi[[#This Row],[ExpectedQty]]=0, 1, MAX(0, 1 - ABS(tbl_kpi[[#This Row],[VarianceQty]]) / tbl_kpi[[#This Row],[ExpectedQty]]))</f>
        <v>0.99193548387096775</v>
      </c>
      <c r="I427" s="2" t="str">
        <f>IF(tbl_kpi[[#This Row],[AccuracyPct]] &lt; 0.98, "Y", "N")</f>
        <v>N</v>
      </c>
    </row>
    <row r="428" spans="1:9">
      <c r="A428" s="2">
        <v>464</v>
      </c>
      <c r="B428" s="2">
        <v>1</v>
      </c>
      <c r="C428" s="2" t="str">
        <f>_xlfn.XLOOKUP(tbl_kpi[[#This Row],[LocationID]], tbl_location[LocationID], tbl_location[LocationName], "UNMAPPED_LOCATION")</f>
        <v>Tool Crib</v>
      </c>
      <c r="D428" s="2">
        <v>500</v>
      </c>
      <c r="E428" s="2">
        <v>514</v>
      </c>
      <c r="F428" s="2">
        <f>tbl_kpi[[#This Row],[OnHandQty]]</f>
        <v>500</v>
      </c>
      <c r="G428" s="2">
        <f>tbl_kpi[[#This Row],[CountedQty]]-tbl_kpi[[#This Row],[ExpectedQty]]</f>
        <v>14</v>
      </c>
      <c r="H428" s="2">
        <f>IF(tbl_kpi[[#This Row],[ExpectedQty]]=0, 1, MAX(0, 1 - ABS(tbl_kpi[[#This Row],[VarianceQty]]) / tbl_kpi[[#This Row],[ExpectedQty]]))</f>
        <v>0.97199999999999998</v>
      </c>
      <c r="I428" s="2" t="str">
        <f>IF(tbl_kpi[[#This Row],[AccuracyPct]] &lt; 0.98, "Y", "N")</f>
        <v>Y</v>
      </c>
    </row>
    <row r="429" spans="1:9">
      <c r="A429" s="2">
        <v>464</v>
      </c>
      <c r="B429" s="2">
        <v>6</v>
      </c>
      <c r="C429" s="2" t="str">
        <f>_xlfn.XLOOKUP(tbl_kpi[[#This Row],[LocationID]], tbl_location[LocationID], tbl_location[LocationName], "UNMAPPED_LOCATION")</f>
        <v>Miscellaneous Storage</v>
      </c>
      <c r="D429" s="2">
        <v>568</v>
      </c>
      <c r="E429" s="2">
        <v>582</v>
      </c>
      <c r="F429" s="2">
        <f>tbl_kpi[[#This Row],[OnHandQty]]</f>
        <v>568</v>
      </c>
      <c r="G429" s="2">
        <f>tbl_kpi[[#This Row],[CountedQty]]-tbl_kpi[[#This Row],[ExpectedQty]]</f>
        <v>14</v>
      </c>
      <c r="H429" s="2">
        <f>IF(tbl_kpi[[#This Row],[ExpectedQty]]=0, 1, MAX(0, 1 - ABS(tbl_kpi[[#This Row],[VarianceQty]]) / tbl_kpi[[#This Row],[ExpectedQty]]))</f>
        <v>0.97535211267605637</v>
      </c>
      <c r="I429" s="2" t="str">
        <f>IF(tbl_kpi[[#This Row],[AccuracyPct]] &lt; 0.98, "Y", "N")</f>
        <v>Y</v>
      </c>
    </row>
    <row r="430" spans="1:9">
      <c r="A430" s="2">
        <v>464</v>
      </c>
      <c r="B430" s="2">
        <v>50</v>
      </c>
      <c r="C430" s="2" t="str">
        <f>_xlfn.XLOOKUP(tbl_kpi[[#This Row],[LocationID]], tbl_location[LocationID], tbl_location[LocationName], "UNMAPPED_LOCATION")</f>
        <v>Subassembly</v>
      </c>
      <c r="D430" s="2">
        <v>622</v>
      </c>
      <c r="E430" s="2">
        <v>633</v>
      </c>
      <c r="F430" s="2">
        <f>tbl_kpi[[#This Row],[OnHandQty]]</f>
        <v>622</v>
      </c>
      <c r="G430" s="2">
        <f>tbl_kpi[[#This Row],[CountedQty]]-tbl_kpi[[#This Row],[ExpectedQty]]</f>
        <v>11</v>
      </c>
      <c r="H430" s="2">
        <f>IF(tbl_kpi[[#This Row],[ExpectedQty]]=0, 1, MAX(0, 1 - ABS(tbl_kpi[[#This Row],[VarianceQty]]) / tbl_kpi[[#This Row],[ExpectedQty]]))</f>
        <v>0.98231511254019288</v>
      </c>
      <c r="I430" s="2" t="str">
        <f>IF(tbl_kpi[[#This Row],[AccuracyPct]] &lt; 0.98, "Y", "N")</f>
        <v>N</v>
      </c>
    </row>
    <row r="431" spans="1:9">
      <c r="A431" s="2">
        <v>465</v>
      </c>
      <c r="B431" s="2">
        <v>1</v>
      </c>
      <c r="C431" s="2" t="str">
        <f>_xlfn.XLOOKUP(tbl_kpi[[#This Row],[LocationID]], tbl_location[LocationID], tbl_location[LocationName], "UNMAPPED_LOCATION")</f>
        <v>Tool Crib</v>
      </c>
      <c r="D431" s="2">
        <v>502</v>
      </c>
      <c r="E431" s="2">
        <v>506</v>
      </c>
      <c r="F431" s="2">
        <f>tbl_kpi[[#This Row],[OnHandQty]]</f>
        <v>502</v>
      </c>
      <c r="G431" s="2">
        <f>tbl_kpi[[#This Row],[CountedQty]]-tbl_kpi[[#This Row],[ExpectedQty]]</f>
        <v>4</v>
      </c>
      <c r="H431" s="2">
        <f>IF(tbl_kpi[[#This Row],[ExpectedQty]]=0, 1, MAX(0, 1 - ABS(tbl_kpi[[#This Row],[VarianceQty]]) / tbl_kpi[[#This Row],[ExpectedQty]]))</f>
        <v>0.99203187250996017</v>
      </c>
      <c r="I431" s="2" t="str">
        <f>IF(tbl_kpi[[#This Row],[AccuracyPct]] &lt; 0.98, "Y", "N")</f>
        <v>N</v>
      </c>
    </row>
    <row r="432" spans="1:9">
      <c r="A432" s="2">
        <v>465</v>
      </c>
      <c r="B432" s="2">
        <v>6</v>
      </c>
      <c r="C432" s="2" t="str">
        <f>_xlfn.XLOOKUP(tbl_kpi[[#This Row],[LocationID]], tbl_location[LocationID], tbl_location[LocationName], "UNMAPPED_LOCATION")</f>
        <v>Miscellaneous Storage</v>
      </c>
      <c r="D432" s="2">
        <v>569</v>
      </c>
      <c r="E432" s="2">
        <v>580</v>
      </c>
      <c r="F432" s="2">
        <f>tbl_kpi[[#This Row],[OnHandQty]]</f>
        <v>569</v>
      </c>
      <c r="G432" s="2">
        <f>tbl_kpi[[#This Row],[CountedQty]]-tbl_kpi[[#This Row],[ExpectedQty]]</f>
        <v>11</v>
      </c>
      <c r="H432" s="2">
        <f>IF(tbl_kpi[[#This Row],[ExpectedQty]]=0, 1, MAX(0, 1 - ABS(tbl_kpi[[#This Row],[VarianceQty]]) / tbl_kpi[[#This Row],[ExpectedQty]]))</f>
        <v>0.98066783831282955</v>
      </c>
      <c r="I432" s="2" t="str">
        <f>IF(tbl_kpi[[#This Row],[AccuracyPct]] &lt; 0.98, "Y", "N")</f>
        <v>N</v>
      </c>
    </row>
    <row r="433" spans="1:9">
      <c r="A433" s="2">
        <v>465</v>
      </c>
      <c r="B433" s="2">
        <v>50</v>
      </c>
      <c r="C433" s="2" t="str">
        <f>_xlfn.XLOOKUP(tbl_kpi[[#This Row],[LocationID]], tbl_location[LocationID], tbl_location[LocationName], "UNMAPPED_LOCATION")</f>
        <v>Subassembly</v>
      </c>
      <c r="D433" s="2">
        <v>624</v>
      </c>
      <c r="E433" s="2">
        <v>615</v>
      </c>
      <c r="F433" s="2">
        <f>tbl_kpi[[#This Row],[OnHandQty]]</f>
        <v>624</v>
      </c>
      <c r="G433" s="2">
        <f>tbl_kpi[[#This Row],[CountedQty]]-tbl_kpi[[#This Row],[ExpectedQty]]</f>
        <v>-9</v>
      </c>
      <c r="H433" s="2">
        <f>IF(tbl_kpi[[#This Row],[ExpectedQty]]=0, 1, MAX(0, 1 - ABS(tbl_kpi[[#This Row],[VarianceQty]]) / tbl_kpi[[#This Row],[ExpectedQty]]))</f>
        <v>0.98557692307692313</v>
      </c>
      <c r="I433" s="2" t="str">
        <f>IF(tbl_kpi[[#This Row],[AccuracyPct]] &lt; 0.98, "Y", "N")</f>
        <v>N</v>
      </c>
    </row>
    <row r="434" spans="1:9">
      <c r="A434" s="2">
        <v>466</v>
      </c>
      <c r="B434" s="2">
        <v>1</v>
      </c>
      <c r="C434" s="2" t="str">
        <f>_xlfn.XLOOKUP(tbl_kpi[[#This Row],[LocationID]], tbl_location[LocationID], tbl_location[LocationName], "UNMAPPED_LOCATION")</f>
        <v>Tool Crib</v>
      </c>
      <c r="D434" s="2">
        <v>504</v>
      </c>
      <c r="E434" s="2">
        <v>517</v>
      </c>
      <c r="F434" s="2">
        <f>tbl_kpi[[#This Row],[OnHandQty]]</f>
        <v>504</v>
      </c>
      <c r="G434" s="2">
        <f>tbl_kpi[[#This Row],[CountedQty]]-tbl_kpi[[#This Row],[ExpectedQty]]</f>
        <v>13</v>
      </c>
      <c r="H434" s="2">
        <f>IF(tbl_kpi[[#This Row],[ExpectedQty]]=0, 1, MAX(0, 1 - ABS(tbl_kpi[[#This Row],[VarianceQty]]) / tbl_kpi[[#This Row],[ExpectedQty]]))</f>
        <v>0.97420634920634919</v>
      </c>
      <c r="I434" s="2" t="str">
        <f>IF(tbl_kpi[[#This Row],[AccuracyPct]] &lt; 0.98, "Y", "N")</f>
        <v>Y</v>
      </c>
    </row>
    <row r="435" spans="1:9">
      <c r="A435" s="2">
        <v>466</v>
      </c>
      <c r="B435" s="2">
        <v>6</v>
      </c>
      <c r="C435" s="2" t="str">
        <f>_xlfn.XLOOKUP(tbl_kpi[[#This Row],[LocationID]], tbl_location[LocationID], tbl_location[LocationName], "UNMAPPED_LOCATION")</f>
        <v>Miscellaneous Storage</v>
      </c>
      <c r="D435" s="2">
        <v>571</v>
      </c>
      <c r="E435" s="2">
        <v>573</v>
      </c>
      <c r="F435" s="2">
        <f>tbl_kpi[[#This Row],[OnHandQty]]</f>
        <v>571</v>
      </c>
      <c r="G435" s="2">
        <f>tbl_kpi[[#This Row],[CountedQty]]-tbl_kpi[[#This Row],[ExpectedQty]]</f>
        <v>2</v>
      </c>
      <c r="H435" s="2">
        <f>IF(tbl_kpi[[#This Row],[ExpectedQty]]=0, 1, MAX(0, 1 - ABS(tbl_kpi[[#This Row],[VarianceQty]]) / tbl_kpi[[#This Row],[ExpectedQty]]))</f>
        <v>0.99649737302977237</v>
      </c>
      <c r="I435" s="2" t="str">
        <f>IF(tbl_kpi[[#This Row],[AccuracyPct]] &lt; 0.98, "Y", "N")</f>
        <v>N</v>
      </c>
    </row>
    <row r="436" spans="1:9">
      <c r="A436" s="2">
        <v>466</v>
      </c>
      <c r="B436" s="2">
        <v>50</v>
      </c>
      <c r="C436" s="2" t="str">
        <f>_xlfn.XLOOKUP(tbl_kpi[[#This Row],[LocationID]], tbl_location[LocationID], tbl_location[LocationName], "UNMAPPED_LOCATION")</f>
        <v>Subassembly</v>
      </c>
      <c r="D436" s="2">
        <v>625</v>
      </c>
      <c r="E436" s="2">
        <v>632</v>
      </c>
      <c r="F436" s="2">
        <f>tbl_kpi[[#This Row],[OnHandQty]]</f>
        <v>625</v>
      </c>
      <c r="G436" s="2">
        <f>tbl_kpi[[#This Row],[CountedQty]]-tbl_kpi[[#This Row],[ExpectedQty]]</f>
        <v>7</v>
      </c>
      <c r="H436" s="2">
        <f>IF(tbl_kpi[[#This Row],[ExpectedQty]]=0, 1, MAX(0, 1 - ABS(tbl_kpi[[#This Row],[VarianceQty]]) / tbl_kpi[[#This Row],[ExpectedQty]]))</f>
        <v>0.98880000000000001</v>
      </c>
      <c r="I436" s="2" t="str">
        <f>IF(tbl_kpi[[#This Row],[AccuracyPct]] &lt; 0.98, "Y", "N")</f>
        <v>N</v>
      </c>
    </row>
    <row r="437" spans="1:9">
      <c r="A437" s="2">
        <v>467</v>
      </c>
      <c r="B437" s="2">
        <v>1</v>
      </c>
      <c r="C437" s="2" t="str">
        <f>_xlfn.XLOOKUP(tbl_kpi[[#This Row],[LocationID]], tbl_location[LocationID], tbl_location[LocationName], "UNMAPPED_LOCATION")</f>
        <v>Tool Crib</v>
      </c>
      <c r="D437" s="2">
        <v>505</v>
      </c>
      <c r="E437" s="2">
        <v>505</v>
      </c>
      <c r="F437" s="2">
        <f>tbl_kpi[[#This Row],[OnHandQty]]</f>
        <v>505</v>
      </c>
      <c r="G437" s="2">
        <f>tbl_kpi[[#This Row],[CountedQty]]-tbl_kpi[[#This Row],[ExpectedQty]]</f>
        <v>0</v>
      </c>
      <c r="H437" s="2">
        <f>IF(tbl_kpi[[#This Row],[ExpectedQty]]=0, 1, MAX(0, 1 - ABS(tbl_kpi[[#This Row],[VarianceQty]]) / tbl_kpi[[#This Row],[ExpectedQty]]))</f>
        <v>1</v>
      </c>
      <c r="I437" s="2" t="str">
        <f>IF(tbl_kpi[[#This Row],[AccuracyPct]] &lt; 0.98, "Y", "N")</f>
        <v>N</v>
      </c>
    </row>
    <row r="438" spans="1:9">
      <c r="A438" s="2">
        <v>467</v>
      </c>
      <c r="B438" s="2">
        <v>6</v>
      </c>
      <c r="C438" s="2" t="str">
        <f>_xlfn.XLOOKUP(tbl_kpi[[#This Row],[LocationID]], tbl_location[LocationID], tbl_location[LocationName], "UNMAPPED_LOCATION")</f>
        <v>Miscellaneous Storage</v>
      </c>
      <c r="D438" s="2">
        <v>572</v>
      </c>
      <c r="E438" s="2">
        <v>560</v>
      </c>
      <c r="F438" s="2">
        <f>tbl_kpi[[#This Row],[OnHandQty]]</f>
        <v>572</v>
      </c>
      <c r="G438" s="2">
        <f>tbl_kpi[[#This Row],[CountedQty]]-tbl_kpi[[#This Row],[ExpectedQty]]</f>
        <v>-12</v>
      </c>
      <c r="H438" s="2">
        <f>IF(tbl_kpi[[#This Row],[ExpectedQty]]=0, 1, MAX(0, 1 - ABS(tbl_kpi[[#This Row],[VarianceQty]]) / tbl_kpi[[#This Row],[ExpectedQty]]))</f>
        <v>0.97902097902097907</v>
      </c>
      <c r="I438" s="2" t="str">
        <f>IF(tbl_kpi[[#This Row],[AccuracyPct]] &lt; 0.98, "Y", "N")</f>
        <v>Y</v>
      </c>
    </row>
    <row r="439" spans="1:9">
      <c r="A439" s="2">
        <v>467</v>
      </c>
      <c r="B439" s="2">
        <v>50</v>
      </c>
      <c r="C439" s="2" t="str">
        <f>_xlfn.XLOOKUP(tbl_kpi[[#This Row],[LocationID]], tbl_location[LocationID], tbl_location[LocationName], "UNMAPPED_LOCATION")</f>
        <v>Subassembly</v>
      </c>
      <c r="D439" s="2">
        <v>627</v>
      </c>
      <c r="E439" s="2">
        <v>619</v>
      </c>
      <c r="F439" s="2">
        <f>tbl_kpi[[#This Row],[OnHandQty]]</f>
        <v>627</v>
      </c>
      <c r="G439" s="2">
        <f>tbl_kpi[[#This Row],[CountedQty]]-tbl_kpi[[#This Row],[ExpectedQty]]</f>
        <v>-8</v>
      </c>
      <c r="H439" s="2">
        <f>IF(tbl_kpi[[#This Row],[ExpectedQty]]=0, 1, MAX(0, 1 - ABS(tbl_kpi[[#This Row],[VarianceQty]]) / tbl_kpi[[#This Row],[ExpectedQty]]))</f>
        <v>0.98724082934609247</v>
      </c>
      <c r="I439" s="2" t="str">
        <f>IF(tbl_kpi[[#This Row],[AccuracyPct]] &lt; 0.98, "Y", "N")</f>
        <v>N</v>
      </c>
    </row>
    <row r="440" spans="1:9">
      <c r="A440" s="2">
        <v>468</v>
      </c>
      <c r="B440" s="2">
        <v>1</v>
      </c>
      <c r="C440" s="2" t="str">
        <f>_xlfn.XLOOKUP(tbl_kpi[[#This Row],[LocationID]], tbl_location[LocationID], tbl_location[LocationName], "UNMAPPED_LOCATION")</f>
        <v>Tool Crib</v>
      </c>
      <c r="D440" s="2">
        <v>507</v>
      </c>
      <c r="E440" s="2">
        <v>512</v>
      </c>
      <c r="F440" s="2">
        <f>tbl_kpi[[#This Row],[OnHandQty]]</f>
        <v>507</v>
      </c>
      <c r="G440" s="2">
        <f>tbl_kpi[[#This Row],[CountedQty]]-tbl_kpi[[#This Row],[ExpectedQty]]</f>
        <v>5</v>
      </c>
      <c r="H440" s="2">
        <f>IF(tbl_kpi[[#This Row],[ExpectedQty]]=0, 1, MAX(0, 1 - ABS(tbl_kpi[[#This Row],[VarianceQty]]) / tbl_kpi[[#This Row],[ExpectedQty]]))</f>
        <v>0.99013806706114393</v>
      </c>
      <c r="I440" s="2" t="str">
        <f>IF(tbl_kpi[[#This Row],[AccuracyPct]] &lt; 0.98, "Y", "N")</f>
        <v>N</v>
      </c>
    </row>
    <row r="441" spans="1:9">
      <c r="A441" s="2">
        <v>468</v>
      </c>
      <c r="B441" s="2">
        <v>6</v>
      </c>
      <c r="C441" s="2" t="str">
        <f>_xlfn.XLOOKUP(tbl_kpi[[#This Row],[LocationID]], tbl_location[LocationID], tbl_location[LocationName], "UNMAPPED_LOCATION")</f>
        <v>Miscellaneous Storage</v>
      </c>
      <c r="D441" s="2">
        <v>574</v>
      </c>
      <c r="E441" s="2">
        <v>588</v>
      </c>
      <c r="F441" s="2">
        <f>tbl_kpi[[#This Row],[OnHandQty]]</f>
        <v>574</v>
      </c>
      <c r="G441" s="2">
        <f>tbl_kpi[[#This Row],[CountedQty]]-tbl_kpi[[#This Row],[ExpectedQty]]</f>
        <v>14</v>
      </c>
      <c r="H441" s="2">
        <f>IF(tbl_kpi[[#This Row],[ExpectedQty]]=0, 1, MAX(0, 1 - ABS(tbl_kpi[[#This Row],[VarianceQty]]) / tbl_kpi[[#This Row],[ExpectedQty]]))</f>
        <v>0.97560975609756095</v>
      </c>
      <c r="I441" s="2" t="str">
        <f>IF(tbl_kpi[[#This Row],[AccuracyPct]] &lt; 0.98, "Y", "N")</f>
        <v>Y</v>
      </c>
    </row>
    <row r="442" spans="1:9">
      <c r="A442" s="2">
        <v>468</v>
      </c>
      <c r="B442" s="2">
        <v>50</v>
      </c>
      <c r="C442" s="2" t="str">
        <f>_xlfn.XLOOKUP(tbl_kpi[[#This Row],[LocationID]], tbl_location[LocationID], tbl_location[LocationName], "UNMAPPED_LOCATION")</f>
        <v>Subassembly</v>
      </c>
      <c r="D442" s="2">
        <v>628</v>
      </c>
      <c r="E442" s="2">
        <v>618</v>
      </c>
      <c r="F442" s="2">
        <f>tbl_kpi[[#This Row],[OnHandQty]]</f>
        <v>628</v>
      </c>
      <c r="G442" s="2">
        <f>tbl_kpi[[#This Row],[CountedQty]]-tbl_kpi[[#This Row],[ExpectedQty]]</f>
        <v>-10</v>
      </c>
      <c r="H442" s="2">
        <f>IF(tbl_kpi[[#This Row],[ExpectedQty]]=0, 1, MAX(0, 1 - ABS(tbl_kpi[[#This Row],[VarianceQty]]) / tbl_kpi[[#This Row],[ExpectedQty]]))</f>
        <v>0.98407643312101911</v>
      </c>
      <c r="I442" s="2" t="str">
        <f>IF(tbl_kpi[[#This Row],[AccuracyPct]] &lt; 0.98, "Y", "N")</f>
        <v>N</v>
      </c>
    </row>
    <row r="443" spans="1:9">
      <c r="A443" s="2">
        <v>469</v>
      </c>
      <c r="B443" s="2">
        <v>1</v>
      </c>
      <c r="C443" s="2" t="str">
        <f>_xlfn.XLOOKUP(tbl_kpi[[#This Row],[LocationID]], tbl_location[LocationID], tbl_location[LocationName], "UNMAPPED_LOCATION")</f>
        <v>Tool Crib</v>
      </c>
      <c r="D443" s="2">
        <v>508</v>
      </c>
      <c r="E443" s="2">
        <v>515</v>
      </c>
      <c r="F443" s="2">
        <f>tbl_kpi[[#This Row],[OnHandQty]]</f>
        <v>508</v>
      </c>
      <c r="G443" s="2">
        <f>tbl_kpi[[#This Row],[CountedQty]]-tbl_kpi[[#This Row],[ExpectedQty]]</f>
        <v>7</v>
      </c>
      <c r="H443" s="2">
        <f>IF(tbl_kpi[[#This Row],[ExpectedQty]]=0, 1, MAX(0, 1 - ABS(tbl_kpi[[#This Row],[VarianceQty]]) / tbl_kpi[[#This Row],[ExpectedQty]]))</f>
        <v>0.98622047244094491</v>
      </c>
      <c r="I443" s="2" t="str">
        <f>IF(tbl_kpi[[#This Row],[AccuracyPct]] &lt; 0.98, "Y", "N")</f>
        <v>N</v>
      </c>
    </row>
    <row r="444" spans="1:9">
      <c r="A444" s="2">
        <v>469</v>
      </c>
      <c r="B444" s="2">
        <v>6</v>
      </c>
      <c r="C444" s="2" t="str">
        <f>_xlfn.XLOOKUP(tbl_kpi[[#This Row],[LocationID]], tbl_location[LocationID], tbl_location[LocationName], "UNMAPPED_LOCATION")</f>
        <v>Miscellaneous Storage</v>
      </c>
      <c r="D444" s="2">
        <v>576</v>
      </c>
      <c r="E444" s="2">
        <v>587</v>
      </c>
      <c r="F444" s="2">
        <f>tbl_kpi[[#This Row],[OnHandQty]]</f>
        <v>576</v>
      </c>
      <c r="G444" s="2">
        <f>tbl_kpi[[#This Row],[CountedQty]]-tbl_kpi[[#This Row],[ExpectedQty]]</f>
        <v>11</v>
      </c>
      <c r="H444" s="2">
        <f>IF(tbl_kpi[[#This Row],[ExpectedQty]]=0, 1, MAX(0, 1 - ABS(tbl_kpi[[#This Row],[VarianceQty]]) / tbl_kpi[[#This Row],[ExpectedQty]]))</f>
        <v>0.98090277777777779</v>
      </c>
      <c r="I444" s="2" t="str">
        <f>IF(tbl_kpi[[#This Row],[AccuracyPct]] &lt; 0.98, "Y", "N")</f>
        <v>N</v>
      </c>
    </row>
    <row r="445" spans="1:9">
      <c r="A445" s="2">
        <v>469</v>
      </c>
      <c r="B445" s="2">
        <v>50</v>
      </c>
      <c r="C445" s="2" t="str">
        <f>_xlfn.XLOOKUP(tbl_kpi[[#This Row],[LocationID]], tbl_location[LocationID], tbl_location[LocationName], "UNMAPPED_LOCATION")</f>
        <v>Subassembly</v>
      </c>
      <c r="D445" s="2">
        <v>630</v>
      </c>
      <c r="E445" s="2">
        <v>635</v>
      </c>
      <c r="F445" s="2">
        <f>tbl_kpi[[#This Row],[OnHandQty]]</f>
        <v>630</v>
      </c>
      <c r="G445" s="2">
        <f>tbl_kpi[[#This Row],[CountedQty]]-tbl_kpi[[#This Row],[ExpectedQty]]</f>
        <v>5</v>
      </c>
      <c r="H445" s="2">
        <f>IF(tbl_kpi[[#This Row],[ExpectedQty]]=0, 1, MAX(0, 1 - ABS(tbl_kpi[[#This Row],[VarianceQty]]) / tbl_kpi[[#This Row],[ExpectedQty]]))</f>
        <v>0.99206349206349209</v>
      </c>
      <c r="I445" s="2" t="str">
        <f>IF(tbl_kpi[[#This Row],[AccuracyPct]] &lt; 0.98, "Y", "N")</f>
        <v>N</v>
      </c>
    </row>
    <row r="446" spans="1:9">
      <c r="A446" s="2">
        <v>470</v>
      </c>
      <c r="B446" s="2">
        <v>1</v>
      </c>
      <c r="C446" s="2" t="str">
        <f>_xlfn.XLOOKUP(tbl_kpi[[#This Row],[LocationID]], tbl_location[LocationID], tbl_location[LocationName], "UNMAPPED_LOCATION")</f>
        <v>Tool Crib</v>
      </c>
      <c r="D446" s="2">
        <v>510</v>
      </c>
      <c r="E446" s="2">
        <v>520</v>
      </c>
      <c r="F446" s="2">
        <f>tbl_kpi[[#This Row],[OnHandQty]]</f>
        <v>510</v>
      </c>
      <c r="G446" s="2">
        <f>tbl_kpi[[#This Row],[CountedQty]]-tbl_kpi[[#This Row],[ExpectedQty]]</f>
        <v>10</v>
      </c>
      <c r="H446" s="2">
        <f>IF(tbl_kpi[[#This Row],[ExpectedQty]]=0, 1, MAX(0, 1 - ABS(tbl_kpi[[#This Row],[VarianceQty]]) / tbl_kpi[[#This Row],[ExpectedQty]]))</f>
        <v>0.98039215686274506</v>
      </c>
      <c r="I446" s="2" t="str">
        <f>IF(tbl_kpi[[#This Row],[AccuracyPct]] &lt; 0.98, "Y", "N")</f>
        <v>N</v>
      </c>
    </row>
    <row r="447" spans="1:9">
      <c r="A447" s="2">
        <v>470</v>
      </c>
      <c r="B447" s="2">
        <v>6</v>
      </c>
      <c r="C447" s="2" t="str">
        <f>_xlfn.XLOOKUP(tbl_kpi[[#This Row],[LocationID]], tbl_location[LocationID], tbl_location[LocationName], "UNMAPPED_LOCATION")</f>
        <v>Miscellaneous Storage</v>
      </c>
      <c r="D447" s="2">
        <v>577</v>
      </c>
      <c r="E447" s="2">
        <v>573</v>
      </c>
      <c r="F447" s="2">
        <f>tbl_kpi[[#This Row],[OnHandQty]]</f>
        <v>577</v>
      </c>
      <c r="G447" s="2">
        <f>tbl_kpi[[#This Row],[CountedQty]]-tbl_kpi[[#This Row],[ExpectedQty]]</f>
        <v>-4</v>
      </c>
      <c r="H447" s="2">
        <f>IF(tbl_kpi[[#This Row],[ExpectedQty]]=0, 1, MAX(0, 1 - ABS(tbl_kpi[[#This Row],[VarianceQty]]) / tbl_kpi[[#This Row],[ExpectedQty]]))</f>
        <v>0.99306759098786823</v>
      </c>
      <c r="I447" s="2" t="str">
        <f>IF(tbl_kpi[[#This Row],[AccuracyPct]] &lt; 0.98, "Y", "N")</f>
        <v>N</v>
      </c>
    </row>
    <row r="448" spans="1:9">
      <c r="A448" s="2">
        <v>470</v>
      </c>
      <c r="B448" s="2">
        <v>50</v>
      </c>
      <c r="C448" s="2" t="str">
        <f>_xlfn.XLOOKUP(tbl_kpi[[#This Row],[LocationID]], tbl_location[LocationID], tbl_location[LocationName], "UNMAPPED_LOCATION")</f>
        <v>Subassembly</v>
      </c>
      <c r="D448" s="2">
        <v>632</v>
      </c>
      <c r="E448" s="2">
        <v>617</v>
      </c>
      <c r="F448" s="2">
        <f>tbl_kpi[[#This Row],[OnHandQty]]</f>
        <v>632</v>
      </c>
      <c r="G448" s="2">
        <f>tbl_kpi[[#This Row],[CountedQty]]-tbl_kpi[[#This Row],[ExpectedQty]]</f>
        <v>-15</v>
      </c>
      <c r="H448" s="2">
        <f>IF(tbl_kpi[[#This Row],[ExpectedQty]]=0, 1, MAX(0, 1 - ABS(tbl_kpi[[#This Row],[VarianceQty]]) / tbl_kpi[[#This Row],[ExpectedQty]]))</f>
        <v>0.97626582278481011</v>
      </c>
      <c r="I448" s="2" t="str">
        <f>IF(tbl_kpi[[#This Row],[AccuracyPct]] &lt; 0.98, "Y", "N")</f>
        <v>Y</v>
      </c>
    </row>
    <row r="449" spans="1:9">
      <c r="A449" s="2">
        <v>471</v>
      </c>
      <c r="B449" s="2">
        <v>1</v>
      </c>
      <c r="C449" s="2" t="str">
        <f>_xlfn.XLOOKUP(tbl_kpi[[#This Row],[LocationID]], tbl_location[LocationID], tbl_location[LocationName], "UNMAPPED_LOCATION")</f>
        <v>Tool Crib</v>
      </c>
      <c r="D449" s="2">
        <v>512</v>
      </c>
      <c r="E449" s="2">
        <v>514</v>
      </c>
      <c r="F449" s="2">
        <f>tbl_kpi[[#This Row],[OnHandQty]]</f>
        <v>512</v>
      </c>
      <c r="G449" s="2">
        <f>tbl_kpi[[#This Row],[CountedQty]]-tbl_kpi[[#This Row],[ExpectedQty]]</f>
        <v>2</v>
      </c>
      <c r="H449" s="2">
        <f>IF(tbl_kpi[[#This Row],[ExpectedQty]]=0, 1, MAX(0, 1 - ABS(tbl_kpi[[#This Row],[VarianceQty]]) / tbl_kpi[[#This Row],[ExpectedQty]]))</f>
        <v>0.99609375</v>
      </c>
      <c r="I449" s="2" t="str">
        <f>IF(tbl_kpi[[#This Row],[AccuracyPct]] &lt; 0.98, "Y", "N")</f>
        <v>N</v>
      </c>
    </row>
    <row r="450" spans="1:9">
      <c r="A450" s="2">
        <v>471</v>
      </c>
      <c r="B450" s="2">
        <v>6</v>
      </c>
      <c r="C450" s="2" t="str">
        <f>_xlfn.XLOOKUP(tbl_kpi[[#This Row],[LocationID]], tbl_location[LocationID], tbl_location[LocationName], "UNMAPPED_LOCATION")</f>
        <v>Miscellaneous Storage</v>
      </c>
      <c r="D450" s="2">
        <v>579</v>
      </c>
      <c r="E450" s="2">
        <v>590</v>
      </c>
      <c r="F450" s="2">
        <f>tbl_kpi[[#This Row],[OnHandQty]]</f>
        <v>579</v>
      </c>
      <c r="G450" s="2">
        <f>tbl_kpi[[#This Row],[CountedQty]]-tbl_kpi[[#This Row],[ExpectedQty]]</f>
        <v>11</v>
      </c>
      <c r="H450" s="2">
        <f>IF(tbl_kpi[[#This Row],[ExpectedQty]]=0, 1, MAX(0, 1 - ABS(tbl_kpi[[#This Row],[VarianceQty]]) / tbl_kpi[[#This Row],[ExpectedQty]]))</f>
        <v>0.98100172711571676</v>
      </c>
      <c r="I450" s="2" t="str">
        <f>IF(tbl_kpi[[#This Row],[AccuracyPct]] &lt; 0.98, "Y", "N")</f>
        <v>N</v>
      </c>
    </row>
    <row r="451" spans="1:9">
      <c r="A451" s="2">
        <v>471</v>
      </c>
      <c r="B451" s="2">
        <v>50</v>
      </c>
      <c r="C451" s="2" t="str">
        <f>_xlfn.XLOOKUP(tbl_kpi[[#This Row],[LocationID]], tbl_location[LocationID], tbl_location[LocationName], "UNMAPPED_LOCATION")</f>
        <v>Subassembly</v>
      </c>
      <c r="D451" s="2">
        <v>633</v>
      </c>
      <c r="E451" s="2">
        <v>625</v>
      </c>
      <c r="F451" s="2">
        <f>tbl_kpi[[#This Row],[OnHandQty]]</f>
        <v>633</v>
      </c>
      <c r="G451" s="2">
        <f>tbl_kpi[[#This Row],[CountedQty]]-tbl_kpi[[#This Row],[ExpectedQty]]</f>
        <v>-8</v>
      </c>
      <c r="H451" s="2">
        <f>IF(tbl_kpi[[#This Row],[ExpectedQty]]=0, 1, MAX(0, 1 - ABS(tbl_kpi[[#This Row],[VarianceQty]]) / tbl_kpi[[#This Row],[ExpectedQty]]))</f>
        <v>0.9873617693522907</v>
      </c>
      <c r="I451" s="2" t="str">
        <f>IF(tbl_kpi[[#This Row],[AccuracyPct]] &lt; 0.98, "Y", "N")</f>
        <v>N</v>
      </c>
    </row>
    <row r="452" spans="1:9">
      <c r="A452" s="2">
        <v>472</v>
      </c>
      <c r="B452" s="2">
        <v>1</v>
      </c>
      <c r="C452" s="2" t="str">
        <f>_xlfn.XLOOKUP(tbl_kpi[[#This Row],[LocationID]], tbl_location[LocationID], tbl_location[LocationName], "UNMAPPED_LOCATION")</f>
        <v>Tool Crib</v>
      </c>
      <c r="D452" s="2">
        <v>513</v>
      </c>
      <c r="E452" s="2">
        <v>500</v>
      </c>
      <c r="F452" s="2">
        <f>tbl_kpi[[#This Row],[OnHandQty]]</f>
        <v>513</v>
      </c>
      <c r="G452" s="2">
        <f>tbl_kpi[[#This Row],[CountedQty]]-tbl_kpi[[#This Row],[ExpectedQty]]</f>
        <v>-13</v>
      </c>
      <c r="H452" s="2">
        <f>IF(tbl_kpi[[#This Row],[ExpectedQty]]=0, 1, MAX(0, 1 - ABS(tbl_kpi[[#This Row],[VarianceQty]]) / tbl_kpi[[#This Row],[ExpectedQty]]))</f>
        <v>0.97465886939571145</v>
      </c>
      <c r="I452" s="2" t="str">
        <f>IF(tbl_kpi[[#This Row],[AccuracyPct]] &lt; 0.98, "Y", "N")</f>
        <v>Y</v>
      </c>
    </row>
    <row r="453" spans="1:9">
      <c r="A453" s="2">
        <v>472</v>
      </c>
      <c r="B453" s="2">
        <v>6</v>
      </c>
      <c r="C453" s="2" t="str">
        <f>_xlfn.XLOOKUP(tbl_kpi[[#This Row],[LocationID]], tbl_location[LocationID], tbl_location[LocationName], "UNMAPPED_LOCATION")</f>
        <v>Miscellaneous Storage</v>
      </c>
      <c r="D453" s="2">
        <v>580</v>
      </c>
      <c r="E453" s="2">
        <v>566</v>
      </c>
      <c r="F453" s="2">
        <f>tbl_kpi[[#This Row],[OnHandQty]]</f>
        <v>580</v>
      </c>
      <c r="G453" s="2">
        <f>tbl_kpi[[#This Row],[CountedQty]]-tbl_kpi[[#This Row],[ExpectedQty]]</f>
        <v>-14</v>
      </c>
      <c r="H453" s="2">
        <f>IF(tbl_kpi[[#This Row],[ExpectedQty]]=0, 1, MAX(0, 1 - ABS(tbl_kpi[[#This Row],[VarianceQty]]) / tbl_kpi[[#This Row],[ExpectedQty]]))</f>
        <v>0.97586206896551719</v>
      </c>
      <c r="I453" s="2" t="str">
        <f>IF(tbl_kpi[[#This Row],[AccuracyPct]] &lt; 0.98, "Y", "N")</f>
        <v>Y</v>
      </c>
    </row>
    <row r="454" spans="1:9">
      <c r="A454" s="2">
        <v>472</v>
      </c>
      <c r="B454" s="2">
        <v>50</v>
      </c>
      <c r="C454" s="2" t="str">
        <f>_xlfn.XLOOKUP(tbl_kpi[[#This Row],[LocationID]], tbl_location[LocationID], tbl_location[LocationName], "UNMAPPED_LOCATION")</f>
        <v>Subassembly</v>
      </c>
      <c r="D454" s="2">
        <v>635</v>
      </c>
      <c r="E454" s="2">
        <v>625</v>
      </c>
      <c r="F454" s="2">
        <f>tbl_kpi[[#This Row],[OnHandQty]]</f>
        <v>635</v>
      </c>
      <c r="G454" s="2">
        <f>tbl_kpi[[#This Row],[CountedQty]]-tbl_kpi[[#This Row],[ExpectedQty]]</f>
        <v>-10</v>
      </c>
      <c r="H454" s="2">
        <f>IF(tbl_kpi[[#This Row],[ExpectedQty]]=0, 1, MAX(0, 1 - ABS(tbl_kpi[[#This Row],[VarianceQty]]) / tbl_kpi[[#This Row],[ExpectedQty]]))</f>
        <v>0.98425196850393704</v>
      </c>
      <c r="I454" s="2" t="str">
        <f>IF(tbl_kpi[[#This Row],[AccuracyPct]] &lt; 0.98, "Y", "N")</f>
        <v>N</v>
      </c>
    </row>
    <row r="455" spans="1:9">
      <c r="A455" s="2">
        <v>473</v>
      </c>
      <c r="B455" s="2">
        <v>1</v>
      </c>
      <c r="C455" s="2" t="str">
        <f>_xlfn.XLOOKUP(tbl_kpi[[#This Row],[LocationID]], tbl_location[LocationID], tbl_location[LocationName], "UNMAPPED_LOCATION")</f>
        <v>Tool Crib</v>
      </c>
      <c r="D455" s="2">
        <v>515</v>
      </c>
      <c r="E455" s="2">
        <v>518</v>
      </c>
      <c r="F455" s="2">
        <f>tbl_kpi[[#This Row],[OnHandQty]]</f>
        <v>515</v>
      </c>
      <c r="G455" s="2">
        <f>tbl_kpi[[#This Row],[CountedQty]]-tbl_kpi[[#This Row],[ExpectedQty]]</f>
        <v>3</v>
      </c>
      <c r="H455" s="2">
        <f>IF(tbl_kpi[[#This Row],[ExpectedQty]]=0, 1, MAX(0, 1 - ABS(tbl_kpi[[#This Row],[VarianceQty]]) / tbl_kpi[[#This Row],[ExpectedQty]]))</f>
        <v>0.99417475728155336</v>
      </c>
      <c r="I455" s="2" t="str">
        <f>IF(tbl_kpi[[#This Row],[AccuracyPct]] &lt; 0.98, "Y", "N")</f>
        <v>N</v>
      </c>
    </row>
    <row r="456" spans="1:9">
      <c r="A456" s="2">
        <v>473</v>
      </c>
      <c r="B456" s="2">
        <v>6</v>
      </c>
      <c r="C456" s="2" t="str">
        <f>_xlfn.XLOOKUP(tbl_kpi[[#This Row],[LocationID]], tbl_location[LocationID], tbl_location[LocationName], "UNMAPPED_LOCATION")</f>
        <v>Miscellaneous Storage</v>
      </c>
      <c r="D456" s="2">
        <v>582</v>
      </c>
      <c r="E456" s="2">
        <v>599</v>
      </c>
      <c r="F456" s="2">
        <f>tbl_kpi[[#This Row],[OnHandQty]]</f>
        <v>582</v>
      </c>
      <c r="G456" s="2">
        <f>tbl_kpi[[#This Row],[CountedQty]]-tbl_kpi[[#This Row],[ExpectedQty]]</f>
        <v>17</v>
      </c>
      <c r="H456" s="2">
        <f>IF(tbl_kpi[[#This Row],[ExpectedQty]]=0, 1, MAX(0, 1 - ABS(tbl_kpi[[#This Row],[VarianceQty]]) / tbl_kpi[[#This Row],[ExpectedQty]]))</f>
        <v>0.97079037800687284</v>
      </c>
      <c r="I456" s="2" t="str">
        <f>IF(tbl_kpi[[#This Row],[AccuracyPct]] &lt; 0.98, "Y", "N")</f>
        <v>Y</v>
      </c>
    </row>
    <row r="457" spans="1:9">
      <c r="A457" s="2">
        <v>473</v>
      </c>
      <c r="B457" s="2">
        <v>50</v>
      </c>
      <c r="C457" s="2" t="str">
        <f>_xlfn.XLOOKUP(tbl_kpi[[#This Row],[LocationID]], tbl_location[LocationID], tbl_location[LocationName], "UNMAPPED_LOCATION")</f>
        <v>Subassembly</v>
      </c>
      <c r="D457" s="2">
        <v>636</v>
      </c>
      <c r="E457" s="2">
        <v>654</v>
      </c>
      <c r="F457" s="2">
        <f>tbl_kpi[[#This Row],[OnHandQty]]</f>
        <v>636</v>
      </c>
      <c r="G457" s="2">
        <f>tbl_kpi[[#This Row],[CountedQty]]-tbl_kpi[[#This Row],[ExpectedQty]]</f>
        <v>18</v>
      </c>
      <c r="H457" s="2">
        <f>IF(tbl_kpi[[#This Row],[ExpectedQty]]=0, 1, MAX(0, 1 - ABS(tbl_kpi[[#This Row],[VarianceQty]]) / tbl_kpi[[#This Row],[ExpectedQty]]))</f>
        <v>0.97169811320754718</v>
      </c>
      <c r="I457" s="2" t="str">
        <f>IF(tbl_kpi[[#This Row],[AccuracyPct]] &lt; 0.98, "Y", "N")</f>
        <v>Y</v>
      </c>
    </row>
    <row r="458" spans="1:9">
      <c r="A458" s="2">
        <v>474</v>
      </c>
      <c r="B458" s="2">
        <v>1</v>
      </c>
      <c r="C458" s="2" t="str">
        <f>_xlfn.XLOOKUP(tbl_kpi[[#This Row],[LocationID]], tbl_location[LocationID], tbl_location[LocationName], "UNMAPPED_LOCATION")</f>
        <v>Tool Crib</v>
      </c>
      <c r="D458" s="2">
        <v>516</v>
      </c>
      <c r="E458" s="2">
        <v>515</v>
      </c>
      <c r="F458" s="2">
        <f>tbl_kpi[[#This Row],[OnHandQty]]</f>
        <v>516</v>
      </c>
      <c r="G458" s="2">
        <f>tbl_kpi[[#This Row],[CountedQty]]-tbl_kpi[[#This Row],[ExpectedQty]]</f>
        <v>-1</v>
      </c>
      <c r="H458" s="2">
        <f>IF(tbl_kpi[[#This Row],[ExpectedQty]]=0, 1, MAX(0, 1 - ABS(tbl_kpi[[#This Row],[VarianceQty]]) / tbl_kpi[[#This Row],[ExpectedQty]]))</f>
        <v>0.99806201550387597</v>
      </c>
      <c r="I458" s="2" t="str">
        <f>IF(tbl_kpi[[#This Row],[AccuracyPct]] &lt; 0.98, "Y", "N")</f>
        <v>N</v>
      </c>
    </row>
    <row r="459" spans="1:9">
      <c r="A459" s="2">
        <v>474</v>
      </c>
      <c r="B459" s="2">
        <v>6</v>
      </c>
      <c r="C459" s="2" t="str">
        <f>_xlfn.XLOOKUP(tbl_kpi[[#This Row],[LocationID]], tbl_location[LocationID], tbl_location[LocationName], "UNMAPPED_LOCATION")</f>
        <v>Miscellaneous Storage</v>
      </c>
      <c r="D459" s="2">
        <v>584</v>
      </c>
      <c r="E459" s="2">
        <v>583</v>
      </c>
      <c r="F459" s="2">
        <f>tbl_kpi[[#This Row],[OnHandQty]]</f>
        <v>584</v>
      </c>
      <c r="G459" s="2">
        <f>tbl_kpi[[#This Row],[CountedQty]]-tbl_kpi[[#This Row],[ExpectedQty]]</f>
        <v>-1</v>
      </c>
      <c r="H459" s="2">
        <f>IF(tbl_kpi[[#This Row],[ExpectedQty]]=0, 1, MAX(0, 1 - ABS(tbl_kpi[[#This Row],[VarianceQty]]) / tbl_kpi[[#This Row],[ExpectedQty]]))</f>
        <v>0.99828767123287676</v>
      </c>
      <c r="I459" s="2" t="str">
        <f>IF(tbl_kpi[[#This Row],[AccuracyPct]] &lt; 0.98, "Y", "N")</f>
        <v>N</v>
      </c>
    </row>
    <row r="460" spans="1:9">
      <c r="A460" s="2">
        <v>474</v>
      </c>
      <c r="B460" s="2">
        <v>50</v>
      </c>
      <c r="C460" s="2" t="str">
        <f>_xlfn.XLOOKUP(tbl_kpi[[#This Row],[LocationID]], tbl_location[LocationID], tbl_location[LocationName], "UNMAPPED_LOCATION")</f>
        <v>Subassembly</v>
      </c>
      <c r="D460" s="2">
        <v>638</v>
      </c>
      <c r="E460" s="2">
        <v>636</v>
      </c>
      <c r="F460" s="2">
        <f>tbl_kpi[[#This Row],[OnHandQty]]</f>
        <v>638</v>
      </c>
      <c r="G460" s="2">
        <f>tbl_kpi[[#This Row],[CountedQty]]-tbl_kpi[[#This Row],[ExpectedQty]]</f>
        <v>-2</v>
      </c>
      <c r="H460" s="2">
        <f>IF(tbl_kpi[[#This Row],[ExpectedQty]]=0, 1, MAX(0, 1 - ABS(tbl_kpi[[#This Row],[VarianceQty]]) / tbl_kpi[[#This Row],[ExpectedQty]]))</f>
        <v>0.99686520376175547</v>
      </c>
      <c r="I460" s="2" t="str">
        <f>IF(tbl_kpi[[#This Row],[AccuracyPct]] &lt; 0.98, "Y", "N")</f>
        <v>N</v>
      </c>
    </row>
    <row r="461" spans="1:9">
      <c r="A461" s="2">
        <v>475</v>
      </c>
      <c r="B461" s="2">
        <v>1</v>
      </c>
      <c r="C461" s="2" t="str">
        <f>_xlfn.XLOOKUP(tbl_kpi[[#This Row],[LocationID]], tbl_location[LocationID], tbl_location[LocationName], "UNMAPPED_LOCATION")</f>
        <v>Tool Crib</v>
      </c>
      <c r="D461" s="2">
        <v>518</v>
      </c>
      <c r="E461" s="2">
        <v>524</v>
      </c>
      <c r="F461" s="2">
        <f>tbl_kpi[[#This Row],[OnHandQty]]</f>
        <v>518</v>
      </c>
      <c r="G461" s="2">
        <f>tbl_kpi[[#This Row],[CountedQty]]-tbl_kpi[[#This Row],[ExpectedQty]]</f>
        <v>6</v>
      </c>
      <c r="H461" s="2">
        <f>IF(tbl_kpi[[#This Row],[ExpectedQty]]=0, 1, MAX(0, 1 - ABS(tbl_kpi[[#This Row],[VarianceQty]]) / tbl_kpi[[#This Row],[ExpectedQty]]))</f>
        <v>0.98841698841698844</v>
      </c>
      <c r="I461" s="2" t="str">
        <f>IF(tbl_kpi[[#This Row],[AccuracyPct]] &lt; 0.98, "Y", "N")</f>
        <v>N</v>
      </c>
    </row>
    <row r="462" spans="1:9">
      <c r="A462" s="2">
        <v>475</v>
      </c>
      <c r="B462" s="2">
        <v>6</v>
      </c>
      <c r="C462" s="2" t="str">
        <f>_xlfn.XLOOKUP(tbl_kpi[[#This Row],[LocationID]], tbl_location[LocationID], tbl_location[LocationName], "UNMAPPED_LOCATION")</f>
        <v>Miscellaneous Storage</v>
      </c>
      <c r="D462" s="2">
        <v>585</v>
      </c>
      <c r="E462" s="2">
        <v>576</v>
      </c>
      <c r="F462" s="2">
        <f>tbl_kpi[[#This Row],[OnHandQty]]</f>
        <v>585</v>
      </c>
      <c r="G462" s="2">
        <f>tbl_kpi[[#This Row],[CountedQty]]-tbl_kpi[[#This Row],[ExpectedQty]]</f>
        <v>-9</v>
      </c>
      <c r="H462" s="2">
        <f>IF(tbl_kpi[[#This Row],[ExpectedQty]]=0, 1, MAX(0, 1 - ABS(tbl_kpi[[#This Row],[VarianceQty]]) / tbl_kpi[[#This Row],[ExpectedQty]]))</f>
        <v>0.98461538461538467</v>
      </c>
      <c r="I462" s="2" t="str">
        <f>IF(tbl_kpi[[#This Row],[AccuracyPct]] &lt; 0.98, "Y", "N")</f>
        <v>N</v>
      </c>
    </row>
    <row r="463" spans="1:9">
      <c r="A463" s="2">
        <v>475</v>
      </c>
      <c r="B463" s="2">
        <v>50</v>
      </c>
      <c r="C463" s="2" t="str">
        <f>_xlfn.XLOOKUP(tbl_kpi[[#This Row],[LocationID]], tbl_location[LocationID], tbl_location[LocationName], "UNMAPPED_LOCATION")</f>
        <v>Subassembly</v>
      </c>
      <c r="D463" s="2">
        <v>640</v>
      </c>
      <c r="E463" s="2">
        <v>632</v>
      </c>
      <c r="F463" s="2">
        <f>tbl_kpi[[#This Row],[OnHandQty]]</f>
        <v>640</v>
      </c>
      <c r="G463" s="2">
        <f>tbl_kpi[[#This Row],[CountedQty]]-tbl_kpi[[#This Row],[ExpectedQty]]</f>
        <v>-8</v>
      </c>
      <c r="H463" s="2">
        <f>IF(tbl_kpi[[#This Row],[ExpectedQty]]=0, 1, MAX(0, 1 - ABS(tbl_kpi[[#This Row],[VarianceQty]]) / tbl_kpi[[#This Row],[ExpectedQty]]))</f>
        <v>0.98750000000000004</v>
      </c>
      <c r="I463" s="2" t="str">
        <f>IF(tbl_kpi[[#This Row],[AccuracyPct]] &lt; 0.98, "Y", "N")</f>
        <v>N</v>
      </c>
    </row>
    <row r="464" spans="1:9">
      <c r="A464" s="2">
        <v>476</v>
      </c>
      <c r="B464" s="2">
        <v>5</v>
      </c>
      <c r="C464" s="2" t="str">
        <f>_xlfn.XLOOKUP(tbl_kpi[[#This Row],[LocationID]], tbl_location[LocationID], tbl_location[LocationName], "UNMAPPED_LOCATION")</f>
        <v>Metal Storage</v>
      </c>
      <c r="D464" s="2">
        <v>324</v>
      </c>
      <c r="E464" s="2">
        <v>315</v>
      </c>
      <c r="F464" s="2">
        <f>tbl_kpi[[#This Row],[OnHandQty]]</f>
        <v>324</v>
      </c>
      <c r="G464" s="2">
        <f>tbl_kpi[[#This Row],[CountedQty]]-tbl_kpi[[#This Row],[ExpectedQty]]</f>
        <v>-9</v>
      </c>
      <c r="H464" s="2">
        <f>IF(tbl_kpi[[#This Row],[ExpectedQty]]=0, 1, MAX(0, 1 - ABS(tbl_kpi[[#This Row],[VarianceQty]]) / tbl_kpi[[#This Row],[ExpectedQty]]))</f>
        <v>0.97222222222222221</v>
      </c>
      <c r="I464" s="2" t="str">
        <f>IF(tbl_kpi[[#This Row],[AccuracyPct]] &lt; 0.98, "Y", "N")</f>
        <v>Y</v>
      </c>
    </row>
    <row r="465" spans="1:9">
      <c r="A465" s="2">
        <v>476</v>
      </c>
      <c r="B465" s="2">
        <v>10</v>
      </c>
      <c r="C465" s="2" t="str">
        <f>_xlfn.XLOOKUP(tbl_kpi[[#This Row],[LocationID]], tbl_location[LocationID], tbl_location[LocationName], "UNMAPPED_LOCATION")</f>
        <v>Frame Forming</v>
      </c>
      <c r="D465" s="2">
        <v>404</v>
      </c>
      <c r="E465" s="2">
        <v>410</v>
      </c>
      <c r="F465" s="2">
        <f>tbl_kpi[[#This Row],[OnHandQty]]</f>
        <v>404</v>
      </c>
      <c r="G465" s="2">
        <f>tbl_kpi[[#This Row],[CountedQty]]-tbl_kpi[[#This Row],[ExpectedQty]]</f>
        <v>6</v>
      </c>
      <c r="H465" s="2">
        <f>IF(tbl_kpi[[#This Row],[ExpectedQty]]=0, 1, MAX(0, 1 - ABS(tbl_kpi[[#This Row],[VarianceQty]]) / tbl_kpi[[#This Row],[ExpectedQty]]))</f>
        <v>0.98514851485148514</v>
      </c>
      <c r="I465" s="2" t="str">
        <f>IF(tbl_kpi[[#This Row],[AccuracyPct]] &lt; 0.98, "Y", "N")</f>
        <v>N</v>
      </c>
    </row>
    <row r="466" spans="1:9">
      <c r="A466" s="2">
        <v>476</v>
      </c>
      <c r="B466" s="2">
        <v>20</v>
      </c>
      <c r="C466" s="2" t="str">
        <f>_xlfn.XLOOKUP(tbl_kpi[[#This Row],[LocationID]], tbl_location[LocationID], tbl_location[LocationName], "UNMAPPED_LOCATION")</f>
        <v>Frame Welding</v>
      </c>
      <c r="D466" s="2">
        <v>355</v>
      </c>
      <c r="E466" s="2">
        <v>358</v>
      </c>
      <c r="F466" s="2">
        <f>tbl_kpi[[#This Row],[OnHandQty]]</f>
        <v>355</v>
      </c>
      <c r="G466" s="2">
        <f>tbl_kpi[[#This Row],[CountedQty]]-tbl_kpi[[#This Row],[ExpectedQty]]</f>
        <v>3</v>
      </c>
      <c r="H466" s="2">
        <f>IF(tbl_kpi[[#This Row],[ExpectedQty]]=0, 1, MAX(0, 1 - ABS(tbl_kpi[[#This Row],[VarianceQty]]) / tbl_kpi[[#This Row],[ExpectedQty]]))</f>
        <v>0.9915492957746479</v>
      </c>
      <c r="I466" s="2" t="str">
        <f>IF(tbl_kpi[[#This Row],[AccuracyPct]] &lt; 0.98, "Y", "N")</f>
        <v>N</v>
      </c>
    </row>
    <row r="467" spans="1:9">
      <c r="A467" s="2">
        <v>477</v>
      </c>
      <c r="B467" s="2">
        <v>2</v>
      </c>
      <c r="C467" s="2" t="str">
        <f>_xlfn.XLOOKUP(tbl_kpi[[#This Row],[LocationID]], tbl_location[LocationID], tbl_location[LocationName], "UNMAPPED_LOCATION")</f>
        <v>Sheet Metal Racks</v>
      </c>
      <c r="D467" s="2">
        <v>403</v>
      </c>
      <c r="E467" s="2">
        <v>394</v>
      </c>
      <c r="F467" s="2">
        <f>tbl_kpi[[#This Row],[OnHandQty]]</f>
        <v>403</v>
      </c>
      <c r="G467" s="2">
        <f>tbl_kpi[[#This Row],[CountedQty]]-tbl_kpi[[#This Row],[ExpectedQty]]</f>
        <v>-9</v>
      </c>
      <c r="H467" s="2">
        <f>IF(tbl_kpi[[#This Row],[ExpectedQty]]=0, 1, MAX(0, 1 - ABS(tbl_kpi[[#This Row],[VarianceQty]]) / tbl_kpi[[#This Row],[ExpectedQty]]))</f>
        <v>0.97766749379652607</v>
      </c>
      <c r="I467" s="2" t="str">
        <f>IF(tbl_kpi[[#This Row],[AccuracyPct]] &lt; 0.98, "Y", "N")</f>
        <v>Y</v>
      </c>
    </row>
    <row r="468" spans="1:9">
      <c r="A468" s="2">
        <v>477</v>
      </c>
      <c r="B468" s="2">
        <v>5</v>
      </c>
      <c r="C468" s="2" t="str">
        <f>_xlfn.XLOOKUP(tbl_kpi[[#This Row],[LocationID]], tbl_location[LocationID], tbl_location[LocationName], "UNMAPPED_LOCATION")</f>
        <v>Metal Storage</v>
      </c>
      <c r="D468" s="2">
        <v>323</v>
      </c>
      <c r="E468" s="2">
        <v>327</v>
      </c>
      <c r="F468" s="2">
        <f>tbl_kpi[[#This Row],[OnHandQty]]</f>
        <v>323</v>
      </c>
      <c r="G468" s="2">
        <f>tbl_kpi[[#This Row],[CountedQty]]-tbl_kpi[[#This Row],[ExpectedQty]]</f>
        <v>4</v>
      </c>
      <c r="H468" s="2">
        <f>IF(tbl_kpi[[#This Row],[ExpectedQty]]=0, 1, MAX(0, 1 - ABS(tbl_kpi[[#This Row],[VarianceQty]]) / tbl_kpi[[#This Row],[ExpectedQty]]))</f>
        <v>0.9876160990712074</v>
      </c>
      <c r="I468" s="2" t="str">
        <f>IF(tbl_kpi[[#This Row],[AccuracyPct]] &lt; 0.98, "Y", "N")</f>
        <v>N</v>
      </c>
    </row>
    <row r="469" spans="1:9">
      <c r="A469" s="2">
        <v>477</v>
      </c>
      <c r="B469" s="2">
        <v>10</v>
      </c>
      <c r="C469" s="2" t="str">
        <f>_xlfn.XLOOKUP(tbl_kpi[[#This Row],[LocationID]], tbl_location[LocationID], tbl_location[LocationName], "UNMAPPED_LOCATION")</f>
        <v>Frame Forming</v>
      </c>
      <c r="D469" s="2">
        <v>353</v>
      </c>
      <c r="E469" s="2">
        <v>348</v>
      </c>
      <c r="F469" s="2">
        <f>tbl_kpi[[#This Row],[OnHandQty]]</f>
        <v>353</v>
      </c>
      <c r="G469" s="2">
        <f>tbl_kpi[[#This Row],[CountedQty]]-tbl_kpi[[#This Row],[ExpectedQty]]</f>
        <v>-5</v>
      </c>
      <c r="H469" s="2">
        <f>IF(tbl_kpi[[#This Row],[ExpectedQty]]=0, 1, MAX(0, 1 - ABS(tbl_kpi[[#This Row],[VarianceQty]]) / tbl_kpi[[#This Row],[ExpectedQty]]))</f>
        <v>0.98583569405099147</v>
      </c>
      <c r="I469" s="2" t="str">
        <f>IF(tbl_kpi[[#This Row],[AccuracyPct]] &lt; 0.98, "Y", "N")</f>
        <v>N</v>
      </c>
    </row>
    <row r="470" spans="1:9">
      <c r="A470" s="2">
        <v>478</v>
      </c>
      <c r="B470" s="2">
        <v>2</v>
      </c>
      <c r="C470" s="2" t="str">
        <f>_xlfn.XLOOKUP(tbl_kpi[[#This Row],[LocationID]], tbl_location[LocationID], tbl_location[LocationName], "UNMAPPED_LOCATION")</f>
        <v>Sheet Metal Racks</v>
      </c>
      <c r="D470" s="2">
        <v>497</v>
      </c>
      <c r="E470" s="2">
        <v>509</v>
      </c>
      <c r="F470" s="2">
        <f>tbl_kpi[[#This Row],[OnHandQty]]</f>
        <v>497</v>
      </c>
      <c r="G470" s="2">
        <f>tbl_kpi[[#This Row],[CountedQty]]-tbl_kpi[[#This Row],[ExpectedQty]]</f>
        <v>12</v>
      </c>
      <c r="H470" s="2">
        <f>IF(tbl_kpi[[#This Row],[ExpectedQty]]=0, 1, MAX(0, 1 - ABS(tbl_kpi[[#This Row],[VarianceQty]]) / tbl_kpi[[#This Row],[ExpectedQty]]))</f>
        <v>0.9758551307847082</v>
      </c>
      <c r="I470" s="2" t="str">
        <f>IF(tbl_kpi[[#This Row],[AccuracyPct]] &lt; 0.98, "Y", "N")</f>
        <v>Y</v>
      </c>
    </row>
    <row r="471" spans="1:9">
      <c r="A471" s="2">
        <v>478</v>
      </c>
      <c r="B471" s="2">
        <v>5</v>
      </c>
      <c r="C471" s="2" t="str">
        <f>_xlfn.XLOOKUP(tbl_kpi[[#This Row],[LocationID]], tbl_location[LocationID], tbl_location[LocationName], "UNMAPPED_LOCATION")</f>
        <v>Metal Storage</v>
      </c>
      <c r="D471" s="2">
        <v>568</v>
      </c>
      <c r="E471" s="2">
        <v>552</v>
      </c>
      <c r="F471" s="2">
        <f>tbl_kpi[[#This Row],[OnHandQty]]</f>
        <v>568</v>
      </c>
      <c r="G471" s="2">
        <f>tbl_kpi[[#This Row],[CountedQty]]-tbl_kpi[[#This Row],[ExpectedQty]]</f>
        <v>-16</v>
      </c>
      <c r="H471" s="2">
        <f>IF(tbl_kpi[[#This Row],[ExpectedQty]]=0, 1, MAX(0, 1 - ABS(tbl_kpi[[#This Row],[VarianceQty]]) / tbl_kpi[[#This Row],[ExpectedQty]]))</f>
        <v>0.971830985915493</v>
      </c>
      <c r="I471" s="2" t="str">
        <f>IF(tbl_kpi[[#This Row],[AccuracyPct]] &lt; 0.98, "Y", "N")</f>
        <v>Y</v>
      </c>
    </row>
    <row r="472" spans="1:9">
      <c r="A472" s="2">
        <v>478</v>
      </c>
      <c r="B472" s="2">
        <v>10</v>
      </c>
      <c r="C472" s="2" t="str">
        <f>_xlfn.XLOOKUP(tbl_kpi[[#This Row],[LocationID]], tbl_location[LocationID], tbl_location[LocationName], "UNMAPPED_LOCATION")</f>
        <v>Frame Forming</v>
      </c>
      <c r="D472" s="2">
        <v>622</v>
      </c>
      <c r="E472" s="2">
        <v>614</v>
      </c>
      <c r="F472" s="2">
        <f>tbl_kpi[[#This Row],[OnHandQty]]</f>
        <v>622</v>
      </c>
      <c r="G472" s="2">
        <f>tbl_kpi[[#This Row],[CountedQty]]-tbl_kpi[[#This Row],[ExpectedQty]]</f>
        <v>-8</v>
      </c>
      <c r="H472" s="2">
        <f>IF(tbl_kpi[[#This Row],[ExpectedQty]]=0, 1, MAX(0, 1 - ABS(tbl_kpi[[#This Row],[VarianceQty]]) / tbl_kpi[[#This Row],[ExpectedQty]]))</f>
        <v>0.98713826366559487</v>
      </c>
      <c r="I472" s="2" t="str">
        <f>IF(tbl_kpi[[#This Row],[AccuracyPct]] &lt; 0.98, "Y", "N")</f>
        <v>N</v>
      </c>
    </row>
    <row r="473" spans="1:9">
      <c r="A473" s="2">
        <v>479</v>
      </c>
      <c r="B473" s="2">
        <v>2</v>
      </c>
      <c r="C473" s="2" t="str">
        <f>_xlfn.XLOOKUP(tbl_kpi[[#This Row],[LocationID]], tbl_location[LocationID], tbl_location[LocationName], "UNMAPPED_LOCATION")</f>
        <v>Sheet Metal Racks</v>
      </c>
      <c r="D473" s="2">
        <v>441</v>
      </c>
      <c r="E473" s="2">
        <v>448</v>
      </c>
      <c r="F473" s="2">
        <f>tbl_kpi[[#This Row],[OnHandQty]]</f>
        <v>441</v>
      </c>
      <c r="G473" s="2">
        <f>tbl_kpi[[#This Row],[CountedQty]]-tbl_kpi[[#This Row],[ExpectedQty]]</f>
        <v>7</v>
      </c>
      <c r="H473" s="2">
        <f>IF(tbl_kpi[[#This Row],[ExpectedQty]]=0, 1, MAX(0, 1 - ABS(tbl_kpi[[#This Row],[VarianceQty]]) / tbl_kpi[[#This Row],[ExpectedQty]]))</f>
        <v>0.98412698412698418</v>
      </c>
      <c r="I473" s="2" t="str">
        <f>IF(tbl_kpi[[#This Row],[AccuracyPct]] &lt; 0.98, "Y", "N")</f>
        <v>N</v>
      </c>
    </row>
    <row r="474" spans="1:9">
      <c r="A474" s="2">
        <v>479</v>
      </c>
      <c r="B474" s="2">
        <v>5</v>
      </c>
      <c r="C474" s="2" t="str">
        <f>_xlfn.XLOOKUP(tbl_kpi[[#This Row],[LocationID]], tbl_location[LocationID], tbl_location[LocationName], "UNMAPPED_LOCATION")</f>
        <v>Metal Storage</v>
      </c>
      <c r="D474" s="2">
        <v>390</v>
      </c>
      <c r="E474" s="2">
        <v>380</v>
      </c>
      <c r="F474" s="2">
        <f>tbl_kpi[[#This Row],[OnHandQty]]</f>
        <v>390</v>
      </c>
      <c r="G474" s="2">
        <f>tbl_kpi[[#This Row],[CountedQty]]-tbl_kpi[[#This Row],[ExpectedQty]]</f>
        <v>-10</v>
      </c>
      <c r="H474" s="2">
        <f>IF(tbl_kpi[[#This Row],[ExpectedQty]]=0, 1, MAX(0, 1 - ABS(tbl_kpi[[#This Row],[VarianceQty]]) / tbl_kpi[[#This Row],[ExpectedQty]]))</f>
        <v>0.97435897435897434</v>
      </c>
      <c r="I474" s="2" t="str">
        <f>IF(tbl_kpi[[#This Row],[AccuracyPct]] &lt; 0.98, "Y", "N")</f>
        <v>Y</v>
      </c>
    </row>
    <row r="475" spans="1:9">
      <c r="A475" s="2">
        <v>479</v>
      </c>
      <c r="B475" s="2">
        <v>10</v>
      </c>
      <c r="C475" s="2" t="str">
        <f>_xlfn.XLOOKUP(tbl_kpi[[#This Row],[LocationID]], tbl_location[LocationID], tbl_location[LocationName], "UNMAPPED_LOCATION")</f>
        <v>Frame Forming</v>
      </c>
      <c r="D475" s="2">
        <v>198</v>
      </c>
      <c r="E475" s="2">
        <v>200</v>
      </c>
      <c r="F475" s="2">
        <f>tbl_kpi[[#This Row],[OnHandQty]]</f>
        <v>198</v>
      </c>
      <c r="G475" s="2">
        <f>tbl_kpi[[#This Row],[CountedQty]]-tbl_kpi[[#This Row],[ExpectedQty]]</f>
        <v>2</v>
      </c>
      <c r="H475" s="2">
        <f>IF(tbl_kpi[[#This Row],[ExpectedQty]]=0, 1, MAX(0, 1 - ABS(tbl_kpi[[#This Row],[VarianceQty]]) / tbl_kpi[[#This Row],[ExpectedQty]]))</f>
        <v>0.98989898989898994</v>
      </c>
      <c r="I475" s="2" t="str">
        <f>IF(tbl_kpi[[#This Row],[AccuracyPct]] &lt; 0.98, "Y", "N")</f>
        <v>N</v>
      </c>
    </row>
    <row r="476" spans="1:9">
      <c r="A476" s="2">
        <v>480</v>
      </c>
      <c r="B476" s="2">
        <v>2</v>
      </c>
      <c r="C476" s="2" t="str">
        <f>_xlfn.XLOOKUP(tbl_kpi[[#This Row],[LocationID]], tbl_location[LocationID], tbl_location[LocationName], "UNMAPPED_LOCATION")</f>
        <v>Sheet Metal Racks</v>
      </c>
      <c r="D476" s="2">
        <v>689</v>
      </c>
      <c r="E476" s="2">
        <v>689</v>
      </c>
      <c r="F476" s="2">
        <f>tbl_kpi[[#This Row],[OnHandQty]]</f>
        <v>689</v>
      </c>
      <c r="G476" s="2">
        <f>tbl_kpi[[#This Row],[CountedQty]]-tbl_kpi[[#This Row],[ExpectedQty]]</f>
        <v>0</v>
      </c>
      <c r="H476" s="2">
        <f>IF(tbl_kpi[[#This Row],[ExpectedQty]]=0, 1, MAX(0, 1 - ABS(tbl_kpi[[#This Row],[VarianceQty]]) / tbl_kpi[[#This Row],[ExpectedQty]]))</f>
        <v>1</v>
      </c>
      <c r="I476" s="2" t="str">
        <f>IF(tbl_kpi[[#This Row],[AccuracyPct]] &lt; 0.98, "Y", "N")</f>
        <v>N</v>
      </c>
    </row>
    <row r="477" spans="1:9">
      <c r="A477" s="2">
        <v>480</v>
      </c>
      <c r="B477" s="2">
        <v>5</v>
      </c>
      <c r="C477" s="2" t="str">
        <f>_xlfn.XLOOKUP(tbl_kpi[[#This Row],[LocationID]], tbl_location[LocationID], tbl_location[LocationName], "UNMAPPED_LOCATION")</f>
        <v>Metal Storage</v>
      </c>
      <c r="D477" s="2">
        <v>515</v>
      </c>
      <c r="E477" s="2">
        <v>508</v>
      </c>
      <c r="F477" s="2">
        <f>tbl_kpi[[#This Row],[OnHandQty]]</f>
        <v>515</v>
      </c>
      <c r="G477" s="2">
        <f>tbl_kpi[[#This Row],[CountedQty]]-tbl_kpi[[#This Row],[ExpectedQty]]</f>
        <v>-7</v>
      </c>
      <c r="H477" s="2">
        <f>IF(tbl_kpi[[#This Row],[ExpectedQty]]=0, 1, MAX(0, 1 - ABS(tbl_kpi[[#This Row],[VarianceQty]]) / tbl_kpi[[#This Row],[ExpectedQty]]))</f>
        <v>0.98640776699029131</v>
      </c>
      <c r="I477" s="2" t="str">
        <f>IF(tbl_kpi[[#This Row],[AccuracyPct]] &lt; 0.98, "Y", "N")</f>
        <v>N</v>
      </c>
    </row>
    <row r="478" spans="1:9">
      <c r="A478" s="2">
        <v>480</v>
      </c>
      <c r="B478" s="2">
        <v>10</v>
      </c>
      <c r="C478" s="2" t="str">
        <f>_xlfn.XLOOKUP(tbl_kpi[[#This Row],[LocationID]], tbl_location[LocationID], tbl_location[LocationName], "UNMAPPED_LOCATION")</f>
        <v>Frame Forming</v>
      </c>
      <c r="D478" s="2">
        <v>457</v>
      </c>
      <c r="E478" s="2">
        <v>463</v>
      </c>
      <c r="F478" s="2">
        <f>tbl_kpi[[#This Row],[OnHandQty]]</f>
        <v>457</v>
      </c>
      <c r="G478" s="2">
        <f>tbl_kpi[[#This Row],[CountedQty]]-tbl_kpi[[#This Row],[ExpectedQty]]</f>
        <v>6</v>
      </c>
      <c r="H478" s="2">
        <f>IF(tbl_kpi[[#This Row],[ExpectedQty]]=0, 1, MAX(0, 1 - ABS(tbl_kpi[[#This Row],[VarianceQty]]) / tbl_kpi[[#This Row],[ExpectedQty]]))</f>
        <v>0.98687089715536103</v>
      </c>
      <c r="I478" s="2" t="str">
        <f>IF(tbl_kpi[[#This Row],[AccuracyPct]] &lt; 0.98, "Y", "N")</f>
        <v>N</v>
      </c>
    </row>
    <row r="479" spans="1:9">
      <c r="A479" s="2">
        <v>481</v>
      </c>
      <c r="B479" s="2">
        <v>2</v>
      </c>
      <c r="C479" s="2" t="str">
        <f>_xlfn.XLOOKUP(tbl_kpi[[#This Row],[LocationID]], tbl_location[LocationID], tbl_location[LocationName], "UNMAPPED_LOCATION")</f>
        <v>Sheet Metal Racks</v>
      </c>
      <c r="D479" s="2">
        <v>427</v>
      </c>
      <c r="E479" s="2">
        <v>421</v>
      </c>
      <c r="F479" s="2">
        <f>tbl_kpi[[#This Row],[OnHandQty]]</f>
        <v>427</v>
      </c>
      <c r="G479" s="2">
        <f>tbl_kpi[[#This Row],[CountedQty]]-tbl_kpi[[#This Row],[ExpectedQty]]</f>
        <v>-6</v>
      </c>
      <c r="H479" s="2">
        <f>IF(tbl_kpi[[#This Row],[ExpectedQty]]=0, 1, MAX(0, 1 - ABS(tbl_kpi[[#This Row],[VarianceQty]]) / tbl_kpi[[#This Row],[ExpectedQty]]))</f>
        <v>0.98594847775175642</v>
      </c>
      <c r="I479" s="2" t="str">
        <f>IF(tbl_kpi[[#This Row],[AccuracyPct]] &lt; 0.98, "Y", "N")</f>
        <v>N</v>
      </c>
    </row>
    <row r="480" spans="1:9">
      <c r="A480" s="2">
        <v>481</v>
      </c>
      <c r="B480" s="2">
        <v>5</v>
      </c>
      <c r="C480" s="2" t="str">
        <f>_xlfn.XLOOKUP(tbl_kpi[[#This Row],[LocationID]], tbl_location[LocationID], tbl_location[LocationName], "UNMAPPED_LOCATION")</f>
        <v>Metal Storage</v>
      </c>
      <c r="D480" s="2">
        <v>374</v>
      </c>
      <c r="E480" s="2">
        <v>381</v>
      </c>
      <c r="F480" s="2">
        <f>tbl_kpi[[#This Row],[OnHandQty]]</f>
        <v>374</v>
      </c>
      <c r="G480" s="2">
        <f>tbl_kpi[[#This Row],[CountedQty]]-tbl_kpi[[#This Row],[ExpectedQty]]</f>
        <v>7</v>
      </c>
      <c r="H480" s="2">
        <f>IF(tbl_kpi[[#This Row],[ExpectedQty]]=0, 1, MAX(0, 1 - ABS(tbl_kpi[[#This Row],[VarianceQty]]) / tbl_kpi[[#This Row],[ExpectedQty]]))</f>
        <v>0.98128342245989308</v>
      </c>
      <c r="I480" s="2" t="str">
        <f>IF(tbl_kpi[[#This Row],[AccuracyPct]] &lt; 0.98, "Y", "N")</f>
        <v>N</v>
      </c>
    </row>
    <row r="481" spans="1:9">
      <c r="A481" s="2">
        <v>481</v>
      </c>
      <c r="B481" s="2">
        <v>10</v>
      </c>
      <c r="C481" s="2" t="str">
        <f>_xlfn.XLOOKUP(tbl_kpi[[#This Row],[LocationID]], tbl_location[LocationID], tbl_location[LocationName], "UNMAPPED_LOCATION")</f>
        <v>Frame Forming</v>
      </c>
      <c r="D481" s="2">
        <v>196</v>
      </c>
      <c r="E481" s="2">
        <v>192</v>
      </c>
      <c r="F481" s="2">
        <f>tbl_kpi[[#This Row],[OnHandQty]]</f>
        <v>196</v>
      </c>
      <c r="G481" s="2">
        <f>tbl_kpi[[#This Row],[CountedQty]]-tbl_kpi[[#This Row],[ExpectedQty]]</f>
        <v>-4</v>
      </c>
      <c r="H481" s="2">
        <f>IF(tbl_kpi[[#This Row],[ExpectedQty]]=0, 1, MAX(0, 1 - ABS(tbl_kpi[[#This Row],[VarianceQty]]) / tbl_kpi[[#This Row],[ExpectedQty]]))</f>
        <v>0.97959183673469385</v>
      </c>
      <c r="I481" s="2" t="str">
        <f>IF(tbl_kpi[[#This Row],[AccuracyPct]] &lt; 0.98, "Y", "N")</f>
        <v>Y</v>
      </c>
    </row>
    <row r="482" spans="1:9">
      <c r="A482" s="2">
        <v>482</v>
      </c>
      <c r="B482" s="2">
        <v>2</v>
      </c>
      <c r="C482" s="2" t="str">
        <f>_xlfn.XLOOKUP(tbl_kpi[[#This Row],[LocationID]], tbl_location[LocationID], tbl_location[LocationName], "UNMAPPED_LOCATION")</f>
        <v>Sheet Metal Racks</v>
      </c>
      <c r="D482" s="2">
        <v>321</v>
      </c>
      <c r="E482" s="2">
        <v>329</v>
      </c>
      <c r="F482" s="2">
        <f>tbl_kpi[[#This Row],[OnHandQty]]</f>
        <v>321</v>
      </c>
      <c r="G482" s="2">
        <f>tbl_kpi[[#This Row],[CountedQty]]-tbl_kpi[[#This Row],[ExpectedQty]]</f>
        <v>8</v>
      </c>
      <c r="H482" s="2">
        <f>IF(tbl_kpi[[#This Row],[ExpectedQty]]=0, 1, MAX(0, 1 - ABS(tbl_kpi[[#This Row],[VarianceQty]]) / tbl_kpi[[#This Row],[ExpectedQty]]))</f>
        <v>0.97507788161993769</v>
      </c>
      <c r="I482" s="2" t="str">
        <f>IF(tbl_kpi[[#This Row],[AccuracyPct]] &lt; 0.98, "Y", "N")</f>
        <v>Y</v>
      </c>
    </row>
    <row r="483" spans="1:9">
      <c r="A483" s="2">
        <v>482</v>
      </c>
      <c r="B483" s="2">
        <v>5</v>
      </c>
      <c r="C483" s="2" t="str">
        <f>_xlfn.XLOOKUP(tbl_kpi[[#This Row],[LocationID]], tbl_location[LocationID], tbl_location[LocationName], "UNMAPPED_LOCATION")</f>
        <v>Metal Storage</v>
      </c>
      <c r="D483" s="2">
        <v>427</v>
      </c>
      <c r="E483" s="2">
        <v>424</v>
      </c>
      <c r="F483" s="2">
        <f>tbl_kpi[[#This Row],[OnHandQty]]</f>
        <v>427</v>
      </c>
      <c r="G483" s="2">
        <f>tbl_kpi[[#This Row],[CountedQty]]-tbl_kpi[[#This Row],[ExpectedQty]]</f>
        <v>-3</v>
      </c>
      <c r="H483" s="2">
        <f>IF(tbl_kpi[[#This Row],[ExpectedQty]]=0, 1, MAX(0, 1 - ABS(tbl_kpi[[#This Row],[VarianceQty]]) / tbl_kpi[[#This Row],[ExpectedQty]]))</f>
        <v>0.99297423887587821</v>
      </c>
      <c r="I483" s="2" t="str">
        <f>IF(tbl_kpi[[#This Row],[AccuracyPct]] &lt; 0.98, "Y", "N")</f>
        <v>N</v>
      </c>
    </row>
    <row r="484" spans="1:9">
      <c r="A484" s="2">
        <v>482</v>
      </c>
      <c r="B484" s="2">
        <v>10</v>
      </c>
      <c r="C484" s="2" t="str">
        <f>_xlfn.XLOOKUP(tbl_kpi[[#This Row],[LocationID]], tbl_location[LocationID], tbl_location[LocationName], "UNMAPPED_LOCATION")</f>
        <v>Frame Forming</v>
      </c>
      <c r="D484" s="2">
        <v>176</v>
      </c>
      <c r="E484" s="2">
        <v>174</v>
      </c>
      <c r="F484" s="2">
        <f>tbl_kpi[[#This Row],[OnHandQty]]</f>
        <v>176</v>
      </c>
      <c r="G484" s="2">
        <f>tbl_kpi[[#This Row],[CountedQty]]-tbl_kpi[[#This Row],[ExpectedQty]]</f>
        <v>-2</v>
      </c>
      <c r="H484" s="2">
        <f>IF(tbl_kpi[[#This Row],[ExpectedQty]]=0, 1, MAX(0, 1 - ABS(tbl_kpi[[#This Row],[VarianceQty]]) / tbl_kpi[[#This Row],[ExpectedQty]]))</f>
        <v>0.98863636363636365</v>
      </c>
      <c r="I484" s="2" t="str">
        <f>IF(tbl_kpi[[#This Row],[AccuracyPct]] &lt; 0.98, "Y", "N")</f>
        <v>N</v>
      </c>
    </row>
    <row r="485" spans="1:9">
      <c r="A485" s="2">
        <v>483</v>
      </c>
      <c r="B485" s="2">
        <v>2</v>
      </c>
      <c r="C485" s="2" t="str">
        <f>_xlfn.XLOOKUP(tbl_kpi[[#This Row],[LocationID]], tbl_location[LocationID], tbl_location[LocationName], "UNMAPPED_LOCATION")</f>
        <v>Sheet Metal Racks</v>
      </c>
      <c r="D485" s="2">
        <v>691</v>
      </c>
      <c r="E485" s="2">
        <v>690</v>
      </c>
      <c r="F485" s="2">
        <f>tbl_kpi[[#This Row],[OnHandQty]]</f>
        <v>691</v>
      </c>
      <c r="G485" s="2">
        <f>tbl_kpi[[#This Row],[CountedQty]]-tbl_kpi[[#This Row],[ExpectedQty]]</f>
        <v>-1</v>
      </c>
      <c r="H485" s="2">
        <f>IF(tbl_kpi[[#This Row],[ExpectedQty]]=0, 1, MAX(0, 1 - ABS(tbl_kpi[[#This Row],[VarianceQty]]) / tbl_kpi[[#This Row],[ExpectedQty]]))</f>
        <v>0.9985528219971056</v>
      </c>
      <c r="I485" s="2" t="str">
        <f>IF(tbl_kpi[[#This Row],[AccuracyPct]] &lt; 0.98, "Y", "N")</f>
        <v>N</v>
      </c>
    </row>
    <row r="486" spans="1:9">
      <c r="A486" s="2">
        <v>483</v>
      </c>
      <c r="B486" s="2">
        <v>5</v>
      </c>
      <c r="C486" s="2" t="str">
        <f>_xlfn.XLOOKUP(tbl_kpi[[#This Row],[LocationID]], tbl_location[LocationID], tbl_location[LocationName], "UNMAPPED_LOCATION")</f>
        <v>Metal Storage</v>
      </c>
      <c r="D486" s="2">
        <v>531</v>
      </c>
      <c r="E486" s="2">
        <v>532</v>
      </c>
      <c r="F486" s="2">
        <f>tbl_kpi[[#This Row],[OnHandQty]]</f>
        <v>531</v>
      </c>
      <c r="G486" s="2">
        <f>tbl_kpi[[#This Row],[CountedQty]]-tbl_kpi[[#This Row],[ExpectedQty]]</f>
        <v>1</v>
      </c>
      <c r="H486" s="2">
        <f>IF(tbl_kpi[[#This Row],[ExpectedQty]]=0, 1, MAX(0, 1 - ABS(tbl_kpi[[#This Row],[VarianceQty]]) / tbl_kpi[[#This Row],[ExpectedQty]]))</f>
        <v>0.99811676082862522</v>
      </c>
      <c r="I486" s="2" t="str">
        <f>IF(tbl_kpi[[#This Row],[AccuracyPct]] &lt; 0.98, "Y", "N")</f>
        <v>N</v>
      </c>
    </row>
    <row r="487" spans="1:9">
      <c r="A487" s="2">
        <v>483</v>
      </c>
      <c r="B487" s="2">
        <v>10</v>
      </c>
      <c r="C487" s="2" t="str">
        <f>_xlfn.XLOOKUP(tbl_kpi[[#This Row],[LocationID]], tbl_location[LocationID], tbl_location[LocationName], "UNMAPPED_LOCATION")</f>
        <v>Frame Forming</v>
      </c>
      <c r="D487" s="2">
        <v>459</v>
      </c>
      <c r="E487" s="2">
        <v>461</v>
      </c>
      <c r="F487" s="2">
        <f>tbl_kpi[[#This Row],[OnHandQty]]</f>
        <v>459</v>
      </c>
      <c r="G487" s="2">
        <f>tbl_kpi[[#This Row],[CountedQty]]-tbl_kpi[[#This Row],[ExpectedQty]]</f>
        <v>2</v>
      </c>
      <c r="H487" s="2">
        <f>IF(tbl_kpi[[#This Row],[ExpectedQty]]=0, 1, MAX(0, 1 - ABS(tbl_kpi[[#This Row],[VarianceQty]]) / tbl_kpi[[#This Row],[ExpectedQty]]))</f>
        <v>0.99564270152505452</v>
      </c>
      <c r="I487" s="2" t="str">
        <f>IF(tbl_kpi[[#This Row],[AccuracyPct]] &lt; 0.98, "Y", "N")</f>
        <v>N</v>
      </c>
    </row>
    <row r="488" spans="1:9">
      <c r="A488" s="2">
        <v>484</v>
      </c>
      <c r="B488" s="2">
        <v>2</v>
      </c>
      <c r="C488" s="2" t="str">
        <f>_xlfn.XLOOKUP(tbl_kpi[[#This Row],[LocationID]], tbl_location[LocationID], tbl_location[LocationName], "UNMAPPED_LOCATION")</f>
        <v>Sheet Metal Racks</v>
      </c>
      <c r="D488" s="2">
        <v>427</v>
      </c>
      <c r="E488" s="2">
        <v>439</v>
      </c>
      <c r="F488" s="2">
        <f>tbl_kpi[[#This Row],[OnHandQty]]</f>
        <v>427</v>
      </c>
      <c r="G488" s="2">
        <f>tbl_kpi[[#This Row],[CountedQty]]-tbl_kpi[[#This Row],[ExpectedQty]]</f>
        <v>12</v>
      </c>
      <c r="H488" s="2">
        <f>IF(tbl_kpi[[#This Row],[ExpectedQty]]=0, 1, MAX(0, 1 - ABS(tbl_kpi[[#This Row],[VarianceQty]]) / tbl_kpi[[#This Row],[ExpectedQty]]))</f>
        <v>0.97189695550351285</v>
      </c>
      <c r="I488" s="2" t="str">
        <f>IF(tbl_kpi[[#This Row],[AccuracyPct]] &lt; 0.98, "Y", "N")</f>
        <v>Y</v>
      </c>
    </row>
    <row r="489" spans="1:9">
      <c r="A489" s="2">
        <v>484</v>
      </c>
      <c r="B489" s="2">
        <v>5</v>
      </c>
      <c r="C489" s="2" t="str">
        <f>_xlfn.XLOOKUP(tbl_kpi[[#This Row],[LocationID]], tbl_location[LocationID], tbl_location[LocationName], "UNMAPPED_LOCATION")</f>
        <v>Metal Storage</v>
      </c>
      <c r="D489" s="2">
        <v>374</v>
      </c>
      <c r="E489" s="2">
        <v>366</v>
      </c>
      <c r="F489" s="2">
        <f>tbl_kpi[[#This Row],[OnHandQty]]</f>
        <v>374</v>
      </c>
      <c r="G489" s="2">
        <f>tbl_kpi[[#This Row],[CountedQty]]-tbl_kpi[[#This Row],[ExpectedQty]]</f>
        <v>-8</v>
      </c>
      <c r="H489" s="2">
        <f>IF(tbl_kpi[[#This Row],[ExpectedQty]]=0, 1, MAX(0, 1 - ABS(tbl_kpi[[#This Row],[VarianceQty]]) / tbl_kpi[[#This Row],[ExpectedQty]]))</f>
        <v>0.97860962566844922</v>
      </c>
      <c r="I489" s="2" t="str">
        <f>IF(tbl_kpi[[#This Row],[AccuracyPct]] &lt; 0.98, "Y", "N")</f>
        <v>Y</v>
      </c>
    </row>
    <row r="490" spans="1:9">
      <c r="A490" s="2">
        <v>484</v>
      </c>
      <c r="B490" s="2">
        <v>10</v>
      </c>
      <c r="C490" s="2" t="str">
        <f>_xlfn.XLOOKUP(tbl_kpi[[#This Row],[LocationID]], tbl_location[LocationID], tbl_location[LocationName], "UNMAPPED_LOCATION")</f>
        <v>Frame Forming</v>
      </c>
      <c r="D490" s="2">
        <v>196</v>
      </c>
      <c r="E490" s="2">
        <v>196</v>
      </c>
      <c r="F490" s="2">
        <f>tbl_kpi[[#This Row],[OnHandQty]]</f>
        <v>196</v>
      </c>
      <c r="G490" s="2">
        <f>tbl_kpi[[#This Row],[CountedQty]]-tbl_kpi[[#This Row],[ExpectedQty]]</f>
        <v>0</v>
      </c>
      <c r="H490" s="2">
        <f>IF(tbl_kpi[[#This Row],[ExpectedQty]]=0, 1, MAX(0, 1 - ABS(tbl_kpi[[#This Row],[VarianceQty]]) / tbl_kpi[[#This Row],[ExpectedQty]]))</f>
        <v>1</v>
      </c>
      <c r="I490" s="2" t="str">
        <f>IF(tbl_kpi[[#This Row],[AccuracyPct]] &lt; 0.98, "Y", "N")</f>
        <v>N</v>
      </c>
    </row>
    <row r="491" spans="1:9">
      <c r="A491" s="2">
        <v>485</v>
      </c>
      <c r="B491" s="2">
        <v>2</v>
      </c>
      <c r="C491" s="2" t="str">
        <f>_xlfn.XLOOKUP(tbl_kpi[[#This Row],[LocationID]], tbl_location[LocationID], tbl_location[LocationName], "UNMAPPED_LOCATION")</f>
        <v>Sheet Metal Racks</v>
      </c>
      <c r="D491" s="2">
        <v>321</v>
      </c>
      <c r="E491" s="2">
        <v>316</v>
      </c>
      <c r="F491" s="2">
        <f>tbl_kpi[[#This Row],[OnHandQty]]</f>
        <v>321</v>
      </c>
      <c r="G491" s="2">
        <f>tbl_kpi[[#This Row],[CountedQty]]-tbl_kpi[[#This Row],[ExpectedQty]]</f>
        <v>-5</v>
      </c>
      <c r="H491" s="2">
        <f>IF(tbl_kpi[[#This Row],[ExpectedQty]]=0, 1, MAX(0, 1 - ABS(tbl_kpi[[#This Row],[VarianceQty]]) / tbl_kpi[[#This Row],[ExpectedQty]]))</f>
        <v>0.98442367601246106</v>
      </c>
      <c r="I491" s="2" t="str">
        <f>IF(tbl_kpi[[#This Row],[AccuracyPct]] &lt; 0.98, "Y", "N")</f>
        <v>N</v>
      </c>
    </row>
    <row r="492" spans="1:9">
      <c r="A492" s="2">
        <v>485</v>
      </c>
      <c r="B492" s="2">
        <v>5</v>
      </c>
      <c r="C492" s="2" t="str">
        <f>_xlfn.XLOOKUP(tbl_kpi[[#This Row],[LocationID]], tbl_location[LocationID], tbl_location[LocationName], "UNMAPPED_LOCATION")</f>
        <v>Metal Storage</v>
      </c>
      <c r="D492" s="2">
        <v>427</v>
      </c>
      <c r="E492" s="2">
        <v>419</v>
      </c>
      <c r="F492" s="2">
        <f>tbl_kpi[[#This Row],[OnHandQty]]</f>
        <v>427</v>
      </c>
      <c r="G492" s="2">
        <f>tbl_kpi[[#This Row],[CountedQty]]-tbl_kpi[[#This Row],[ExpectedQty]]</f>
        <v>-8</v>
      </c>
      <c r="H492" s="2">
        <f>IF(tbl_kpi[[#This Row],[ExpectedQty]]=0, 1, MAX(0, 1 - ABS(tbl_kpi[[#This Row],[VarianceQty]]) / tbl_kpi[[#This Row],[ExpectedQty]]))</f>
        <v>0.9812646370023419</v>
      </c>
      <c r="I492" s="2" t="str">
        <f>IF(tbl_kpi[[#This Row],[AccuracyPct]] &lt; 0.98, "Y", "N")</f>
        <v>N</v>
      </c>
    </row>
    <row r="493" spans="1:9">
      <c r="A493" s="2">
        <v>485</v>
      </c>
      <c r="B493" s="2">
        <v>10</v>
      </c>
      <c r="C493" s="2" t="str">
        <f>_xlfn.XLOOKUP(tbl_kpi[[#This Row],[LocationID]], tbl_location[LocationID], tbl_location[LocationName], "UNMAPPED_LOCATION")</f>
        <v>Frame Forming</v>
      </c>
      <c r="D493" s="2">
        <v>176</v>
      </c>
      <c r="E493" s="2">
        <v>172</v>
      </c>
      <c r="F493" s="2">
        <f>tbl_kpi[[#This Row],[OnHandQty]]</f>
        <v>176</v>
      </c>
      <c r="G493" s="2">
        <f>tbl_kpi[[#This Row],[CountedQty]]-tbl_kpi[[#This Row],[ExpectedQty]]</f>
        <v>-4</v>
      </c>
      <c r="H493" s="2">
        <f>IF(tbl_kpi[[#This Row],[ExpectedQty]]=0, 1, MAX(0, 1 - ABS(tbl_kpi[[#This Row],[VarianceQty]]) / tbl_kpi[[#This Row],[ExpectedQty]]))</f>
        <v>0.97727272727272729</v>
      </c>
      <c r="I493" s="2" t="str">
        <f>IF(tbl_kpi[[#This Row],[AccuracyPct]] &lt; 0.98, "Y", "N")</f>
        <v>Y</v>
      </c>
    </row>
    <row r="494" spans="1:9">
      <c r="A494" s="2">
        <v>486</v>
      </c>
      <c r="B494" s="2">
        <v>2</v>
      </c>
      <c r="C494" s="2" t="str">
        <f>_xlfn.XLOOKUP(tbl_kpi[[#This Row],[LocationID]], tbl_location[LocationID], tbl_location[LocationName], "UNMAPPED_LOCATION")</f>
        <v>Sheet Metal Racks</v>
      </c>
      <c r="D494" s="2">
        <v>689</v>
      </c>
      <c r="E494" s="2">
        <v>693</v>
      </c>
      <c r="F494" s="2">
        <f>tbl_kpi[[#This Row],[OnHandQty]]</f>
        <v>689</v>
      </c>
      <c r="G494" s="2">
        <f>tbl_kpi[[#This Row],[CountedQty]]-tbl_kpi[[#This Row],[ExpectedQty]]</f>
        <v>4</v>
      </c>
      <c r="H494" s="2">
        <f>IF(tbl_kpi[[#This Row],[ExpectedQty]]=0, 1, MAX(0, 1 - ABS(tbl_kpi[[#This Row],[VarianceQty]]) / tbl_kpi[[#This Row],[ExpectedQty]]))</f>
        <v>0.99419448476052252</v>
      </c>
      <c r="I494" s="2" t="str">
        <f>IF(tbl_kpi[[#This Row],[AccuracyPct]] &lt; 0.98, "Y", "N")</f>
        <v>N</v>
      </c>
    </row>
    <row r="495" spans="1:9">
      <c r="A495" s="2">
        <v>486</v>
      </c>
      <c r="B495" s="2">
        <v>5</v>
      </c>
      <c r="C495" s="2" t="str">
        <f>_xlfn.XLOOKUP(tbl_kpi[[#This Row],[LocationID]], tbl_location[LocationID], tbl_location[LocationName], "UNMAPPED_LOCATION")</f>
        <v>Metal Storage</v>
      </c>
      <c r="D495" s="2">
        <v>515</v>
      </c>
      <c r="E495" s="2">
        <v>516</v>
      </c>
      <c r="F495" s="2">
        <f>tbl_kpi[[#This Row],[OnHandQty]]</f>
        <v>515</v>
      </c>
      <c r="G495" s="2">
        <f>tbl_kpi[[#This Row],[CountedQty]]-tbl_kpi[[#This Row],[ExpectedQty]]</f>
        <v>1</v>
      </c>
      <c r="H495" s="2">
        <f>IF(tbl_kpi[[#This Row],[ExpectedQty]]=0, 1, MAX(0, 1 - ABS(tbl_kpi[[#This Row],[VarianceQty]]) / tbl_kpi[[#This Row],[ExpectedQty]]))</f>
        <v>0.99805825242718449</v>
      </c>
      <c r="I495" s="2" t="str">
        <f>IF(tbl_kpi[[#This Row],[AccuracyPct]] &lt; 0.98, "Y", "N")</f>
        <v>N</v>
      </c>
    </row>
    <row r="496" spans="1:9">
      <c r="A496" s="2">
        <v>486</v>
      </c>
      <c r="B496" s="2">
        <v>10</v>
      </c>
      <c r="C496" s="2" t="str">
        <f>_xlfn.XLOOKUP(tbl_kpi[[#This Row],[LocationID]], tbl_location[LocationID], tbl_location[LocationName], "UNMAPPED_LOCATION")</f>
        <v>Frame Forming</v>
      </c>
      <c r="D496" s="2">
        <v>457</v>
      </c>
      <c r="E496" s="2">
        <v>457</v>
      </c>
      <c r="F496" s="2">
        <f>tbl_kpi[[#This Row],[OnHandQty]]</f>
        <v>457</v>
      </c>
      <c r="G496" s="2">
        <f>tbl_kpi[[#This Row],[CountedQty]]-tbl_kpi[[#This Row],[ExpectedQty]]</f>
        <v>0</v>
      </c>
      <c r="H496" s="2">
        <f>IF(tbl_kpi[[#This Row],[ExpectedQty]]=0, 1, MAX(0, 1 - ABS(tbl_kpi[[#This Row],[VarianceQty]]) / tbl_kpi[[#This Row],[ExpectedQty]]))</f>
        <v>1</v>
      </c>
      <c r="I496" s="2" t="str">
        <f>IF(tbl_kpi[[#This Row],[AccuracyPct]] &lt; 0.98, "Y", "N")</f>
        <v>N</v>
      </c>
    </row>
    <row r="497" spans="1:9">
      <c r="A497" s="2">
        <v>487</v>
      </c>
      <c r="B497" s="2">
        <v>2</v>
      </c>
      <c r="C497" s="2" t="str">
        <f>_xlfn.XLOOKUP(tbl_kpi[[#This Row],[LocationID]], tbl_location[LocationID], tbl_location[LocationName], "UNMAPPED_LOCATION")</f>
        <v>Sheet Metal Racks</v>
      </c>
      <c r="D497" s="2">
        <v>331</v>
      </c>
      <c r="E497" s="2">
        <v>334</v>
      </c>
      <c r="F497" s="2">
        <f>tbl_kpi[[#This Row],[OnHandQty]]</f>
        <v>331</v>
      </c>
      <c r="G497" s="2">
        <f>tbl_kpi[[#This Row],[CountedQty]]-tbl_kpi[[#This Row],[ExpectedQty]]</f>
        <v>3</v>
      </c>
      <c r="H497" s="2">
        <f>IF(tbl_kpi[[#This Row],[ExpectedQty]]=0, 1, MAX(0, 1 - ABS(tbl_kpi[[#This Row],[VarianceQty]]) / tbl_kpi[[#This Row],[ExpectedQty]]))</f>
        <v>0.99093655589123864</v>
      </c>
      <c r="I497" s="2" t="str">
        <f>IF(tbl_kpi[[#This Row],[AccuracyPct]] &lt; 0.98, "Y", "N")</f>
        <v>N</v>
      </c>
    </row>
    <row r="498" spans="1:9">
      <c r="A498" s="2">
        <v>487</v>
      </c>
      <c r="B498" s="2">
        <v>5</v>
      </c>
      <c r="C498" s="2" t="str">
        <f>_xlfn.XLOOKUP(tbl_kpi[[#This Row],[LocationID]], tbl_location[LocationID], tbl_location[LocationName], "UNMAPPED_LOCATION")</f>
        <v>Metal Storage</v>
      </c>
      <c r="D498" s="2">
        <v>337</v>
      </c>
      <c r="E498" s="2">
        <v>346</v>
      </c>
      <c r="F498" s="2">
        <f>tbl_kpi[[#This Row],[OnHandQty]]</f>
        <v>337</v>
      </c>
      <c r="G498" s="2">
        <f>tbl_kpi[[#This Row],[CountedQty]]-tbl_kpi[[#This Row],[ExpectedQty]]</f>
        <v>9</v>
      </c>
      <c r="H498" s="2">
        <f>IF(tbl_kpi[[#This Row],[ExpectedQty]]=0, 1, MAX(0, 1 - ABS(tbl_kpi[[#This Row],[VarianceQty]]) / tbl_kpi[[#This Row],[ExpectedQty]]))</f>
        <v>0.97329376854599403</v>
      </c>
      <c r="I498" s="2" t="str">
        <f>IF(tbl_kpi[[#This Row],[AccuracyPct]] &lt; 0.98, "Y", "N")</f>
        <v>Y</v>
      </c>
    </row>
    <row r="499" spans="1:9">
      <c r="A499" s="2">
        <v>487</v>
      </c>
      <c r="B499" s="2">
        <v>10</v>
      </c>
      <c r="C499" s="2" t="str">
        <f>_xlfn.XLOOKUP(tbl_kpi[[#This Row],[LocationID]], tbl_location[LocationID], tbl_location[LocationName], "UNMAPPED_LOCATION")</f>
        <v>Frame Forming</v>
      </c>
      <c r="D499" s="2">
        <v>324</v>
      </c>
      <c r="E499" s="2">
        <v>319</v>
      </c>
      <c r="F499" s="2">
        <f>tbl_kpi[[#This Row],[OnHandQty]]</f>
        <v>324</v>
      </c>
      <c r="G499" s="2">
        <f>tbl_kpi[[#This Row],[CountedQty]]-tbl_kpi[[#This Row],[ExpectedQty]]</f>
        <v>-5</v>
      </c>
      <c r="H499" s="2">
        <f>IF(tbl_kpi[[#This Row],[ExpectedQty]]=0, 1, MAX(0, 1 - ABS(tbl_kpi[[#This Row],[VarianceQty]]) / tbl_kpi[[#This Row],[ExpectedQty]]))</f>
        <v>0.98456790123456794</v>
      </c>
      <c r="I499" s="2" t="str">
        <f>IF(tbl_kpi[[#This Row],[AccuracyPct]] &lt; 0.98, "Y", "N")</f>
        <v>N</v>
      </c>
    </row>
    <row r="500" spans="1:9">
      <c r="A500" s="2">
        <v>488</v>
      </c>
      <c r="B500" s="2">
        <v>2</v>
      </c>
      <c r="C500" s="2" t="str">
        <f>_xlfn.XLOOKUP(tbl_kpi[[#This Row],[LocationID]], tbl_location[LocationID], tbl_location[LocationName], "UNMAPPED_LOCATION")</f>
        <v>Sheet Metal Racks</v>
      </c>
      <c r="D500" s="2">
        <v>312</v>
      </c>
      <c r="E500" s="2">
        <v>303</v>
      </c>
      <c r="F500" s="2">
        <f>tbl_kpi[[#This Row],[OnHandQty]]</f>
        <v>312</v>
      </c>
      <c r="G500" s="2">
        <f>tbl_kpi[[#This Row],[CountedQty]]-tbl_kpi[[#This Row],[ExpectedQty]]</f>
        <v>-9</v>
      </c>
      <c r="H500" s="2">
        <f>IF(tbl_kpi[[#This Row],[ExpectedQty]]=0, 1, MAX(0, 1 - ABS(tbl_kpi[[#This Row],[VarianceQty]]) / tbl_kpi[[#This Row],[ExpectedQty]]))</f>
        <v>0.97115384615384615</v>
      </c>
      <c r="I500" s="2" t="str">
        <f>IF(tbl_kpi[[#This Row],[AccuracyPct]] &lt; 0.98, "Y", "N")</f>
        <v>Y</v>
      </c>
    </row>
    <row r="501" spans="1:9">
      <c r="A501" s="2">
        <v>488</v>
      </c>
      <c r="B501" s="2">
        <v>5</v>
      </c>
      <c r="C501" s="2" t="str">
        <f>_xlfn.XLOOKUP(tbl_kpi[[#This Row],[LocationID]], tbl_location[LocationID], tbl_location[LocationName], "UNMAPPED_LOCATION")</f>
        <v>Metal Storage</v>
      </c>
      <c r="D501" s="2">
        <v>318</v>
      </c>
      <c r="E501" s="2">
        <v>321</v>
      </c>
      <c r="F501" s="2">
        <f>tbl_kpi[[#This Row],[OnHandQty]]</f>
        <v>318</v>
      </c>
      <c r="G501" s="2">
        <f>tbl_kpi[[#This Row],[CountedQty]]-tbl_kpi[[#This Row],[ExpectedQty]]</f>
        <v>3</v>
      </c>
      <c r="H501" s="2">
        <f>IF(tbl_kpi[[#This Row],[ExpectedQty]]=0, 1, MAX(0, 1 - ABS(tbl_kpi[[#This Row],[VarianceQty]]) / tbl_kpi[[#This Row],[ExpectedQty]]))</f>
        <v>0.99056603773584906</v>
      </c>
      <c r="I501" s="2" t="str">
        <f>IF(tbl_kpi[[#This Row],[AccuracyPct]] &lt; 0.98, "Y", "N")</f>
        <v>N</v>
      </c>
    </row>
    <row r="502" spans="1:9">
      <c r="A502" s="2">
        <v>488</v>
      </c>
      <c r="B502" s="2">
        <v>10</v>
      </c>
      <c r="C502" s="2" t="str">
        <f>_xlfn.XLOOKUP(tbl_kpi[[#This Row],[LocationID]], tbl_location[LocationID], tbl_location[LocationName], "UNMAPPED_LOCATION")</f>
        <v>Frame Forming</v>
      </c>
      <c r="D502" s="2">
        <v>305</v>
      </c>
      <c r="E502" s="2">
        <v>312</v>
      </c>
      <c r="F502" s="2">
        <f>tbl_kpi[[#This Row],[OnHandQty]]</f>
        <v>305</v>
      </c>
      <c r="G502" s="2">
        <f>tbl_kpi[[#This Row],[CountedQty]]-tbl_kpi[[#This Row],[ExpectedQty]]</f>
        <v>7</v>
      </c>
      <c r="H502" s="2">
        <f>IF(tbl_kpi[[#This Row],[ExpectedQty]]=0, 1, MAX(0, 1 - ABS(tbl_kpi[[#This Row],[VarianceQty]]) / tbl_kpi[[#This Row],[ExpectedQty]]))</f>
        <v>0.9770491803278688</v>
      </c>
      <c r="I502" s="2" t="str">
        <f>IF(tbl_kpi[[#This Row],[AccuracyPct]] &lt; 0.98, "Y", "N")</f>
        <v>Y</v>
      </c>
    </row>
    <row r="503" spans="1:9">
      <c r="A503" s="2">
        <v>489</v>
      </c>
      <c r="B503" s="2">
        <v>1</v>
      </c>
      <c r="C503" s="2" t="str">
        <f>_xlfn.XLOOKUP(tbl_kpi[[#This Row],[LocationID]], tbl_location[LocationID], tbl_location[LocationName], "UNMAPPED_LOCATION")</f>
        <v>Tool Crib</v>
      </c>
      <c r="D503" s="2">
        <v>612</v>
      </c>
      <c r="E503" s="2">
        <v>625</v>
      </c>
      <c r="F503" s="2">
        <f>tbl_kpi[[#This Row],[OnHandQty]]</f>
        <v>612</v>
      </c>
      <c r="G503" s="2">
        <f>tbl_kpi[[#This Row],[CountedQty]]-tbl_kpi[[#This Row],[ExpectedQty]]</f>
        <v>13</v>
      </c>
      <c r="H503" s="2">
        <f>IF(tbl_kpi[[#This Row],[ExpectedQty]]=0, 1, MAX(0, 1 - ABS(tbl_kpi[[#This Row],[VarianceQty]]) / tbl_kpi[[#This Row],[ExpectedQty]]))</f>
        <v>0.97875816993464049</v>
      </c>
      <c r="I503" s="2" t="str">
        <f>IF(tbl_kpi[[#This Row],[AccuracyPct]] &lt; 0.98, "Y", "N")</f>
        <v>Y</v>
      </c>
    </row>
    <row r="504" spans="1:9">
      <c r="A504" s="2">
        <v>489</v>
      </c>
      <c r="B504" s="2">
        <v>6</v>
      </c>
      <c r="C504" s="2" t="str">
        <f>_xlfn.XLOOKUP(tbl_kpi[[#This Row],[LocationID]], tbl_location[LocationID], tbl_location[LocationName], "UNMAPPED_LOCATION")</f>
        <v>Miscellaneous Storage</v>
      </c>
      <c r="D504" s="2">
        <v>619</v>
      </c>
      <c r="E504" s="2">
        <v>609</v>
      </c>
      <c r="F504" s="2">
        <f>tbl_kpi[[#This Row],[OnHandQty]]</f>
        <v>619</v>
      </c>
      <c r="G504" s="2">
        <f>tbl_kpi[[#This Row],[CountedQty]]-tbl_kpi[[#This Row],[ExpectedQty]]</f>
        <v>-10</v>
      </c>
      <c r="H504" s="2">
        <f>IF(tbl_kpi[[#This Row],[ExpectedQty]]=0, 1, MAX(0, 1 - ABS(tbl_kpi[[#This Row],[VarianceQty]]) / tbl_kpi[[#This Row],[ExpectedQty]]))</f>
        <v>0.98384491114701134</v>
      </c>
      <c r="I504" s="2" t="str">
        <f>IF(tbl_kpi[[#This Row],[AccuracyPct]] &lt; 0.98, "Y", "N")</f>
        <v>N</v>
      </c>
    </row>
    <row r="505" spans="1:9">
      <c r="A505" s="2">
        <v>489</v>
      </c>
      <c r="B505" s="2">
        <v>50</v>
      </c>
      <c r="C505" s="2" t="str">
        <f>_xlfn.XLOOKUP(tbl_kpi[[#This Row],[LocationID]], tbl_location[LocationID], tbl_location[LocationName], "UNMAPPED_LOCATION")</f>
        <v>Subassembly</v>
      </c>
      <c r="D505" s="2">
        <v>606</v>
      </c>
      <c r="E505" s="2">
        <v>621</v>
      </c>
      <c r="F505" s="2">
        <f>tbl_kpi[[#This Row],[OnHandQty]]</f>
        <v>606</v>
      </c>
      <c r="G505" s="2">
        <f>tbl_kpi[[#This Row],[CountedQty]]-tbl_kpi[[#This Row],[ExpectedQty]]</f>
        <v>15</v>
      </c>
      <c r="H505" s="2">
        <f>IF(tbl_kpi[[#This Row],[ExpectedQty]]=0, 1, MAX(0, 1 - ABS(tbl_kpi[[#This Row],[VarianceQty]]) / tbl_kpi[[#This Row],[ExpectedQty]]))</f>
        <v>0.97524752475247523</v>
      </c>
      <c r="I505" s="2" t="str">
        <f>IF(tbl_kpi[[#This Row],[AccuracyPct]] &lt; 0.98, "Y", "N")</f>
        <v>Y</v>
      </c>
    </row>
    <row r="506" spans="1:9">
      <c r="A506" s="2">
        <v>490</v>
      </c>
      <c r="B506" s="2">
        <v>1</v>
      </c>
      <c r="C506" s="2" t="str">
        <f>_xlfn.XLOOKUP(tbl_kpi[[#This Row],[LocationID]], tbl_location[LocationID], tbl_location[LocationName], "UNMAPPED_LOCATION")</f>
        <v>Tool Crib</v>
      </c>
      <c r="D506" s="2">
        <v>593</v>
      </c>
      <c r="E506" s="2">
        <v>578</v>
      </c>
      <c r="F506" s="2">
        <f>tbl_kpi[[#This Row],[OnHandQty]]</f>
        <v>593</v>
      </c>
      <c r="G506" s="2">
        <f>tbl_kpi[[#This Row],[CountedQty]]-tbl_kpi[[#This Row],[ExpectedQty]]</f>
        <v>-15</v>
      </c>
      <c r="H506" s="2">
        <f>IF(tbl_kpi[[#This Row],[ExpectedQty]]=0, 1, MAX(0, 1 - ABS(tbl_kpi[[#This Row],[VarianceQty]]) / tbl_kpi[[#This Row],[ExpectedQty]]))</f>
        <v>0.97470489038785835</v>
      </c>
      <c r="I506" s="2" t="str">
        <f>IF(tbl_kpi[[#This Row],[AccuracyPct]] &lt; 0.98, "Y", "N")</f>
        <v>Y</v>
      </c>
    </row>
    <row r="507" spans="1:9">
      <c r="A507" s="2">
        <v>490</v>
      </c>
      <c r="B507" s="2">
        <v>6</v>
      </c>
      <c r="C507" s="2" t="str">
        <f>_xlfn.XLOOKUP(tbl_kpi[[#This Row],[LocationID]], tbl_location[LocationID], tbl_location[LocationName], "UNMAPPED_LOCATION")</f>
        <v>Miscellaneous Storage</v>
      </c>
      <c r="D507" s="2">
        <v>600</v>
      </c>
      <c r="E507" s="2">
        <v>601</v>
      </c>
      <c r="F507" s="2">
        <f>tbl_kpi[[#This Row],[OnHandQty]]</f>
        <v>600</v>
      </c>
      <c r="G507" s="2">
        <f>tbl_kpi[[#This Row],[CountedQty]]-tbl_kpi[[#This Row],[ExpectedQty]]</f>
        <v>1</v>
      </c>
      <c r="H507" s="2">
        <f>IF(tbl_kpi[[#This Row],[ExpectedQty]]=0, 1, MAX(0, 1 - ABS(tbl_kpi[[#This Row],[VarianceQty]]) / tbl_kpi[[#This Row],[ExpectedQty]]))</f>
        <v>0.99833333333333329</v>
      </c>
      <c r="I507" s="2" t="str">
        <f>IF(tbl_kpi[[#This Row],[AccuracyPct]] &lt; 0.98, "Y", "N")</f>
        <v>N</v>
      </c>
    </row>
    <row r="508" spans="1:9">
      <c r="A508" s="2">
        <v>490</v>
      </c>
      <c r="B508" s="2">
        <v>50</v>
      </c>
      <c r="C508" s="2" t="str">
        <f>_xlfn.XLOOKUP(tbl_kpi[[#This Row],[LocationID]], tbl_location[LocationID], tbl_location[LocationName], "UNMAPPED_LOCATION")</f>
        <v>Subassembly</v>
      </c>
      <c r="D508" s="2">
        <v>587</v>
      </c>
      <c r="E508" s="2">
        <v>586</v>
      </c>
      <c r="F508" s="2">
        <f>tbl_kpi[[#This Row],[OnHandQty]]</f>
        <v>587</v>
      </c>
      <c r="G508" s="2">
        <f>tbl_kpi[[#This Row],[CountedQty]]-tbl_kpi[[#This Row],[ExpectedQty]]</f>
        <v>-1</v>
      </c>
      <c r="H508" s="2">
        <f>IF(tbl_kpi[[#This Row],[ExpectedQty]]=0, 1, MAX(0, 1 - ABS(tbl_kpi[[#This Row],[VarianceQty]]) / tbl_kpi[[#This Row],[ExpectedQty]]))</f>
        <v>0.99829642248722317</v>
      </c>
      <c r="I508" s="2" t="str">
        <f>IF(tbl_kpi[[#This Row],[AccuracyPct]] &lt; 0.98, "Y", "N")</f>
        <v>N</v>
      </c>
    </row>
    <row r="509" spans="1:9">
      <c r="A509" s="2">
        <v>491</v>
      </c>
      <c r="B509" s="2">
        <v>1</v>
      </c>
      <c r="C509" s="2" t="str">
        <f>_xlfn.XLOOKUP(tbl_kpi[[#This Row],[LocationID]], tbl_location[LocationID], tbl_location[LocationName], "UNMAPPED_LOCATION")</f>
        <v>Tool Crib</v>
      </c>
      <c r="D509" s="2">
        <v>254</v>
      </c>
      <c r="E509" s="2">
        <v>256</v>
      </c>
      <c r="F509" s="2">
        <f>tbl_kpi[[#This Row],[OnHandQty]]</f>
        <v>254</v>
      </c>
      <c r="G509" s="2">
        <f>tbl_kpi[[#This Row],[CountedQty]]-tbl_kpi[[#This Row],[ExpectedQty]]</f>
        <v>2</v>
      </c>
      <c r="H509" s="2">
        <f>IF(tbl_kpi[[#This Row],[ExpectedQty]]=0, 1, MAX(0, 1 - ABS(tbl_kpi[[#This Row],[VarianceQty]]) / tbl_kpi[[#This Row],[ExpectedQty]]))</f>
        <v>0.99212598425196852</v>
      </c>
      <c r="I509" s="2" t="str">
        <f>IF(tbl_kpi[[#This Row],[AccuracyPct]] &lt; 0.98, "Y", "N")</f>
        <v>N</v>
      </c>
    </row>
    <row r="510" spans="1:9">
      <c r="A510" s="2">
        <v>491</v>
      </c>
      <c r="B510" s="2">
        <v>6</v>
      </c>
      <c r="C510" s="2" t="str">
        <f>_xlfn.XLOOKUP(tbl_kpi[[#This Row],[LocationID]], tbl_location[LocationID], tbl_location[LocationName], "UNMAPPED_LOCATION")</f>
        <v>Miscellaneous Storage</v>
      </c>
      <c r="D510" s="2">
        <v>420</v>
      </c>
      <c r="E510" s="2">
        <v>431</v>
      </c>
      <c r="F510" s="2">
        <f>tbl_kpi[[#This Row],[OnHandQty]]</f>
        <v>420</v>
      </c>
      <c r="G510" s="2">
        <f>tbl_kpi[[#This Row],[CountedQty]]-tbl_kpi[[#This Row],[ExpectedQty]]</f>
        <v>11</v>
      </c>
      <c r="H510" s="2">
        <f>IF(tbl_kpi[[#This Row],[ExpectedQty]]=0, 1, MAX(0, 1 - ABS(tbl_kpi[[#This Row],[VarianceQty]]) / tbl_kpi[[#This Row],[ExpectedQty]]))</f>
        <v>0.97380952380952379</v>
      </c>
      <c r="I510" s="2" t="str">
        <f>IF(tbl_kpi[[#This Row],[AccuracyPct]] &lt; 0.98, "Y", "N")</f>
        <v>Y</v>
      </c>
    </row>
    <row r="511" spans="1:9">
      <c r="A511" s="2">
        <v>491</v>
      </c>
      <c r="B511" s="2">
        <v>50</v>
      </c>
      <c r="C511" s="2" t="str">
        <f>_xlfn.XLOOKUP(tbl_kpi[[#This Row],[LocationID]], tbl_location[LocationID], tbl_location[LocationName], "UNMAPPED_LOCATION")</f>
        <v>Subassembly</v>
      </c>
      <c r="D511" s="2">
        <v>248</v>
      </c>
      <c r="E511" s="2">
        <v>243</v>
      </c>
      <c r="F511" s="2">
        <f>tbl_kpi[[#This Row],[OnHandQty]]</f>
        <v>248</v>
      </c>
      <c r="G511" s="2">
        <f>tbl_kpi[[#This Row],[CountedQty]]-tbl_kpi[[#This Row],[ExpectedQty]]</f>
        <v>-5</v>
      </c>
      <c r="H511" s="2">
        <f>IF(tbl_kpi[[#This Row],[ExpectedQty]]=0, 1, MAX(0, 1 - ABS(tbl_kpi[[#This Row],[VarianceQty]]) / tbl_kpi[[#This Row],[ExpectedQty]]))</f>
        <v>0.97983870967741937</v>
      </c>
      <c r="I511" s="2" t="str">
        <f>IF(tbl_kpi[[#This Row],[AccuracyPct]] &lt; 0.98, "Y", "N")</f>
        <v>Y</v>
      </c>
    </row>
    <row r="512" spans="1:9">
      <c r="A512" s="2">
        <v>492</v>
      </c>
      <c r="B512" s="2">
        <v>3</v>
      </c>
      <c r="C512" s="2" t="str">
        <f>_xlfn.XLOOKUP(tbl_kpi[[#This Row],[LocationID]], tbl_location[LocationID], tbl_location[LocationName], "UNMAPPED_LOCATION")</f>
        <v>Paint Shop</v>
      </c>
      <c r="D512" s="2">
        <v>17</v>
      </c>
      <c r="E512" s="2">
        <v>17</v>
      </c>
      <c r="F512" s="2">
        <f>tbl_kpi[[#This Row],[OnHandQty]]</f>
        <v>17</v>
      </c>
      <c r="G512" s="2">
        <f>tbl_kpi[[#This Row],[CountedQty]]-tbl_kpi[[#This Row],[ExpectedQty]]</f>
        <v>0</v>
      </c>
      <c r="H512" s="2">
        <f>IF(tbl_kpi[[#This Row],[ExpectedQty]]=0, 1, MAX(0, 1 - ABS(tbl_kpi[[#This Row],[VarianceQty]]) / tbl_kpi[[#This Row],[ExpectedQty]]))</f>
        <v>1</v>
      </c>
      <c r="I512" s="2" t="str">
        <f>IF(tbl_kpi[[#This Row],[AccuracyPct]] &lt; 0.98, "Y", "N")</f>
        <v>N</v>
      </c>
    </row>
    <row r="513" spans="1:9">
      <c r="A513" s="2">
        <v>492</v>
      </c>
      <c r="B513" s="2">
        <v>4</v>
      </c>
      <c r="C513" s="2" t="str">
        <f>_xlfn.XLOOKUP(tbl_kpi[[#This Row],[LocationID]], tbl_location[LocationID], tbl_location[LocationName], "UNMAPPED_LOCATION")</f>
        <v>Paint Storage</v>
      </c>
      <c r="D513" s="2">
        <v>14</v>
      </c>
      <c r="E513" s="2">
        <v>14</v>
      </c>
      <c r="F513" s="2">
        <f>tbl_kpi[[#This Row],[OnHandQty]]</f>
        <v>14</v>
      </c>
      <c r="G513" s="2">
        <f>tbl_kpi[[#This Row],[CountedQty]]-tbl_kpi[[#This Row],[ExpectedQty]]</f>
        <v>0</v>
      </c>
      <c r="H513" s="2">
        <f>IF(tbl_kpi[[#This Row],[ExpectedQty]]=0, 1, MAX(0, 1 - ABS(tbl_kpi[[#This Row],[VarianceQty]]) / tbl_kpi[[#This Row],[ExpectedQty]]))</f>
        <v>1</v>
      </c>
      <c r="I513" s="2" t="str">
        <f>IF(tbl_kpi[[#This Row],[AccuracyPct]] &lt; 0.98, "Y", "N")</f>
        <v>N</v>
      </c>
    </row>
    <row r="514" spans="1:9">
      <c r="A514" s="2">
        <v>492</v>
      </c>
      <c r="B514" s="2">
        <v>40</v>
      </c>
      <c r="C514" s="2" t="str">
        <f>_xlfn.XLOOKUP(tbl_kpi[[#This Row],[LocationID]], tbl_location[LocationID], tbl_location[LocationName], "UNMAPPED_LOCATION")</f>
        <v>Paint</v>
      </c>
      <c r="D514" s="2">
        <v>16</v>
      </c>
      <c r="E514" s="2">
        <v>16</v>
      </c>
      <c r="F514" s="2">
        <f>tbl_kpi[[#This Row],[OnHandQty]]</f>
        <v>16</v>
      </c>
      <c r="G514" s="2">
        <f>tbl_kpi[[#This Row],[CountedQty]]-tbl_kpi[[#This Row],[ExpectedQty]]</f>
        <v>0</v>
      </c>
      <c r="H514" s="2">
        <f>IF(tbl_kpi[[#This Row],[ExpectedQty]]=0, 1, MAX(0, 1 - ABS(tbl_kpi[[#This Row],[VarianceQty]]) / tbl_kpi[[#This Row],[ExpectedQty]]))</f>
        <v>1</v>
      </c>
      <c r="I514" s="2" t="str">
        <f>IF(tbl_kpi[[#This Row],[AccuracyPct]] &lt; 0.98, "Y", "N")</f>
        <v>N</v>
      </c>
    </row>
    <row r="515" spans="1:9">
      <c r="A515" s="2">
        <v>493</v>
      </c>
      <c r="B515" s="2">
        <v>3</v>
      </c>
      <c r="C515" s="2" t="str">
        <f>_xlfn.XLOOKUP(tbl_kpi[[#This Row],[LocationID]], tbl_location[LocationID], tbl_location[LocationName], "UNMAPPED_LOCATION")</f>
        <v>Paint Shop</v>
      </c>
      <c r="D515" s="2">
        <v>41</v>
      </c>
      <c r="E515" s="2">
        <v>41</v>
      </c>
      <c r="F515" s="2">
        <f>tbl_kpi[[#This Row],[OnHandQty]]</f>
        <v>41</v>
      </c>
      <c r="G515" s="2">
        <f>tbl_kpi[[#This Row],[CountedQty]]-tbl_kpi[[#This Row],[ExpectedQty]]</f>
        <v>0</v>
      </c>
      <c r="H515" s="2">
        <f>IF(tbl_kpi[[#This Row],[ExpectedQty]]=0, 1, MAX(0, 1 - ABS(tbl_kpi[[#This Row],[VarianceQty]]) / tbl_kpi[[#This Row],[ExpectedQty]]))</f>
        <v>1</v>
      </c>
      <c r="I515" s="2" t="str">
        <f>IF(tbl_kpi[[#This Row],[AccuracyPct]] &lt; 0.98, "Y", "N")</f>
        <v>N</v>
      </c>
    </row>
    <row r="516" spans="1:9">
      <c r="A516" s="2">
        <v>493</v>
      </c>
      <c r="B516" s="2">
        <v>4</v>
      </c>
      <c r="C516" s="2" t="str">
        <f>_xlfn.XLOOKUP(tbl_kpi[[#This Row],[LocationID]], tbl_location[LocationID], tbl_location[LocationName], "UNMAPPED_LOCATION")</f>
        <v>Paint Storage</v>
      </c>
      <c r="D516" s="2">
        <v>24</v>
      </c>
      <c r="E516" s="2">
        <v>24</v>
      </c>
      <c r="F516" s="2">
        <f>tbl_kpi[[#This Row],[OnHandQty]]</f>
        <v>24</v>
      </c>
      <c r="G516" s="2">
        <f>tbl_kpi[[#This Row],[CountedQty]]-tbl_kpi[[#This Row],[ExpectedQty]]</f>
        <v>0</v>
      </c>
      <c r="H516" s="2">
        <f>IF(tbl_kpi[[#This Row],[ExpectedQty]]=0, 1, MAX(0, 1 - ABS(tbl_kpi[[#This Row],[VarianceQty]]) / tbl_kpi[[#This Row],[ExpectedQty]]))</f>
        <v>1</v>
      </c>
      <c r="I516" s="2" t="str">
        <f>IF(tbl_kpi[[#This Row],[AccuracyPct]] &lt; 0.98, "Y", "N")</f>
        <v>N</v>
      </c>
    </row>
    <row r="517" spans="1:9">
      <c r="A517" s="2">
        <v>493</v>
      </c>
      <c r="B517" s="2">
        <v>40</v>
      </c>
      <c r="C517" s="2" t="str">
        <f>_xlfn.XLOOKUP(tbl_kpi[[#This Row],[LocationID]], tbl_location[LocationID], tbl_location[LocationName], "UNMAPPED_LOCATION")</f>
        <v>Paint</v>
      </c>
      <c r="D517" s="2">
        <v>28</v>
      </c>
      <c r="E517" s="2">
        <v>28</v>
      </c>
      <c r="F517" s="2">
        <f>tbl_kpi[[#This Row],[OnHandQty]]</f>
        <v>28</v>
      </c>
      <c r="G517" s="2">
        <f>tbl_kpi[[#This Row],[CountedQty]]-tbl_kpi[[#This Row],[ExpectedQty]]</f>
        <v>0</v>
      </c>
      <c r="H517" s="2">
        <f>IF(tbl_kpi[[#This Row],[ExpectedQty]]=0, 1, MAX(0, 1 - ABS(tbl_kpi[[#This Row],[VarianceQty]]) / tbl_kpi[[#This Row],[ExpectedQty]]))</f>
        <v>1</v>
      </c>
      <c r="I517" s="2" t="str">
        <f>IF(tbl_kpi[[#This Row],[AccuracyPct]] &lt; 0.98, "Y", "N")</f>
        <v>N</v>
      </c>
    </row>
    <row r="518" spans="1:9">
      <c r="A518" s="2">
        <v>494</v>
      </c>
      <c r="B518" s="2">
        <v>3</v>
      </c>
      <c r="C518" s="2" t="str">
        <f>_xlfn.XLOOKUP(tbl_kpi[[#This Row],[LocationID]], tbl_location[LocationID], tbl_location[LocationName], "UNMAPPED_LOCATION")</f>
        <v>Paint Shop</v>
      </c>
      <c r="D518" s="2">
        <v>49</v>
      </c>
      <c r="E518" s="2">
        <v>48</v>
      </c>
      <c r="F518" s="2">
        <f>tbl_kpi[[#This Row],[OnHandQty]]</f>
        <v>49</v>
      </c>
      <c r="G518" s="2">
        <f>tbl_kpi[[#This Row],[CountedQty]]-tbl_kpi[[#This Row],[ExpectedQty]]</f>
        <v>-1</v>
      </c>
      <c r="H518" s="2">
        <f>IF(tbl_kpi[[#This Row],[ExpectedQty]]=0, 1, MAX(0, 1 - ABS(tbl_kpi[[#This Row],[VarianceQty]]) / tbl_kpi[[#This Row],[ExpectedQty]]))</f>
        <v>0.97959183673469385</v>
      </c>
      <c r="I518" s="2" t="str">
        <f>IF(tbl_kpi[[#This Row],[AccuracyPct]] &lt; 0.98, "Y", "N")</f>
        <v>Y</v>
      </c>
    </row>
    <row r="519" spans="1:9">
      <c r="A519" s="2">
        <v>494</v>
      </c>
      <c r="B519" s="2">
        <v>4</v>
      </c>
      <c r="C519" s="2" t="str">
        <f>_xlfn.XLOOKUP(tbl_kpi[[#This Row],[LocationID]], tbl_location[LocationID], tbl_location[LocationName], "UNMAPPED_LOCATION")</f>
        <v>Paint Storage</v>
      </c>
      <c r="D519" s="2">
        <v>12</v>
      </c>
      <c r="E519" s="2">
        <v>12</v>
      </c>
      <c r="F519" s="2">
        <f>tbl_kpi[[#This Row],[OnHandQty]]</f>
        <v>12</v>
      </c>
      <c r="G519" s="2">
        <f>tbl_kpi[[#This Row],[CountedQty]]-tbl_kpi[[#This Row],[ExpectedQty]]</f>
        <v>0</v>
      </c>
      <c r="H519" s="2">
        <f>IF(tbl_kpi[[#This Row],[ExpectedQty]]=0, 1, MAX(0, 1 - ABS(tbl_kpi[[#This Row],[VarianceQty]]) / tbl_kpi[[#This Row],[ExpectedQty]]))</f>
        <v>1</v>
      </c>
      <c r="I519" s="2" t="str">
        <f>IF(tbl_kpi[[#This Row],[AccuracyPct]] &lt; 0.98, "Y", "N")</f>
        <v>N</v>
      </c>
    </row>
    <row r="520" spans="1:9">
      <c r="A520" s="2">
        <v>494</v>
      </c>
      <c r="B520" s="2">
        <v>40</v>
      </c>
      <c r="C520" s="2" t="str">
        <f>_xlfn.XLOOKUP(tbl_kpi[[#This Row],[LocationID]], tbl_location[LocationID], tbl_location[LocationName], "UNMAPPED_LOCATION")</f>
        <v>Paint</v>
      </c>
      <c r="D520" s="2">
        <v>4</v>
      </c>
      <c r="E520" s="2">
        <v>4</v>
      </c>
      <c r="F520" s="2">
        <f>tbl_kpi[[#This Row],[OnHandQty]]</f>
        <v>4</v>
      </c>
      <c r="G520" s="2">
        <f>tbl_kpi[[#This Row],[CountedQty]]-tbl_kpi[[#This Row],[ExpectedQty]]</f>
        <v>0</v>
      </c>
      <c r="H520" s="2">
        <f>IF(tbl_kpi[[#This Row],[ExpectedQty]]=0, 1, MAX(0, 1 - ABS(tbl_kpi[[#This Row],[VarianceQty]]) / tbl_kpi[[#This Row],[ExpectedQty]]))</f>
        <v>1</v>
      </c>
      <c r="I520" s="2" t="str">
        <f>IF(tbl_kpi[[#This Row],[AccuracyPct]] &lt; 0.98, "Y", "N")</f>
        <v>N</v>
      </c>
    </row>
    <row r="521" spans="1:9">
      <c r="A521" s="2">
        <v>495</v>
      </c>
      <c r="B521" s="2">
        <v>3</v>
      </c>
      <c r="C521" s="2" t="str">
        <f>_xlfn.XLOOKUP(tbl_kpi[[#This Row],[LocationID]], tbl_location[LocationID], tbl_location[LocationName], "UNMAPPED_LOCATION")</f>
        <v>Paint Shop</v>
      </c>
      <c r="D521" s="2">
        <v>49</v>
      </c>
      <c r="E521" s="2">
        <v>49</v>
      </c>
      <c r="F521" s="2">
        <f>tbl_kpi[[#This Row],[OnHandQty]]</f>
        <v>49</v>
      </c>
      <c r="G521" s="2">
        <f>tbl_kpi[[#This Row],[CountedQty]]-tbl_kpi[[#This Row],[ExpectedQty]]</f>
        <v>0</v>
      </c>
      <c r="H521" s="2">
        <f>IF(tbl_kpi[[#This Row],[ExpectedQty]]=0, 1, MAX(0, 1 - ABS(tbl_kpi[[#This Row],[VarianceQty]]) / tbl_kpi[[#This Row],[ExpectedQty]]))</f>
        <v>1</v>
      </c>
      <c r="I521" s="2" t="str">
        <f>IF(tbl_kpi[[#This Row],[AccuracyPct]] &lt; 0.98, "Y", "N")</f>
        <v>N</v>
      </c>
    </row>
    <row r="522" spans="1:9">
      <c r="A522" s="2">
        <v>495</v>
      </c>
      <c r="B522" s="2">
        <v>4</v>
      </c>
      <c r="C522" s="2" t="str">
        <f>_xlfn.XLOOKUP(tbl_kpi[[#This Row],[LocationID]], tbl_location[LocationID], tbl_location[LocationName], "UNMAPPED_LOCATION")</f>
        <v>Paint Storage</v>
      </c>
      <c r="D522" s="2">
        <v>35</v>
      </c>
      <c r="E522" s="2">
        <v>35</v>
      </c>
      <c r="F522" s="2">
        <f>tbl_kpi[[#This Row],[OnHandQty]]</f>
        <v>35</v>
      </c>
      <c r="G522" s="2">
        <f>tbl_kpi[[#This Row],[CountedQty]]-tbl_kpi[[#This Row],[ExpectedQty]]</f>
        <v>0</v>
      </c>
      <c r="H522" s="2">
        <f>IF(tbl_kpi[[#This Row],[ExpectedQty]]=0, 1, MAX(0, 1 - ABS(tbl_kpi[[#This Row],[VarianceQty]]) / tbl_kpi[[#This Row],[ExpectedQty]]))</f>
        <v>1</v>
      </c>
      <c r="I522" s="2" t="str">
        <f>IF(tbl_kpi[[#This Row],[AccuracyPct]] &lt; 0.98, "Y", "N")</f>
        <v>N</v>
      </c>
    </row>
    <row r="523" spans="1:9">
      <c r="A523" s="2">
        <v>495</v>
      </c>
      <c r="B523" s="2">
        <v>40</v>
      </c>
      <c r="C523" s="2" t="str">
        <f>_xlfn.XLOOKUP(tbl_kpi[[#This Row],[LocationID]], tbl_location[LocationID], tbl_location[LocationName], "UNMAPPED_LOCATION")</f>
        <v>Paint</v>
      </c>
      <c r="D523" s="2">
        <v>25</v>
      </c>
      <c r="E523" s="2">
        <v>25</v>
      </c>
      <c r="F523" s="2">
        <f>tbl_kpi[[#This Row],[OnHandQty]]</f>
        <v>25</v>
      </c>
      <c r="G523" s="2">
        <f>tbl_kpi[[#This Row],[CountedQty]]-tbl_kpi[[#This Row],[ExpectedQty]]</f>
        <v>0</v>
      </c>
      <c r="H523" s="2">
        <f>IF(tbl_kpi[[#This Row],[ExpectedQty]]=0, 1, MAX(0, 1 - ABS(tbl_kpi[[#This Row],[VarianceQty]]) / tbl_kpi[[#This Row],[ExpectedQty]]))</f>
        <v>1</v>
      </c>
      <c r="I523" s="2" t="str">
        <f>IF(tbl_kpi[[#This Row],[AccuracyPct]] &lt; 0.98, "Y", "N")</f>
        <v>N</v>
      </c>
    </row>
    <row r="524" spans="1:9">
      <c r="A524" s="2">
        <v>496</v>
      </c>
      <c r="B524" s="2">
        <v>3</v>
      </c>
      <c r="C524" s="2" t="str">
        <f>_xlfn.XLOOKUP(tbl_kpi[[#This Row],[LocationID]], tbl_location[LocationID], tbl_location[LocationName], "UNMAPPED_LOCATION")</f>
        <v>Paint Shop</v>
      </c>
      <c r="D524" s="2">
        <v>30</v>
      </c>
      <c r="E524" s="2">
        <v>30</v>
      </c>
      <c r="F524" s="2">
        <f>tbl_kpi[[#This Row],[OnHandQty]]</f>
        <v>30</v>
      </c>
      <c r="G524" s="2">
        <f>tbl_kpi[[#This Row],[CountedQty]]-tbl_kpi[[#This Row],[ExpectedQty]]</f>
        <v>0</v>
      </c>
      <c r="H524" s="2">
        <f>IF(tbl_kpi[[#This Row],[ExpectedQty]]=0, 1, MAX(0, 1 - ABS(tbl_kpi[[#This Row],[VarianceQty]]) / tbl_kpi[[#This Row],[ExpectedQty]]))</f>
        <v>1</v>
      </c>
      <c r="I524" s="2" t="str">
        <f>IF(tbl_kpi[[#This Row],[AccuracyPct]] &lt; 0.98, "Y", "N")</f>
        <v>N</v>
      </c>
    </row>
    <row r="525" spans="1:9">
      <c r="A525" s="2">
        <v>496</v>
      </c>
      <c r="B525" s="2">
        <v>4</v>
      </c>
      <c r="C525" s="2" t="str">
        <f>_xlfn.XLOOKUP(tbl_kpi[[#This Row],[LocationID]], tbl_location[LocationID], tbl_location[LocationName], "UNMAPPED_LOCATION")</f>
        <v>Paint Storage</v>
      </c>
      <c r="D525" s="2">
        <v>25</v>
      </c>
      <c r="E525" s="2">
        <v>24</v>
      </c>
      <c r="F525" s="2">
        <f>tbl_kpi[[#This Row],[OnHandQty]]</f>
        <v>25</v>
      </c>
      <c r="G525" s="2">
        <f>tbl_kpi[[#This Row],[CountedQty]]-tbl_kpi[[#This Row],[ExpectedQty]]</f>
        <v>-1</v>
      </c>
      <c r="H525" s="2">
        <f>IF(tbl_kpi[[#This Row],[ExpectedQty]]=0, 1, MAX(0, 1 - ABS(tbl_kpi[[#This Row],[VarianceQty]]) / tbl_kpi[[#This Row],[ExpectedQty]]))</f>
        <v>0.96</v>
      </c>
      <c r="I525" s="2" t="str">
        <f>IF(tbl_kpi[[#This Row],[AccuracyPct]] &lt; 0.98, "Y", "N")</f>
        <v>Y</v>
      </c>
    </row>
    <row r="526" spans="1:9">
      <c r="A526" s="2">
        <v>496</v>
      </c>
      <c r="B526" s="2">
        <v>40</v>
      </c>
      <c r="C526" s="2" t="str">
        <f>_xlfn.XLOOKUP(tbl_kpi[[#This Row],[LocationID]], tbl_location[LocationID], tbl_location[LocationName], "UNMAPPED_LOCATION")</f>
        <v>Paint</v>
      </c>
      <c r="D526" s="2">
        <v>44</v>
      </c>
      <c r="E526" s="2">
        <v>45</v>
      </c>
      <c r="F526" s="2">
        <f>tbl_kpi[[#This Row],[OnHandQty]]</f>
        <v>44</v>
      </c>
      <c r="G526" s="2">
        <f>tbl_kpi[[#This Row],[CountedQty]]-tbl_kpi[[#This Row],[ExpectedQty]]</f>
        <v>1</v>
      </c>
      <c r="H526" s="2">
        <f>IF(tbl_kpi[[#This Row],[ExpectedQty]]=0, 1, MAX(0, 1 - ABS(tbl_kpi[[#This Row],[VarianceQty]]) / tbl_kpi[[#This Row],[ExpectedQty]]))</f>
        <v>0.97727272727272729</v>
      </c>
      <c r="I526" s="2" t="str">
        <f>IF(tbl_kpi[[#This Row],[AccuracyPct]] &lt; 0.98, "Y", "N")</f>
        <v>Y</v>
      </c>
    </row>
    <row r="527" spans="1:9">
      <c r="A527" s="2">
        <v>497</v>
      </c>
      <c r="B527" s="2">
        <v>1</v>
      </c>
      <c r="C527" s="2" t="str">
        <f>_xlfn.XLOOKUP(tbl_kpi[[#This Row],[LocationID]], tbl_location[LocationID], tbl_location[LocationName], "UNMAPPED_LOCATION")</f>
        <v>Tool Crib</v>
      </c>
      <c r="D527" s="2">
        <v>336</v>
      </c>
      <c r="E527" s="2">
        <v>344</v>
      </c>
      <c r="F527" s="2">
        <f>tbl_kpi[[#This Row],[OnHandQty]]</f>
        <v>336</v>
      </c>
      <c r="G527" s="2">
        <f>tbl_kpi[[#This Row],[CountedQty]]-tbl_kpi[[#This Row],[ExpectedQty]]</f>
        <v>8</v>
      </c>
      <c r="H527" s="2">
        <f>IF(tbl_kpi[[#This Row],[ExpectedQty]]=0, 1, MAX(0, 1 - ABS(tbl_kpi[[#This Row],[VarianceQty]]) / tbl_kpi[[#This Row],[ExpectedQty]]))</f>
        <v>0.97619047619047616</v>
      </c>
      <c r="I527" s="2" t="str">
        <f>IF(tbl_kpi[[#This Row],[AccuracyPct]] &lt; 0.98, "Y", "N")</f>
        <v>Y</v>
      </c>
    </row>
    <row r="528" spans="1:9">
      <c r="A528" s="2">
        <v>497</v>
      </c>
      <c r="B528" s="2">
        <v>6</v>
      </c>
      <c r="C528" s="2" t="str">
        <f>_xlfn.XLOOKUP(tbl_kpi[[#This Row],[LocationID]], tbl_location[LocationID], tbl_location[LocationName], "UNMAPPED_LOCATION")</f>
        <v>Miscellaneous Storage</v>
      </c>
      <c r="D528" s="2">
        <v>364</v>
      </c>
      <c r="E528" s="2">
        <v>360</v>
      </c>
      <c r="F528" s="2">
        <f>tbl_kpi[[#This Row],[OnHandQty]]</f>
        <v>364</v>
      </c>
      <c r="G528" s="2">
        <f>tbl_kpi[[#This Row],[CountedQty]]-tbl_kpi[[#This Row],[ExpectedQty]]</f>
        <v>-4</v>
      </c>
      <c r="H528" s="2">
        <f>IF(tbl_kpi[[#This Row],[ExpectedQty]]=0, 1, MAX(0, 1 - ABS(tbl_kpi[[#This Row],[VarianceQty]]) / tbl_kpi[[#This Row],[ExpectedQty]]))</f>
        <v>0.98901098901098905</v>
      </c>
      <c r="I528" s="2" t="str">
        <f>IF(tbl_kpi[[#This Row],[AccuracyPct]] &lt; 0.98, "Y", "N")</f>
        <v>N</v>
      </c>
    </row>
    <row r="529" spans="1:9">
      <c r="A529" s="2">
        <v>497</v>
      </c>
      <c r="B529" s="2">
        <v>50</v>
      </c>
      <c r="C529" s="2" t="str">
        <f>_xlfn.XLOOKUP(tbl_kpi[[#This Row],[LocationID]], tbl_location[LocationID], tbl_location[LocationName], "UNMAPPED_LOCATION")</f>
        <v>Subassembly</v>
      </c>
      <c r="D529" s="2">
        <v>273</v>
      </c>
      <c r="E529" s="2">
        <v>272</v>
      </c>
      <c r="F529" s="2">
        <f>tbl_kpi[[#This Row],[OnHandQty]]</f>
        <v>273</v>
      </c>
      <c r="G529" s="2">
        <f>tbl_kpi[[#This Row],[CountedQty]]-tbl_kpi[[#This Row],[ExpectedQty]]</f>
        <v>-1</v>
      </c>
      <c r="H529" s="2">
        <f>IF(tbl_kpi[[#This Row],[ExpectedQty]]=0, 1, MAX(0, 1 - ABS(tbl_kpi[[#This Row],[VarianceQty]]) / tbl_kpi[[#This Row],[ExpectedQty]]))</f>
        <v>0.99633699633699635</v>
      </c>
      <c r="I529" s="2" t="str">
        <f>IF(tbl_kpi[[#This Row],[AccuracyPct]] &lt; 0.98, "Y", "N")</f>
        <v>N</v>
      </c>
    </row>
    <row r="530" spans="1:9">
      <c r="A530" s="2">
        <v>504</v>
      </c>
      <c r="B530" s="2">
        <v>1</v>
      </c>
      <c r="C530" s="2" t="str">
        <f>_xlfn.XLOOKUP(tbl_kpi[[#This Row],[LocationID]], tbl_location[LocationID], tbl_location[LocationName], "UNMAPPED_LOCATION")</f>
        <v>Tool Crib</v>
      </c>
      <c r="D530" s="2">
        <v>392</v>
      </c>
      <c r="E530" s="2">
        <v>397</v>
      </c>
      <c r="F530" s="2">
        <f>tbl_kpi[[#This Row],[OnHandQty]]</f>
        <v>392</v>
      </c>
      <c r="G530" s="2">
        <f>tbl_kpi[[#This Row],[CountedQty]]-tbl_kpi[[#This Row],[ExpectedQty]]</f>
        <v>5</v>
      </c>
      <c r="H530" s="2">
        <f>IF(tbl_kpi[[#This Row],[ExpectedQty]]=0, 1, MAX(0, 1 - ABS(tbl_kpi[[#This Row],[VarianceQty]]) / tbl_kpi[[#This Row],[ExpectedQty]]))</f>
        <v>0.98724489795918369</v>
      </c>
      <c r="I530" s="2" t="str">
        <f>IF(tbl_kpi[[#This Row],[AccuracyPct]] &lt; 0.98, "Y", "N")</f>
        <v>N</v>
      </c>
    </row>
    <row r="531" spans="1:9">
      <c r="A531" s="2">
        <v>504</v>
      </c>
      <c r="B531" s="2">
        <v>6</v>
      </c>
      <c r="C531" s="2" t="str">
        <f>_xlfn.XLOOKUP(tbl_kpi[[#This Row],[LocationID]], tbl_location[LocationID], tbl_location[LocationName], "UNMAPPED_LOCATION")</f>
        <v>Miscellaneous Storage</v>
      </c>
      <c r="D531" s="2">
        <v>372</v>
      </c>
      <c r="E531" s="2">
        <v>380</v>
      </c>
      <c r="F531" s="2">
        <f>tbl_kpi[[#This Row],[OnHandQty]]</f>
        <v>372</v>
      </c>
      <c r="G531" s="2">
        <f>tbl_kpi[[#This Row],[CountedQty]]-tbl_kpi[[#This Row],[ExpectedQty]]</f>
        <v>8</v>
      </c>
      <c r="H531" s="2">
        <f>IF(tbl_kpi[[#This Row],[ExpectedQty]]=0, 1, MAX(0, 1 - ABS(tbl_kpi[[#This Row],[VarianceQty]]) / tbl_kpi[[#This Row],[ExpectedQty]]))</f>
        <v>0.978494623655914</v>
      </c>
      <c r="I531" s="2" t="str">
        <f>IF(tbl_kpi[[#This Row],[AccuracyPct]] &lt; 0.98, "Y", "N")</f>
        <v>Y</v>
      </c>
    </row>
    <row r="532" spans="1:9">
      <c r="A532" s="2">
        <v>504</v>
      </c>
      <c r="B532" s="2">
        <v>50</v>
      </c>
      <c r="C532" s="2" t="str">
        <f>_xlfn.XLOOKUP(tbl_kpi[[#This Row],[LocationID]], tbl_location[LocationID], tbl_location[LocationName], "UNMAPPED_LOCATION")</f>
        <v>Subassembly</v>
      </c>
      <c r="D532" s="2">
        <v>320</v>
      </c>
      <c r="E532" s="2">
        <v>322</v>
      </c>
      <c r="F532" s="2">
        <f>tbl_kpi[[#This Row],[OnHandQty]]</f>
        <v>320</v>
      </c>
      <c r="G532" s="2">
        <f>tbl_kpi[[#This Row],[CountedQty]]-tbl_kpi[[#This Row],[ExpectedQty]]</f>
        <v>2</v>
      </c>
      <c r="H532" s="2">
        <f>IF(tbl_kpi[[#This Row],[ExpectedQty]]=0, 1, MAX(0, 1 - ABS(tbl_kpi[[#This Row],[VarianceQty]]) / tbl_kpi[[#This Row],[ExpectedQty]]))</f>
        <v>0.99375000000000002</v>
      </c>
      <c r="I532" s="2" t="str">
        <f>IF(tbl_kpi[[#This Row],[AccuracyPct]] &lt; 0.98, "Y", "N")</f>
        <v>N</v>
      </c>
    </row>
    <row r="533" spans="1:9">
      <c r="A533" s="2">
        <v>505</v>
      </c>
      <c r="B533" s="2">
        <v>1</v>
      </c>
      <c r="C533" s="2" t="str">
        <f>_xlfn.XLOOKUP(tbl_kpi[[#This Row],[LocationID]], tbl_location[LocationID], tbl_location[LocationName], "UNMAPPED_LOCATION")</f>
        <v>Tool Crib</v>
      </c>
      <c r="D533" s="2">
        <v>388</v>
      </c>
      <c r="E533" s="2">
        <v>398</v>
      </c>
      <c r="F533" s="2">
        <f>tbl_kpi[[#This Row],[OnHandQty]]</f>
        <v>388</v>
      </c>
      <c r="G533" s="2">
        <f>tbl_kpi[[#This Row],[CountedQty]]-tbl_kpi[[#This Row],[ExpectedQty]]</f>
        <v>10</v>
      </c>
      <c r="H533" s="2">
        <f>IF(tbl_kpi[[#This Row],[ExpectedQty]]=0, 1, MAX(0, 1 - ABS(tbl_kpi[[#This Row],[VarianceQty]]) / tbl_kpi[[#This Row],[ExpectedQty]]))</f>
        <v>0.97422680412371132</v>
      </c>
      <c r="I533" s="2" t="str">
        <f>IF(tbl_kpi[[#This Row],[AccuracyPct]] &lt; 0.98, "Y", "N")</f>
        <v>Y</v>
      </c>
    </row>
    <row r="534" spans="1:9">
      <c r="A534" s="2">
        <v>505</v>
      </c>
      <c r="B534" s="2">
        <v>6</v>
      </c>
      <c r="C534" s="2" t="str">
        <f>_xlfn.XLOOKUP(tbl_kpi[[#This Row],[LocationID]], tbl_location[LocationID], tbl_location[LocationName], "UNMAPPED_LOCATION")</f>
        <v>Miscellaneous Storage</v>
      </c>
      <c r="D534" s="2">
        <v>299</v>
      </c>
      <c r="E534" s="2">
        <v>307</v>
      </c>
      <c r="F534" s="2">
        <f>tbl_kpi[[#This Row],[OnHandQty]]</f>
        <v>299</v>
      </c>
      <c r="G534" s="2">
        <f>tbl_kpi[[#This Row],[CountedQty]]-tbl_kpi[[#This Row],[ExpectedQty]]</f>
        <v>8</v>
      </c>
      <c r="H534" s="2">
        <f>IF(tbl_kpi[[#This Row],[ExpectedQty]]=0, 1, MAX(0, 1 - ABS(tbl_kpi[[#This Row],[VarianceQty]]) / tbl_kpi[[#This Row],[ExpectedQty]]))</f>
        <v>0.97324414715719065</v>
      </c>
      <c r="I534" s="2" t="str">
        <f>IF(tbl_kpi[[#This Row],[AccuracyPct]] &lt; 0.98, "Y", "N")</f>
        <v>Y</v>
      </c>
    </row>
    <row r="535" spans="1:9">
      <c r="A535" s="2">
        <v>505</v>
      </c>
      <c r="B535" s="2">
        <v>50</v>
      </c>
      <c r="C535" s="2" t="str">
        <f>_xlfn.XLOOKUP(tbl_kpi[[#This Row],[LocationID]], tbl_location[LocationID], tbl_location[LocationName], "UNMAPPED_LOCATION")</f>
        <v>Subassembly</v>
      </c>
      <c r="D535" s="2">
        <v>283</v>
      </c>
      <c r="E535" s="2">
        <v>276</v>
      </c>
      <c r="F535" s="2">
        <f>tbl_kpi[[#This Row],[OnHandQty]]</f>
        <v>283</v>
      </c>
      <c r="G535" s="2">
        <f>tbl_kpi[[#This Row],[CountedQty]]-tbl_kpi[[#This Row],[ExpectedQty]]</f>
        <v>-7</v>
      </c>
      <c r="H535" s="2">
        <f>IF(tbl_kpi[[#This Row],[ExpectedQty]]=0, 1, MAX(0, 1 - ABS(tbl_kpi[[#This Row],[VarianceQty]]) / tbl_kpi[[#This Row],[ExpectedQty]]))</f>
        <v>0.97526501766784457</v>
      </c>
      <c r="I535" s="2" t="str">
        <f>IF(tbl_kpi[[#This Row],[AccuracyPct]] &lt; 0.98, "Y", "N")</f>
        <v>Y</v>
      </c>
    </row>
    <row r="536" spans="1:9">
      <c r="A536" s="2">
        <v>506</v>
      </c>
      <c r="B536" s="2">
        <v>1</v>
      </c>
      <c r="C536" s="2" t="str">
        <f>_xlfn.XLOOKUP(tbl_kpi[[#This Row],[LocationID]], tbl_location[LocationID], tbl_location[LocationName], "UNMAPPED_LOCATION")</f>
        <v>Tool Crib</v>
      </c>
      <c r="D536" s="2">
        <v>316</v>
      </c>
      <c r="E536" s="2">
        <v>318</v>
      </c>
      <c r="F536" s="2">
        <f>tbl_kpi[[#This Row],[OnHandQty]]</f>
        <v>316</v>
      </c>
      <c r="G536" s="2">
        <f>tbl_kpi[[#This Row],[CountedQty]]-tbl_kpi[[#This Row],[ExpectedQty]]</f>
        <v>2</v>
      </c>
      <c r="H536" s="2">
        <f>IF(tbl_kpi[[#This Row],[ExpectedQty]]=0, 1, MAX(0, 1 - ABS(tbl_kpi[[#This Row],[VarianceQty]]) / tbl_kpi[[#This Row],[ExpectedQty]]))</f>
        <v>0.99367088607594933</v>
      </c>
      <c r="I536" s="2" t="str">
        <f>IF(tbl_kpi[[#This Row],[AccuracyPct]] &lt; 0.98, "Y", "N")</f>
        <v>N</v>
      </c>
    </row>
    <row r="537" spans="1:9">
      <c r="A537" s="2">
        <v>506</v>
      </c>
      <c r="B537" s="2">
        <v>6</v>
      </c>
      <c r="C537" s="2" t="str">
        <f>_xlfn.XLOOKUP(tbl_kpi[[#This Row],[LocationID]], tbl_location[LocationID], tbl_location[LocationName], "UNMAPPED_LOCATION")</f>
        <v>Miscellaneous Storage</v>
      </c>
      <c r="D537" s="2">
        <v>390</v>
      </c>
      <c r="E537" s="2">
        <v>395</v>
      </c>
      <c r="F537" s="2">
        <f>tbl_kpi[[#This Row],[OnHandQty]]</f>
        <v>390</v>
      </c>
      <c r="G537" s="2">
        <f>tbl_kpi[[#This Row],[CountedQty]]-tbl_kpi[[#This Row],[ExpectedQty]]</f>
        <v>5</v>
      </c>
      <c r="H537" s="2">
        <f>IF(tbl_kpi[[#This Row],[ExpectedQty]]=0, 1, MAX(0, 1 - ABS(tbl_kpi[[#This Row],[VarianceQty]]) / tbl_kpi[[#This Row],[ExpectedQty]]))</f>
        <v>0.98717948717948723</v>
      </c>
      <c r="I537" s="2" t="str">
        <f>IF(tbl_kpi[[#This Row],[AccuracyPct]] &lt; 0.98, "Y", "N")</f>
        <v>N</v>
      </c>
    </row>
    <row r="538" spans="1:9">
      <c r="A538" s="2">
        <v>506</v>
      </c>
      <c r="B538" s="2">
        <v>50</v>
      </c>
      <c r="C538" s="2" t="str">
        <f>_xlfn.XLOOKUP(tbl_kpi[[#This Row],[LocationID]], tbl_location[LocationID], tbl_location[LocationName], "UNMAPPED_LOCATION")</f>
        <v>Subassembly</v>
      </c>
      <c r="D538" s="2">
        <v>121</v>
      </c>
      <c r="E538" s="2">
        <v>122</v>
      </c>
      <c r="F538" s="2">
        <f>tbl_kpi[[#This Row],[OnHandQty]]</f>
        <v>121</v>
      </c>
      <c r="G538" s="2">
        <f>tbl_kpi[[#This Row],[CountedQty]]-tbl_kpi[[#This Row],[ExpectedQty]]</f>
        <v>1</v>
      </c>
      <c r="H538" s="2">
        <f>IF(tbl_kpi[[#This Row],[ExpectedQty]]=0, 1, MAX(0, 1 - ABS(tbl_kpi[[#This Row],[VarianceQty]]) / tbl_kpi[[#This Row],[ExpectedQty]]))</f>
        <v>0.99173553719008267</v>
      </c>
      <c r="I538" s="2" t="str">
        <f>IF(tbl_kpi[[#This Row],[AccuracyPct]] &lt; 0.98, "Y", "N")</f>
        <v>N</v>
      </c>
    </row>
    <row r="539" spans="1:9">
      <c r="A539" s="2">
        <v>507</v>
      </c>
      <c r="B539" s="2">
        <v>6</v>
      </c>
      <c r="C539" s="2" t="str">
        <f>_xlfn.XLOOKUP(tbl_kpi[[#This Row],[LocationID]], tbl_location[LocationID], tbl_location[LocationName], "UNMAPPED_LOCATION")</f>
        <v>Miscellaneous Storage</v>
      </c>
      <c r="D539" s="2">
        <v>673</v>
      </c>
      <c r="E539" s="2">
        <v>659</v>
      </c>
      <c r="F539" s="2">
        <f>tbl_kpi[[#This Row],[OnHandQty]]</f>
        <v>673</v>
      </c>
      <c r="G539" s="2">
        <f>tbl_kpi[[#This Row],[CountedQty]]-tbl_kpi[[#This Row],[ExpectedQty]]</f>
        <v>-14</v>
      </c>
      <c r="H539" s="2">
        <f>IF(tbl_kpi[[#This Row],[ExpectedQty]]=0, 1, MAX(0, 1 - ABS(tbl_kpi[[#This Row],[VarianceQty]]) / tbl_kpi[[#This Row],[ExpectedQty]]))</f>
        <v>0.9791976225854383</v>
      </c>
      <c r="I539" s="2" t="str">
        <f>IF(tbl_kpi[[#This Row],[AccuracyPct]] &lt; 0.98, "Y", "N")</f>
        <v>Y</v>
      </c>
    </row>
    <row r="540" spans="1:9">
      <c r="A540" s="2">
        <v>507</v>
      </c>
      <c r="B540" s="2">
        <v>50</v>
      </c>
      <c r="C540" s="2" t="str">
        <f>_xlfn.XLOOKUP(tbl_kpi[[#This Row],[LocationID]], tbl_location[LocationID], tbl_location[LocationName], "UNMAPPED_LOCATION")</f>
        <v>Subassembly</v>
      </c>
      <c r="D540" s="2">
        <v>542</v>
      </c>
      <c r="E540" s="2">
        <v>548</v>
      </c>
      <c r="F540" s="2">
        <f>tbl_kpi[[#This Row],[OnHandQty]]</f>
        <v>542</v>
      </c>
      <c r="G540" s="2">
        <f>tbl_kpi[[#This Row],[CountedQty]]-tbl_kpi[[#This Row],[ExpectedQty]]</f>
        <v>6</v>
      </c>
      <c r="H540" s="2">
        <f>IF(tbl_kpi[[#This Row],[ExpectedQty]]=0, 1, MAX(0, 1 - ABS(tbl_kpi[[#This Row],[VarianceQty]]) / tbl_kpi[[#This Row],[ExpectedQty]]))</f>
        <v>0.98892988929889303</v>
      </c>
      <c r="I540" s="2" t="str">
        <f>IF(tbl_kpi[[#This Row],[AccuracyPct]] &lt; 0.98, "Y", "N")</f>
        <v>N</v>
      </c>
    </row>
    <row r="541" spans="1:9">
      <c r="A541" s="2">
        <v>508</v>
      </c>
      <c r="B541" s="2">
        <v>6</v>
      </c>
      <c r="C541" s="2" t="str">
        <f>_xlfn.XLOOKUP(tbl_kpi[[#This Row],[LocationID]], tbl_location[LocationID], tbl_location[LocationName], "UNMAPPED_LOCATION")</f>
        <v>Miscellaneous Storage</v>
      </c>
      <c r="D541" s="2">
        <v>681</v>
      </c>
      <c r="E541" s="2">
        <v>671</v>
      </c>
      <c r="F541" s="2">
        <f>tbl_kpi[[#This Row],[OnHandQty]]</f>
        <v>681</v>
      </c>
      <c r="G541" s="2">
        <f>tbl_kpi[[#This Row],[CountedQty]]-tbl_kpi[[#This Row],[ExpectedQty]]</f>
        <v>-10</v>
      </c>
      <c r="H541" s="2">
        <f>IF(tbl_kpi[[#This Row],[ExpectedQty]]=0, 1, MAX(0, 1 - ABS(tbl_kpi[[#This Row],[VarianceQty]]) / tbl_kpi[[#This Row],[ExpectedQty]]))</f>
        <v>0.98531571218795888</v>
      </c>
      <c r="I541" s="2" t="str">
        <f>IF(tbl_kpi[[#This Row],[AccuracyPct]] &lt; 0.98, "Y", "N")</f>
        <v>N</v>
      </c>
    </row>
    <row r="542" spans="1:9">
      <c r="A542" s="2">
        <v>508</v>
      </c>
      <c r="B542" s="2">
        <v>50</v>
      </c>
      <c r="C542" s="2" t="str">
        <f>_xlfn.XLOOKUP(tbl_kpi[[#This Row],[LocationID]], tbl_location[LocationID], tbl_location[LocationName], "UNMAPPED_LOCATION")</f>
        <v>Subassembly</v>
      </c>
      <c r="D542" s="2">
        <v>550</v>
      </c>
      <c r="E542" s="2">
        <v>553</v>
      </c>
      <c r="F542" s="2">
        <f>tbl_kpi[[#This Row],[OnHandQty]]</f>
        <v>550</v>
      </c>
      <c r="G542" s="2">
        <f>tbl_kpi[[#This Row],[CountedQty]]-tbl_kpi[[#This Row],[ExpectedQty]]</f>
        <v>3</v>
      </c>
      <c r="H542" s="2">
        <f>IF(tbl_kpi[[#This Row],[ExpectedQty]]=0, 1, MAX(0, 1 - ABS(tbl_kpi[[#This Row],[VarianceQty]]) / tbl_kpi[[#This Row],[ExpectedQty]]))</f>
        <v>0.99454545454545451</v>
      </c>
      <c r="I542" s="2" t="str">
        <f>IF(tbl_kpi[[#This Row],[AccuracyPct]] &lt; 0.98, "Y", "N")</f>
        <v>N</v>
      </c>
    </row>
    <row r="543" spans="1:9">
      <c r="A543" s="2">
        <v>509</v>
      </c>
      <c r="B543" s="2">
        <v>6</v>
      </c>
      <c r="C543" s="2" t="str">
        <f>_xlfn.XLOOKUP(tbl_kpi[[#This Row],[LocationID]], tbl_location[LocationID], tbl_location[LocationName], "UNMAPPED_LOCATION")</f>
        <v>Miscellaneous Storage</v>
      </c>
      <c r="D543" s="2">
        <v>689</v>
      </c>
      <c r="E543" s="2">
        <v>702</v>
      </c>
      <c r="F543" s="2">
        <f>tbl_kpi[[#This Row],[OnHandQty]]</f>
        <v>689</v>
      </c>
      <c r="G543" s="2">
        <f>tbl_kpi[[#This Row],[CountedQty]]-tbl_kpi[[#This Row],[ExpectedQty]]</f>
        <v>13</v>
      </c>
      <c r="H543" s="2">
        <f>IF(tbl_kpi[[#This Row],[ExpectedQty]]=0, 1, MAX(0, 1 - ABS(tbl_kpi[[#This Row],[VarianceQty]]) / tbl_kpi[[#This Row],[ExpectedQty]]))</f>
        <v>0.98113207547169812</v>
      </c>
      <c r="I543" s="2" t="str">
        <f>IF(tbl_kpi[[#This Row],[AccuracyPct]] &lt; 0.98, "Y", "N")</f>
        <v>N</v>
      </c>
    </row>
    <row r="544" spans="1:9">
      <c r="A544" s="2">
        <v>509</v>
      </c>
      <c r="B544" s="2">
        <v>50</v>
      </c>
      <c r="C544" s="2" t="str">
        <f>_xlfn.XLOOKUP(tbl_kpi[[#This Row],[LocationID]], tbl_location[LocationID], tbl_location[LocationName], "UNMAPPED_LOCATION")</f>
        <v>Subassembly</v>
      </c>
      <c r="D544" s="2">
        <v>558</v>
      </c>
      <c r="E544" s="2">
        <v>545</v>
      </c>
      <c r="F544" s="2">
        <f>tbl_kpi[[#This Row],[OnHandQty]]</f>
        <v>558</v>
      </c>
      <c r="G544" s="2">
        <f>tbl_kpi[[#This Row],[CountedQty]]-tbl_kpi[[#This Row],[ExpectedQty]]</f>
        <v>-13</v>
      </c>
      <c r="H544" s="2">
        <f>IF(tbl_kpi[[#This Row],[ExpectedQty]]=0, 1, MAX(0, 1 - ABS(tbl_kpi[[#This Row],[VarianceQty]]) / tbl_kpi[[#This Row],[ExpectedQty]]))</f>
        <v>0.97670250896057342</v>
      </c>
      <c r="I544" s="2" t="str">
        <f>IF(tbl_kpi[[#This Row],[AccuracyPct]] &lt; 0.98, "Y", "N")</f>
        <v>Y</v>
      </c>
    </row>
    <row r="545" spans="1:9">
      <c r="A545" s="2">
        <v>510</v>
      </c>
      <c r="B545" s="2">
        <v>6</v>
      </c>
      <c r="C545" s="2" t="str">
        <f>_xlfn.XLOOKUP(tbl_kpi[[#This Row],[LocationID]], tbl_location[LocationID], tbl_location[LocationName], "UNMAPPED_LOCATION")</f>
        <v>Miscellaneous Storage</v>
      </c>
      <c r="D545" s="2">
        <v>406</v>
      </c>
      <c r="E545" s="2">
        <v>394</v>
      </c>
      <c r="F545" s="2">
        <f>tbl_kpi[[#This Row],[OnHandQty]]</f>
        <v>406</v>
      </c>
      <c r="G545" s="2">
        <f>tbl_kpi[[#This Row],[CountedQty]]-tbl_kpi[[#This Row],[ExpectedQty]]</f>
        <v>-12</v>
      </c>
      <c r="H545" s="2">
        <f>IF(tbl_kpi[[#This Row],[ExpectedQty]]=0, 1, MAX(0, 1 - ABS(tbl_kpi[[#This Row],[VarianceQty]]) / tbl_kpi[[#This Row],[ExpectedQty]]))</f>
        <v>0.97044334975369462</v>
      </c>
      <c r="I545" s="2" t="str">
        <f>IF(tbl_kpi[[#This Row],[AccuracyPct]] &lt; 0.98, "Y", "N")</f>
        <v>Y</v>
      </c>
    </row>
    <row r="546" spans="1:9">
      <c r="A546" s="2">
        <v>510</v>
      </c>
      <c r="B546" s="2">
        <v>50</v>
      </c>
      <c r="C546" s="2" t="str">
        <f>_xlfn.XLOOKUP(tbl_kpi[[#This Row],[LocationID]], tbl_location[LocationID], tbl_location[LocationName], "UNMAPPED_LOCATION")</f>
        <v>Subassembly</v>
      </c>
      <c r="D546" s="2">
        <v>316</v>
      </c>
      <c r="E546" s="2">
        <v>318</v>
      </c>
      <c r="F546" s="2">
        <f>tbl_kpi[[#This Row],[OnHandQty]]</f>
        <v>316</v>
      </c>
      <c r="G546" s="2">
        <f>tbl_kpi[[#This Row],[CountedQty]]-tbl_kpi[[#This Row],[ExpectedQty]]</f>
        <v>2</v>
      </c>
      <c r="H546" s="2">
        <f>IF(tbl_kpi[[#This Row],[ExpectedQty]]=0, 1, MAX(0, 1 - ABS(tbl_kpi[[#This Row],[VarianceQty]]) / tbl_kpi[[#This Row],[ExpectedQty]]))</f>
        <v>0.99367088607594933</v>
      </c>
      <c r="I546" s="2" t="str">
        <f>IF(tbl_kpi[[#This Row],[AccuracyPct]] &lt; 0.98, "Y", "N")</f>
        <v>N</v>
      </c>
    </row>
    <row r="547" spans="1:9">
      <c r="A547" s="2">
        <v>511</v>
      </c>
      <c r="B547" s="2">
        <v>6</v>
      </c>
      <c r="C547" s="2" t="str">
        <f>_xlfn.XLOOKUP(tbl_kpi[[#This Row],[LocationID]], tbl_location[LocationID], tbl_location[LocationName], "UNMAPPED_LOCATION")</f>
        <v>Miscellaneous Storage</v>
      </c>
      <c r="D547" s="2">
        <v>390</v>
      </c>
      <c r="E547" s="2">
        <v>392</v>
      </c>
      <c r="F547" s="2">
        <f>tbl_kpi[[#This Row],[OnHandQty]]</f>
        <v>390</v>
      </c>
      <c r="G547" s="2">
        <f>tbl_kpi[[#This Row],[CountedQty]]-tbl_kpi[[#This Row],[ExpectedQty]]</f>
        <v>2</v>
      </c>
      <c r="H547" s="2">
        <f>IF(tbl_kpi[[#This Row],[ExpectedQty]]=0, 1, MAX(0, 1 - ABS(tbl_kpi[[#This Row],[VarianceQty]]) / tbl_kpi[[#This Row],[ExpectedQty]]))</f>
        <v>0.99487179487179489</v>
      </c>
      <c r="I547" s="2" t="str">
        <f>IF(tbl_kpi[[#This Row],[AccuracyPct]] &lt; 0.98, "Y", "N")</f>
        <v>N</v>
      </c>
    </row>
    <row r="548" spans="1:9">
      <c r="A548" s="2">
        <v>511</v>
      </c>
      <c r="B548" s="2">
        <v>50</v>
      </c>
      <c r="C548" s="2" t="str">
        <f>_xlfn.XLOOKUP(tbl_kpi[[#This Row],[LocationID]], tbl_location[LocationID], tbl_location[LocationName], "UNMAPPED_LOCATION")</f>
        <v>Subassembly</v>
      </c>
      <c r="D548" s="2">
        <v>350</v>
      </c>
      <c r="E548" s="2">
        <v>357</v>
      </c>
      <c r="F548" s="2">
        <f>tbl_kpi[[#This Row],[OnHandQty]]</f>
        <v>350</v>
      </c>
      <c r="G548" s="2">
        <f>tbl_kpi[[#This Row],[CountedQty]]-tbl_kpi[[#This Row],[ExpectedQty]]</f>
        <v>7</v>
      </c>
      <c r="H548" s="2">
        <f>IF(tbl_kpi[[#This Row],[ExpectedQty]]=0, 1, MAX(0, 1 - ABS(tbl_kpi[[#This Row],[VarianceQty]]) / tbl_kpi[[#This Row],[ExpectedQty]]))</f>
        <v>0.98</v>
      </c>
      <c r="I548" s="2" t="str">
        <f>IF(tbl_kpi[[#This Row],[AccuracyPct]] &lt; 0.98, "Y", "N")</f>
        <v>N</v>
      </c>
    </row>
    <row r="549" spans="1:9">
      <c r="A549" s="2">
        <v>512</v>
      </c>
      <c r="B549" s="2">
        <v>6</v>
      </c>
      <c r="C549" s="2" t="str">
        <f>_xlfn.XLOOKUP(tbl_kpi[[#This Row],[LocationID]], tbl_location[LocationID], tbl_location[LocationName], "UNMAPPED_LOCATION")</f>
        <v>Miscellaneous Storage</v>
      </c>
      <c r="D549" s="2">
        <v>334</v>
      </c>
      <c r="E549" s="2">
        <v>327</v>
      </c>
      <c r="F549" s="2">
        <f>tbl_kpi[[#This Row],[OnHandQty]]</f>
        <v>334</v>
      </c>
      <c r="G549" s="2">
        <f>tbl_kpi[[#This Row],[CountedQty]]-tbl_kpi[[#This Row],[ExpectedQty]]</f>
        <v>-7</v>
      </c>
      <c r="H549" s="2">
        <f>IF(tbl_kpi[[#This Row],[ExpectedQty]]=0, 1, MAX(0, 1 - ABS(tbl_kpi[[#This Row],[VarianceQty]]) / tbl_kpi[[#This Row],[ExpectedQty]]))</f>
        <v>0.97904191616766467</v>
      </c>
      <c r="I549" s="2" t="str">
        <f>IF(tbl_kpi[[#This Row],[AccuracyPct]] &lt; 0.98, "Y", "N")</f>
        <v>Y</v>
      </c>
    </row>
    <row r="550" spans="1:9">
      <c r="A550" s="2">
        <v>512</v>
      </c>
      <c r="B550" s="2">
        <v>50</v>
      </c>
      <c r="C550" s="2" t="str">
        <f>_xlfn.XLOOKUP(tbl_kpi[[#This Row],[LocationID]], tbl_location[LocationID], tbl_location[LocationName], "UNMAPPED_LOCATION")</f>
        <v>Subassembly</v>
      </c>
      <c r="D550" s="2">
        <v>281</v>
      </c>
      <c r="E550" s="2">
        <v>285</v>
      </c>
      <c r="F550" s="2">
        <f>tbl_kpi[[#This Row],[OnHandQty]]</f>
        <v>281</v>
      </c>
      <c r="G550" s="2">
        <f>tbl_kpi[[#This Row],[CountedQty]]-tbl_kpi[[#This Row],[ExpectedQty]]</f>
        <v>4</v>
      </c>
      <c r="H550" s="2">
        <f>IF(tbl_kpi[[#This Row],[ExpectedQty]]=0, 1, MAX(0, 1 - ABS(tbl_kpi[[#This Row],[VarianceQty]]) / tbl_kpi[[#This Row],[ExpectedQty]]))</f>
        <v>0.98576512455516019</v>
      </c>
      <c r="I550" s="2" t="str">
        <f>IF(tbl_kpi[[#This Row],[AccuracyPct]] &lt; 0.98, "Y", "N")</f>
        <v>N</v>
      </c>
    </row>
    <row r="551" spans="1:9">
      <c r="A551" s="2">
        <v>513</v>
      </c>
      <c r="B551" s="2">
        <v>6</v>
      </c>
      <c r="C551" s="2" t="str">
        <f>_xlfn.XLOOKUP(tbl_kpi[[#This Row],[LocationID]], tbl_location[LocationID], tbl_location[LocationName], "UNMAPPED_LOCATION")</f>
        <v>Miscellaneous Storage</v>
      </c>
      <c r="D551" s="2">
        <v>640</v>
      </c>
      <c r="E551" s="2">
        <v>621</v>
      </c>
      <c r="F551" s="2">
        <f>tbl_kpi[[#This Row],[OnHandQty]]</f>
        <v>640</v>
      </c>
      <c r="G551" s="2">
        <f>tbl_kpi[[#This Row],[CountedQty]]-tbl_kpi[[#This Row],[ExpectedQty]]</f>
        <v>-19</v>
      </c>
      <c r="H551" s="2">
        <f>IF(tbl_kpi[[#This Row],[ExpectedQty]]=0, 1, MAX(0, 1 - ABS(tbl_kpi[[#This Row],[VarianceQty]]) / tbl_kpi[[#This Row],[ExpectedQty]]))</f>
        <v>0.97031250000000002</v>
      </c>
      <c r="I551" s="2" t="str">
        <f>IF(tbl_kpi[[#This Row],[AccuracyPct]] &lt; 0.98, "Y", "N")</f>
        <v>Y</v>
      </c>
    </row>
    <row r="552" spans="1:9">
      <c r="A552" s="2">
        <v>513</v>
      </c>
      <c r="B552" s="2">
        <v>50</v>
      </c>
      <c r="C552" s="2" t="str">
        <f>_xlfn.XLOOKUP(tbl_kpi[[#This Row],[LocationID]], tbl_location[LocationID], tbl_location[LocationName], "UNMAPPED_LOCATION")</f>
        <v>Subassembly</v>
      </c>
      <c r="D552" s="2">
        <v>724</v>
      </c>
      <c r="E552" s="2">
        <v>727</v>
      </c>
      <c r="F552" s="2">
        <f>tbl_kpi[[#This Row],[OnHandQty]]</f>
        <v>724</v>
      </c>
      <c r="G552" s="2">
        <f>tbl_kpi[[#This Row],[CountedQty]]-tbl_kpi[[#This Row],[ExpectedQty]]</f>
        <v>3</v>
      </c>
      <c r="H552" s="2">
        <f>IF(tbl_kpi[[#This Row],[ExpectedQty]]=0, 1, MAX(0, 1 - ABS(tbl_kpi[[#This Row],[VarianceQty]]) / tbl_kpi[[#This Row],[ExpectedQty]]))</f>
        <v>0.9958563535911602</v>
      </c>
      <c r="I552" s="2" t="str">
        <f>IF(tbl_kpi[[#This Row],[AccuracyPct]] &lt; 0.98, "Y", "N")</f>
        <v>N</v>
      </c>
    </row>
    <row r="553" spans="1:9">
      <c r="A553" s="2">
        <v>514</v>
      </c>
      <c r="B553" s="2">
        <v>6</v>
      </c>
      <c r="C553" s="2" t="str">
        <f>_xlfn.XLOOKUP(tbl_kpi[[#This Row],[LocationID]], tbl_location[LocationID], tbl_location[LocationName], "UNMAPPED_LOCATION")</f>
        <v>Miscellaneous Storage</v>
      </c>
      <c r="D553" s="2">
        <v>267</v>
      </c>
      <c r="E553" s="2">
        <v>267</v>
      </c>
      <c r="F553" s="2">
        <f>tbl_kpi[[#This Row],[OnHandQty]]</f>
        <v>267</v>
      </c>
      <c r="G553" s="2">
        <f>tbl_kpi[[#This Row],[CountedQty]]-tbl_kpi[[#This Row],[ExpectedQty]]</f>
        <v>0</v>
      </c>
      <c r="H553" s="2">
        <f>IF(tbl_kpi[[#This Row],[ExpectedQty]]=0, 1, MAX(0, 1 - ABS(tbl_kpi[[#This Row],[VarianceQty]]) / tbl_kpi[[#This Row],[ExpectedQty]]))</f>
        <v>1</v>
      </c>
      <c r="I553" s="2" t="str">
        <f>IF(tbl_kpi[[#This Row],[AccuracyPct]] &lt; 0.98, "Y", "N")</f>
        <v>N</v>
      </c>
    </row>
    <row r="554" spans="1:9">
      <c r="A554" s="2">
        <v>514</v>
      </c>
      <c r="B554" s="2">
        <v>50</v>
      </c>
      <c r="C554" s="2" t="str">
        <f>_xlfn.XLOOKUP(tbl_kpi[[#This Row],[LocationID]], tbl_location[LocationID], tbl_location[LocationName], "UNMAPPED_LOCATION")</f>
        <v>Subassembly</v>
      </c>
      <c r="D554" s="2">
        <v>318</v>
      </c>
      <c r="E554" s="2">
        <v>311</v>
      </c>
      <c r="F554" s="2">
        <f>tbl_kpi[[#This Row],[OnHandQty]]</f>
        <v>318</v>
      </c>
      <c r="G554" s="2">
        <f>tbl_kpi[[#This Row],[CountedQty]]-tbl_kpi[[#This Row],[ExpectedQty]]</f>
        <v>-7</v>
      </c>
      <c r="H554" s="2">
        <f>IF(tbl_kpi[[#This Row],[ExpectedQty]]=0, 1, MAX(0, 1 - ABS(tbl_kpi[[#This Row],[VarianceQty]]) / tbl_kpi[[#This Row],[ExpectedQty]]))</f>
        <v>0.9779874213836478</v>
      </c>
      <c r="I554" s="2" t="str">
        <f>IF(tbl_kpi[[#This Row],[AccuracyPct]] &lt; 0.98, "Y", "N")</f>
        <v>Y</v>
      </c>
    </row>
    <row r="555" spans="1:9">
      <c r="A555" s="2">
        <v>514</v>
      </c>
      <c r="B555" s="2">
        <v>60</v>
      </c>
      <c r="C555" s="2" t="str">
        <f>_xlfn.XLOOKUP(tbl_kpi[[#This Row],[LocationID]], tbl_location[LocationID], tbl_location[LocationName], "UNMAPPED_LOCATION")</f>
        <v>Final Assembly</v>
      </c>
      <c r="D555" s="2">
        <v>212</v>
      </c>
      <c r="E555" s="2">
        <v>207</v>
      </c>
      <c r="F555" s="2">
        <f>tbl_kpi[[#This Row],[OnHandQty]]</f>
        <v>212</v>
      </c>
      <c r="G555" s="2">
        <f>tbl_kpi[[#This Row],[CountedQty]]-tbl_kpi[[#This Row],[ExpectedQty]]</f>
        <v>-5</v>
      </c>
      <c r="H555" s="2">
        <f>IF(tbl_kpi[[#This Row],[ExpectedQty]]=0, 1, MAX(0, 1 - ABS(tbl_kpi[[#This Row],[VarianceQty]]) / tbl_kpi[[#This Row],[ExpectedQty]]))</f>
        <v>0.97641509433962259</v>
      </c>
      <c r="I555" s="2" t="str">
        <f>IF(tbl_kpi[[#This Row],[AccuracyPct]] &lt; 0.98, "Y", "N")</f>
        <v>Y</v>
      </c>
    </row>
    <row r="556" spans="1:9">
      <c r="A556" s="2">
        <v>515</v>
      </c>
      <c r="B556" s="2">
        <v>6</v>
      </c>
      <c r="C556" s="2" t="str">
        <f>_xlfn.XLOOKUP(tbl_kpi[[#This Row],[LocationID]], tbl_location[LocationID], tbl_location[LocationName], "UNMAPPED_LOCATION")</f>
        <v>Miscellaneous Storage</v>
      </c>
      <c r="D556" s="2">
        <v>268</v>
      </c>
      <c r="E556" s="2">
        <v>269</v>
      </c>
      <c r="F556" s="2">
        <f>tbl_kpi[[#This Row],[OnHandQty]]</f>
        <v>268</v>
      </c>
      <c r="G556" s="2">
        <f>tbl_kpi[[#This Row],[CountedQty]]-tbl_kpi[[#This Row],[ExpectedQty]]</f>
        <v>1</v>
      </c>
      <c r="H556" s="2">
        <f>IF(tbl_kpi[[#This Row],[ExpectedQty]]=0, 1, MAX(0, 1 - ABS(tbl_kpi[[#This Row],[VarianceQty]]) / tbl_kpi[[#This Row],[ExpectedQty]]))</f>
        <v>0.99626865671641796</v>
      </c>
      <c r="I556" s="2" t="str">
        <f>IF(tbl_kpi[[#This Row],[AccuracyPct]] &lt; 0.98, "Y", "N")</f>
        <v>N</v>
      </c>
    </row>
    <row r="557" spans="1:9">
      <c r="A557" s="2">
        <v>515</v>
      </c>
      <c r="B557" s="2">
        <v>50</v>
      </c>
      <c r="C557" s="2" t="str">
        <f>_xlfn.XLOOKUP(tbl_kpi[[#This Row],[LocationID]], tbl_location[LocationID], tbl_location[LocationName], "UNMAPPED_LOCATION")</f>
        <v>Subassembly</v>
      </c>
      <c r="D557" s="2">
        <v>320</v>
      </c>
      <c r="E557" s="2">
        <v>320</v>
      </c>
      <c r="F557" s="2">
        <f>tbl_kpi[[#This Row],[OnHandQty]]</f>
        <v>320</v>
      </c>
      <c r="G557" s="2">
        <f>tbl_kpi[[#This Row],[CountedQty]]-tbl_kpi[[#This Row],[ExpectedQty]]</f>
        <v>0</v>
      </c>
      <c r="H557" s="2">
        <f>IF(tbl_kpi[[#This Row],[ExpectedQty]]=0, 1, MAX(0, 1 - ABS(tbl_kpi[[#This Row],[VarianceQty]]) / tbl_kpi[[#This Row],[ExpectedQty]]))</f>
        <v>1</v>
      </c>
      <c r="I557" s="2" t="str">
        <f>IF(tbl_kpi[[#This Row],[AccuracyPct]] &lt; 0.98, "Y", "N")</f>
        <v>N</v>
      </c>
    </row>
    <row r="558" spans="1:9">
      <c r="A558" s="2">
        <v>515</v>
      </c>
      <c r="B558" s="2">
        <v>60</v>
      </c>
      <c r="C558" s="2" t="str">
        <f>_xlfn.XLOOKUP(tbl_kpi[[#This Row],[LocationID]], tbl_location[LocationID], tbl_location[LocationName], "UNMAPPED_LOCATION")</f>
        <v>Final Assembly</v>
      </c>
      <c r="D558" s="2">
        <v>214</v>
      </c>
      <c r="E558" s="2">
        <v>209</v>
      </c>
      <c r="F558" s="2">
        <f>tbl_kpi[[#This Row],[OnHandQty]]</f>
        <v>214</v>
      </c>
      <c r="G558" s="2">
        <f>tbl_kpi[[#This Row],[CountedQty]]-tbl_kpi[[#This Row],[ExpectedQty]]</f>
        <v>-5</v>
      </c>
      <c r="H558" s="2">
        <f>IF(tbl_kpi[[#This Row],[ExpectedQty]]=0, 1, MAX(0, 1 - ABS(tbl_kpi[[#This Row],[VarianceQty]]) / tbl_kpi[[#This Row],[ExpectedQty]]))</f>
        <v>0.97663551401869164</v>
      </c>
      <c r="I558" s="2" t="str">
        <f>IF(tbl_kpi[[#This Row],[AccuracyPct]] &lt; 0.98, "Y", "N")</f>
        <v>Y</v>
      </c>
    </row>
    <row r="559" spans="1:9">
      <c r="A559" s="2">
        <v>516</v>
      </c>
      <c r="B559" s="2">
        <v>6</v>
      </c>
      <c r="C559" s="2" t="str">
        <f>_xlfn.XLOOKUP(tbl_kpi[[#This Row],[LocationID]], tbl_location[LocationID], tbl_location[LocationName], "UNMAPPED_LOCATION")</f>
        <v>Miscellaneous Storage</v>
      </c>
      <c r="D559" s="2">
        <v>270</v>
      </c>
      <c r="E559" s="2">
        <v>263</v>
      </c>
      <c r="F559" s="2">
        <f>tbl_kpi[[#This Row],[OnHandQty]]</f>
        <v>270</v>
      </c>
      <c r="G559" s="2">
        <f>tbl_kpi[[#This Row],[CountedQty]]-tbl_kpi[[#This Row],[ExpectedQty]]</f>
        <v>-7</v>
      </c>
      <c r="H559" s="2">
        <f>IF(tbl_kpi[[#This Row],[ExpectedQty]]=0, 1, MAX(0, 1 - ABS(tbl_kpi[[#This Row],[VarianceQty]]) / tbl_kpi[[#This Row],[ExpectedQty]]))</f>
        <v>0.97407407407407409</v>
      </c>
      <c r="I559" s="2" t="str">
        <f>IF(tbl_kpi[[#This Row],[AccuracyPct]] &lt; 0.98, "Y", "N")</f>
        <v>Y</v>
      </c>
    </row>
    <row r="560" spans="1:9">
      <c r="A560" s="2">
        <v>516</v>
      </c>
      <c r="B560" s="2">
        <v>50</v>
      </c>
      <c r="C560" s="2" t="str">
        <f>_xlfn.XLOOKUP(tbl_kpi[[#This Row],[LocationID]], tbl_location[LocationID], tbl_location[LocationName], "UNMAPPED_LOCATION")</f>
        <v>Subassembly</v>
      </c>
      <c r="D560" s="2">
        <v>321</v>
      </c>
      <c r="E560" s="2">
        <v>327</v>
      </c>
      <c r="F560" s="2">
        <f>tbl_kpi[[#This Row],[OnHandQty]]</f>
        <v>321</v>
      </c>
      <c r="G560" s="2">
        <f>tbl_kpi[[#This Row],[CountedQty]]-tbl_kpi[[#This Row],[ExpectedQty]]</f>
        <v>6</v>
      </c>
      <c r="H560" s="2">
        <f>IF(tbl_kpi[[#This Row],[ExpectedQty]]=0, 1, MAX(0, 1 - ABS(tbl_kpi[[#This Row],[VarianceQty]]) / tbl_kpi[[#This Row],[ExpectedQty]]))</f>
        <v>0.98130841121495327</v>
      </c>
      <c r="I560" s="2" t="str">
        <f>IF(tbl_kpi[[#This Row],[AccuracyPct]] &lt; 0.98, "Y", "N")</f>
        <v>N</v>
      </c>
    </row>
    <row r="561" spans="1:9">
      <c r="A561" s="2">
        <v>516</v>
      </c>
      <c r="B561" s="2">
        <v>60</v>
      </c>
      <c r="C561" s="2" t="str">
        <f>_xlfn.XLOOKUP(tbl_kpi[[#This Row],[LocationID]], tbl_location[LocationID], tbl_location[LocationName], "UNMAPPED_LOCATION")</f>
        <v>Final Assembly</v>
      </c>
      <c r="D561" s="2">
        <v>216</v>
      </c>
      <c r="E561" s="2">
        <v>213</v>
      </c>
      <c r="F561" s="2">
        <f>tbl_kpi[[#This Row],[OnHandQty]]</f>
        <v>216</v>
      </c>
      <c r="G561" s="2">
        <f>tbl_kpi[[#This Row],[CountedQty]]-tbl_kpi[[#This Row],[ExpectedQty]]</f>
        <v>-3</v>
      </c>
      <c r="H561" s="2">
        <f>IF(tbl_kpi[[#This Row],[ExpectedQty]]=0, 1, MAX(0, 1 - ABS(tbl_kpi[[#This Row],[VarianceQty]]) / tbl_kpi[[#This Row],[ExpectedQty]]))</f>
        <v>0.98611111111111116</v>
      </c>
      <c r="I561" s="2" t="str">
        <f>IF(tbl_kpi[[#This Row],[AccuracyPct]] &lt; 0.98, "Y", "N")</f>
        <v>N</v>
      </c>
    </row>
    <row r="562" spans="1:9">
      <c r="A562" s="2">
        <v>517</v>
      </c>
      <c r="B562" s="2">
        <v>6</v>
      </c>
      <c r="C562" s="2" t="str">
        <f>_xlfn.XLOOKUP(tbl_kpi[[#This Row],[LocationID]], tbl_location[LocationID], tbl_location[LocationName], "UNMAPPED_LOCATION")</f>
        <v>Miscellaneous Storage</v>
      </c>
      <c r="D562" s="2">
        <v>272</v>
      </c>
      <c r="E562" s="2">
        <v>267</v>
      </c>
      <c r="F562" s="2">
        <f>tbl_kpi[[#This Row],[OnHandQty]]</f>
        <v>272</v>
      </c>
      <c r="G562" s="2">
        <f>tbl_kpi[[#This Row],[CountedQty]]-tbl_kpi[[#This Row],[ExpectedQty]]</f>
        <v>-5</v>
      </c>
      <c r="H562" s="2">
        <f>IF(tbl_kpi[[#This Row],[ExpectedQty]]=0, 1, MAX(0, 1 - ABS(tbl_kpi[[#This Row],[VarianceQty]]) / tbl_kpi[[#This Row],[ExpectedQty]]))</f>
        <v>0.98161764705882348</v>
      </c>
      <c r="I562" s="2" t="str">
        <f>IF(tbl_kpi[[#This Row],[AccuracyPct]] &lt; 0.98, "Y", "N")</f>
        <v>N</v>
      </c>
    </row>
    <row r="563" spans="1:9">
      <c r="A563" s="2">
        <v>517</v>
      </c>
      <c r="B563" s="2">
        <v>50</v>
      </c>
      <c r="C563" s="2" t="str">
        <f>_xlfn.XLOOKUP(tbl_kpi[[#This Row],[LocationID]], tbl_location[LocationID], tbl_location[LocationName], "UNMAPPED_LOCATION")</f>
        <v>Subassembly</v>
      </c>
      <c r="D563" s="2">
        <v>323</v>
      </c>
      <c r="E563" s="2">
        <v>327</v>
      </c>
      <c r="F563" s="2">
        <f>tbl_kpi[[#This Row],[OnHandQty]]</f>
        <v>323</v>
      </c>
      <c r="G563" s="2">
        <f>tbl_kpi[[#This Row],[CountedQty]]-tbl_kpi[[#This Row],[ExpectedQty]]</f>
        <v>4</v>
      </c>
      <c r="H563" s="2">
        <f>IF(tbl_kpi[[#This Row],[ExpectedQty]]=0, 1, MAX(0, 1 - ABS(tbl_kpi[[#This Row],[VarianceQty]]) / tbl_kpi[[#This Row],[ExpectedQty]]))</f>
        <v>0.9876160990712074</v>
      </c>
      <c r="I563" s="2" t="str">
        <f>IF(tbl_kpi[[#This Row],[AccuracyPct]] &lt; 0.98, "Y", "N")</f>
        <v>N</v>
      </c>
    </row>
    <row r="564" spans="1:9">
      <c r="A564" s="2">
        <v>517</v>
      </c>
      <c r="B564" s="2">
        <v>60</v>
      </c>
      <c r="C564" s="2" t="str">
        <f>_xlfn.XLOOKUP(tbl_kpi[[#This Row],[LocationID]], tbl_location[LocationID], tbl_location[LocationName], "UNMAPPED_LOCATION")</f>
        <v>Final Assembly</v>
      </c>
      <c r="D564" s="2">
        <v>217</v>
      </c>
      <c r="E564" s="2">
        <v>220</v>
      </c>
      <c r="F564" s="2">
        <f>tbl_kpi[[#This Row],[OnHandQty]]</f>
        <v>217</v>
      </c>
      <c r="G564" s="2">
        <f>tbl_kpi[[#This Row],[CountedQty]]-tbl_kpi[[#This Row],[ExpectedQty]]</f>
        <v>3</v>
      </c>
      <c r="H564" s="2">
        <f>IF(tbl_kpi[[#This Row],[ExpectedQty]]=0, 1, MAX(0, 1 - ABS(tbl_kpi[[#This Row],[VarianceQty]]) / tbl_kpi[[#This Row],[ExpectedQty]]))</f>
        <v>0.98617511520737322</v>
      </c>
      <c r="I564" s="2" t="str">
        <f>IF(tbl_kpi[[#This Row],[AccuracyPct]] &lt; 0.98, "Y", "N")</f>
        <v>N</v>
      </c>
    </row>
    <row r="565" spans="1:9">
      <c r="A565" s="2">
        <v>518</v>
      </c>
      <c r="B565" s="2">
        <v>6</v>
      </c>
      <c r="C565" s="2" t="str">
        <f>_xlfn.XLOOKUP(tbl_kpi[[#This Row],[LocationID]], tbl_location[LocationID], tbl_location[LocationName], "UNMAPPED_LOCATION")</f>
        <v>Miscellaneous Storage</v>
      </c>
      <c r="D565" s="2">
        <v>273</v>
      </c>
      <c r="E565" s="2">
        <v>273</v>
      </c>
      <c r="F565" s="2">
        <f>tbl_kpi[[#This Row],[OnHandQty]]</f>
        <v>273</v>
      </c>
      <c r="G565" s="2">
        <f>tbl_kpi[[#This Row],[CountedQty]]-tbl_kpi[[#This Row],[ExpectedQty]]</f>
        <v>0</v>
      </c>
      <c r="H565" s="2">
        <f>IF(tbl_kpi[[#This Row],[ExpectedQty]]=0, 1, MAX(0, 1 - ABS(tbl_kpi[[#This Row],[VarianceQty]]) / tbl_kpi[[#This Row],[ExpectedQty]]))</f>
        <v>1</v>
      </c>
      <c r="I565" s="2" t="str">
        <f>IF(tbl_kpi[[#This Row],[AccuracyPct]] &lt; 0.98, "Y", "N")</f>
        <v>N</v>
      </c>
    </row>
    <row r="566" spans="1:9">
      <c r="A566" s="2">
        <v>518</v>
      </c>
      <c r="B566" s="2">
        <v>50</v>
      </c>
      <c r="C566" s="2" t="str">
        <f>_xlfn.XLOOKUP(tbl_kpi[[#This Row],[LocationID]], tbl_location[LocationID], tbl_location[LocationName], "UNMAPPED_LOCATION")</f>
        <v>Subassembly</v>
      </c>
      <c r="D566" s="2">
        <v>324</v>
      </c>
      <c r="E566" s="2">
        <v>328</v>
      </c>
      <c r="F566" s="2">
        <f>tbl_kpi[[#This Row],[OnHandQty]]</f>
        <v>324</v>
      </c>
      <c r="G566" s="2">
        <f>tbl_kpi[[#This Row],[CountedQty]]-tbl_kpi[[#This Row],[ExpectedQty]]</f>
        <v>4</v>
      </c>
      <c r="H566" s="2">
        <f>IF(tbl_kpi[[#This Row],[ExpectedQty]]=0, 1, MAX(0, 1 - ABS(tbl_kpi[[#This Row],[VarianceQty]]) / tbl_kpi[[#This Row],[ExpectedQty]]))</f>
        <v>0.98765432098765427</v>
      </c>
      <c r="I566" s="2" t="str">
        <f>IF(tbl_kpi[[#This Row],[AccuracyPct]] &lt; 0.98, "Y", "N")</f>
        <v>N</v>
      </c>
    </row>
    <row r="567" spans="1:9">
      <c r="A567" s="2">
        <v>518</v>
      </c>
      <c r="B567" s="2">
        <v>60</v>
      </c>
      <c r="C567" s="2" t="str">
        <f>_xlfn.XLOOKUP(tbl_kpi[[#This Row],[LocationID]], tbl_location[LocationID], tbl_location[LocationName], "UNMAPPED_LOCATION")</f>
        <v>Final Assembly</v>
      </c>
      <c r="D567" s="2">
        <v>219</v>
      </c>
      <c r="E567" s="2">
        <v>213</v>
      </c>
      <c r="F567" s="2">
        <f>tbl_kpi[[#This Row],[OnHandQty]]</f>
        <v>219</v>
      </c>
      <c r="G567" s="2">
        <f>tbl_kpi[[#This Row],[CountedQty]]-tbl_kpi[[#This Row],[ExpectedQty]]</f>
        <v>-6</v>
      </c>
      <c r="H567" s="2">
        <f>IF(tbl_kpi[[#This Row],[ExpectedQty]]=0, 1, MAX(0, 1 - ABS(tbl_kpi[[#This Row],[VarianceQty]]) / tbl_kpi[[#This Row],[ExpectedQty]]))</f>
        <v>0.9726027397260274</v>
      </c>
      <c r="I567" s="2" t="str">
        <f>IF(tbl_kpi[[#This Row],[AccuracyPct]] &lt; 0.98, "Y", "N")</f>
        <v>Y</v>
      </c>
    </row>
    <row r="568" spans="1:9">
      <c r="A568" s="2">
        <v>519</v>
      </c>
      <c r="B568" s="2">
        <v>6</v>
      </c>
      <c r="C568" s="2" t="str">
        <f>_xlfn.XLOOKUP(tbl_kpi[[#This Row],[LocationID]], tbl_location[LocationID], tbl_location[LocationName], "UNMAPPED_LOCATION")</f>
        <v>Miscellaneous Storage</v>
      </c>
      <c r="D568" s="2">
        <v>275</v>
      </c>
      <c r="E568" s="2">
        <v>283</v>
      </c>
      <c r="F568" s="2">
        <f>tbl_kpi[[#This Row],[OnHandQty]]</f>
        <v>275</v>
      </c>
      <c r="G568" s="2">
        <f>tbl_kpi[[#This Row],[CountedQty]]-tbl_kpi[[#This Row],[ExpectedQty]]</f>
        <v>8</v>
      </c>
      <c r="H568" s="2">
        <f>IF(tbl_kpi[[#This Row],[ExpectedQty]]=0, 1, MAX(0, 1 - ABS(tbl_kpi[[#This Row],[VarianceQty]]) / tbl_kpi[[#This Row],[ExpectedQty]]))</f>
        <v>0.97090909090909094</v>
      </c>
      <c r="I568" s="2" t="str">
        <f>IF(tbl_kpi[[#This Row],[AccuracyPct]] &lt; 0.98, "Y", "N")</f>
        <v>Y</v>
      </c>
    </row>
    <row r="569" spans="1:9">
      <c r="A569" s="2">
        <v>519</v>
      </c>
      <c r="B569" s="2">
        <v>50</v>
      </c>
      <c r="C569" s="2" t="str">
        <f>_xlfn.XLOOKUP(tbl_kpi[[#This Row],[LocationID]], tbl_location[LocationID], tbl_location[LocationName], "UNMAPPED_LOCATION")</f>
        <v>Subassembly</v>
      </c>
      <c r="D569" s="2">
        <v>326</v>
      </c>
      <c r="E569" s="2">
        <v>325</v>
      </c>
      <c r="F569" s="2">
        <f>tbl_kpi[[#This Row],[OnHandQty]]</f>
        <v>326</v>
      </c>
      <c r="G569" s="2">
        <f>tbl_kpi[[#This Row],[CountedQty]]-tbl_kpi[[#This Row],[ExpectedQty]]</f>
        <v>-1</v>
      </c>
      <c r="H569" s="2">
        <f>IF(tbl_kpi[[#This Row],[ExpectedQty]]=0, 1, MAX(0, 1 - ABS(tbl_kpi[[#This Row],[VarianceQty]]) / tbl_kpi[[#This Row],[ExpectedQty]]))</f>
        <v>0.99693251533742333</v>
      </c>
      <c r="I569" s="2" t="str">
        <f>IF(tbl_kpi[[#This Row],[AccuracyPct]] &lt; 0.98, "Y", "N")</f>
        <v>N</v>
      </c>
    </row>
    <row r="570" spans="1:9">
      <c r="A570" s="2">
        <v>519</v>
      </c>
      <c r="B570" s="2">
        <v>60</v>
      </c>
      <c r="C570" s="2" t="str">
        <f>_xlfn.XLOOKUP(tbl_kpi[[#This Row],[LocationID]], tbl_location[LocationID], tbl_location[LocationName], "UNMAPPED_LOCATION")</f>
        <v>Final Assembly</v>
      </c>
      <c r="D570" s="2">
        <v>220</v>
      </c>
      <c r="E570" s="2">
        <v>222</v>
      </c>
      <c r="F570" s="2">
        <f>tbl_kpi[[#This Row],[OnHandQty]]</f>
        <v>220</v>
      </c>
      <c r="G570" s="2">
        <f>tbl_kpi[[#This Row],[CountedQty]]-tbl_kpi[[#This Row],[ExpectedQty]]</f>
        <v>2</v>
      </c>
      <c r="H570" s="2">
        <f>IF(tbl_kpi[[#This Row],[ExpectedQty]]=0, 1, MAX(0, 1 - ABS(tbl_kpi[[#This Row],[VarianceQty]]) / tbl_kpi[[#This Row],[ExpectedQty]]))</f>
        <v>0.99090909090909096</v>
      </c>
      <c r="I570" s="2" t="str">
        <f>IF(tbl_kpi[[#This Row],[AccuracyPct]] &lt; 0.98, "Y", "N")</f>
        <v>N</v>
      </c>
    </row>
    <row r="571" spans="1:9">
      <c r="A571" s="2">
        <v>520</v>
      </c>
      <c r="B571" s="2">
        <v>6</v>
      </c>
      <c r="C571" s="2" t="str">
        <f>_xlfn.XLOOKUP(tbl_kpi[[#This Row],[LocationID]], tbl_location[LocationID], tbl_location[LocationName], "UNMAPPED_LOCATION")</f>
        <v>Miscellaneous Storage</v>
      </c>
      <c r="D571" s="2">
        <v>276</v>
      </c>
      <c r="E571" s="2">
        <v>271</v>
      </c>
      <c r="F571" s="2">
        <f>tbl_kpi[[#This Row],[OnHandQty]]</f>
        <v>276</v>
      </c>
      <c r="G571" s="2">
        <f>tbl_kpi[[#This Row],[CountedQty]]-tbl_kpi[[#This Row],[ExpectedQty]]</f>
        <v>-5</v>
      </c>
      <c r="H571" s="2">
        <f>IF(tbl_kpi[[#This Row],[ExpectedQty]]=0, 1, MAX(0, 1 - ABS(tbl_kpi[[#This Row],[VarianceQty]]) / tbl_kpi[[#This Row],[ExpectedQty]]))</f>
        <v>0.98188405797101452</v>
      </c>
      <c r="I571" s="2" t="str">
        <f>IF(tbl_kpi[[#This Row],[AccuracyPct]] &lt; 0.98, "Y", "N")</f>
        <v>N</v>
      </c>
    </row>
    <row r="572" spans="1:9">
      <c r="A572" s="2">
        <v>520</v>
      </c>
      <c r="B572" s="2">
        <v>50</v>
      </c>
      <c r="C572" s="2" t="str">
        <f>_xlfn.XLOOKUP(tbl_kpi[[#This Row],[LocationID]], tbl_location[LocationID], tbl_location[LocationName], "UNMAPPED_LOCATION")</f>
        <v>Subassembly</v>
      </c>
      <c r="D572" s="2">
        <v>328</v>
      </c>
      <c r="E572" s="2">
        <v>322</v>
      </c>
      <c r="F572" s="2">
        <f>tbl_kpi[[#This Row],[OnHandQty]]</f>
        <v>328</v>
      </c>
      <c r="G572" s="2">
        <f>tbl_kpi[[#This Row],[CountedQty]]-tbl_kpi[[#This Row],[ExpectedQty]]</f>
        <v>-6</v>
      </c>
      <c r="H572" s="2">
        <f>IF(tbl_kpi[[#This Row],[ExpectedQty]]=0, 1, MAX(0, 1 - ABS(tbl_kpi[[#This Row],[VarianceQty]]) / tbl_kpi[[#This Row],[ExpectedQty]]))</f>
        <v>0.98170731707317072</v>
      </c>
      <c r="I572" s="2" t="str">
        <f>IF(tbl_kpi[[#This Row],[AccuracyPct]] &lt; 0.98, "Y", "N")</f>
        <v>N</v>
      </c>
    </row>
    <row r="573" spans="1:9">
      <c r="A573" s="2">
        <v>520</v>
      </c>
      <c r="B573" s="2">
        <v>60</v>
      </c>
      <c r="C573" s="2" t="str">
        <f>_xlfn.XLOOKUP(tbl_kpi[[#This Row],[LocationID]], tbl_location[LocationID], tbl_location[LocationName], "UNMAPPED_LOCATION")</f>
        <v>Final Assembly</v>
      </c>
      <c r="D573" s="2">
        <v>222</v>
      </c>
      <c r="E573" s="2">
        <v>224</v>
      </c>
      <c r="F573" s="2">
        <f>tbl_kpi[[#This Row],[OnHandQty]]</f>
        <v>222</v>
      </c>
      <c r="G573" s="2">
        <f>tbl_kpi[[#This Row],[CountedQty]]-tbl_kpi[[#This Row],[ExpectedQty]]</f>
        <v>2</v>
      </c>
      <c r="H573" s="2">
        <f>IF(tbl_kpi[[#This Row],[ExpectedQty]]=0, 1, MAX(0, 1 - ABS(tbl_kpi[[#This Row],[VarianceQty]]) / tbl_kpi[[#This Row],[ExpectedQty]]))</f>
        <v>0.99099099099099097</v>
      </c>
      <c r="I573" s="2" t="str">
        <f>IF(tbl_kpi[[#This Row],[AccuracyPct]] &lt; 0.98, "Y", "N")</f>
        <v>N</v>
      </c>
    </row>
    <row r="574" spans="1:9">
      <c r="A574" s="2">
        <v>521</v>
      </c>
      <c r="B574" s="2">
        <v>6</v>
      </c>
      <c r="C574" s="2" t="str">
        <f>_xlfn.XLOOKUP(tbl_kpi[[#This Row],[LocationID]], tbl_location[LocationID], tbl_location[LocationName], "UNMAPPED_LOCATION")</f>
        <v>Miscellaneous Storage</v>
      </c>
      <c r="D574" s="2">
        <v>278</v>
      </c>
      <c r="E574" s="2">
        <v>284</v>
      </c>
      <c r="F574" s="2">
        <f>tbl_kpi[[#This Row],[OnHandQty]]</f>
        <v>278</v>
      </c>
      <c r="G574" s="2">
        <f>tbl_kpi[[#This Row],[CountedQty]]-tbl_kpi[[#This Row],[ExpectedQty]]</f>
        <v>6</v>
      </c>
      <c r="H574" s="2">
        <f>IF(tbl_kpi[[#This Row],[ExpectedQty]]=0, 1, MAX(0, 1 - ABS(tbl_kpi[[#This Row],[VarianceQty]]) / tbl_kpi[[#This Row],[ExpectedQty]]))</f>
        <v>0.97841726618705038</v>
      </c>
      <c r="I574" s="2" t="str">
        <f>IF(tbl_kpi[[#This Row],[AccuracyPct]] &lt; 0.98, "Y", "N")</f>
        <v>Y</v>
      </c>
    </row>
    <row r="575" spans="1:9">
      <c r="A575" s="2">
        <v>521</v>
      </c>
      <c r="B575" s="2">
        <v>50</v>
      </c>
      <c r="C575" s="2" t="str">
        <f>_xlfn.XLOOKUP(tbl_kpi[[#This Row],[LocationID]], tbl_location[LocationID], tbl_location[LocationName], "UNMAPPED_LOCATION")</f>
        <v>Subassembly</v>
      </c>
      <c r="D575" s="2">
        <v>329</v>
      </c>
      <c r="E575" s="2">
        <v>336</v>
      </c>
      <c r="F575" s="2">
        <f>tbl_kpi[[#This Row],[OnHandQty]]</f>
        <v>329</v>
      </c>
      <c r="G575" s="2">
        <f>tbl_kpi[[#This Row],[CountedQty]]-tbl_kpi[[#This Row],[ExpectedQty]]</f>
        <v>7</v>
      </c>
      <c r="H575" s="2">
        <f>IF(tbl_kpi[[#This Row],[ExpectedQty]]=0, 1, MAX(0, 1 - ABS(tbl_kpi[[#This Row],[VarianceQty]]) / tbl_kpi[[#This Row],[ExpectedQty]]))</f>
        <v>0.97872340425531912</v>
      </c>
      <c r="I575" s="2" t="str">
        <f>IF(tbl_kpi[[#This Row],[AccuracyPct]] &lt; 0.98, "Y", "N")</f>
        <v>Y</v>
      </c>
    </row>
    <row r="576" spans="1:9">
      <c r="A576" s="2">
        <v>521</v>
      </c>
      <c r="B576" s="2">
        <v>60</v>
      </c>
      <c r="C576" s="2" t="str">
        <f>_xlfn.XLOOKUP(tbl_kpi[[#This Row],[LocationID]], tbl_location[LocationID], tbl_location[LocationName], "UNMAPPED_LOCATION")</f>
        <v>Final Assembly</v>
      </c>
      <c r="D576" s="2">
        <v>224</v>
      </c>
      <c r="E576" s="2">
        <v>228</v>
      </c>
      <c r="F576" s="2">
        <f>tbl_kpi[[#This Row],[OnHandQty]]</f>
        <v>224</v>
      </c>
      <c r="G576" s="2">
        <f>tbl_kpi[[#This Row],[CountedQty]]-tbl_kpi[[#This Row],[ExpectedQty]]</f>
        <v>4</v>
      </c>
      <c r="H576" s="2">
        <f>IF(tbl_kpi[[#This Row],[ExpectedQty]]=0, 1, MAX(0, 1 - ABS(tbl_kpi[[#This Row],[VarianceQty]]) / tbl_kpi[[#This Row],[ExpectedQty]]))</f>
        <v>0.9821428571428571</v>
      </c>
      <c r="I576" s="2" t="str">
        <f>IF(tbl_kpi[[#This Row],[AccuracyPct]] &lt; 0.98, "Y", "N")</f>
        <v>N</v>
      </c>
    </row>
    <row r="577" spans="1:9">
      <c r="A577" s="2">
        <v>522</v>
      </c>
      <c r="B577" s="2">
        <v>6</v>
      </c>
      <c r="C577" s="2" t="str">
        <f>_xlfn.XLOOKUP(tbl_kpi[[#This Row],[LocationID]], tbl_location[LocationID], tbl_location[LocationName], "UNMAPPED_LOCATION")</f>
        <v>Miscellaneous Storage</v>
      </c>
      <c r="D577" s="2">
        <v>280</v>
      </c>
      <c r="E577" s="2">
        <v>274</v>
      </c>
      <c r="F577" s="2">
        <f>tbl_kpi[[#This Row],[OnHandQty]]</f>
        <v>280</v>
      </c>
      <c r="G577" s="2">
        <f>tbl_kpi[[#This Row],[CountedQty]]-tbl_kpi[[#This Row],[ExpectedQty]]</f>
        <v>-6</v>
      </c>
      <c r="H577" s="2">
        <f>IF(tbl_kpi[[#This Row],[ExpectedQty]]=0, 1, MAX(0, 1 - ABS(tbl_kpi[[#This Row],[VarianceQty]]) / tbl_kpi[[#This Row],[ExpectedQty]]))</f>
        <v>0.97857142857142854</v>
      </c>
      <c r="I577" s="2" t="str">
        <f>IF(tbl_kpi[[#This Row],[AccuracyPct]] &lt; 0.98, "Y", "N")</f>
        <v>Y</v>
      </c>
    </row>
    <row r="578" spans="1:9">
      <c r="A578" s="2">
        <v>522</v>
      </c>
      <c r="B578" s="2">
        <v>50</v>
      </c>
      <c r="C578" s="2" t="str">
        <f>_xlfn.XLOOKUP(tbl_kpi[[#This Row],[LocationID]], tbl_location[LocationID], tbl_location[LocationName], "UNMAPPED_LOCATION")</f>
        <v>Subassembly</v>
      </c>
      <c r="D578" s="2">
        <v>331</v>
      </c>
      <c r="E578" s="2">
        <v>321</v>
      </c>
      <c r="F578" s="2">
        <f>tbl_kpi[[#This Row],[OnHandQty]]</f>
        <v>331</v>
      </c>
      <c r="G578" s="2">
        <f>tbl_kpi[[#This Row],[CountedQty]]-tbl_kpi[[#This Row],[ExpectedQty]]</f>
        <v>-10</v>
      </c>
      <c r="H578" s="2">
        <f>IF(tbl_kpi[[#This Row],[ExpectedQty]]=0, 1, MAX(0, 1 - ABS(tbl_kpi[[#This Row],[VarianceQty]]) / tbl_kpi[[#This Row],[ExpectedQty]]))</f>
        <v>0.96978851963746227</v>
      </c>
      <c r="I578" s="2" t="str">
        <f>IF(tbl_kpi[[#This Row],[AccuracyPct]] &lt; 0.98, "Y", "N")</f>
        <v>Y</v>
      </c>
    </row>
    <row r="579" spans="1:9">
      <c r="A579" s="2">
        <v>522</v>
      </c>
      <c r="B579" s="2">
        <v>60</v>
      </c>
      <c r="C579" s="2" t="str">
        <f>_xlfn.XLOOKUP(tbl_kpi[[#This Row],[LocationID]], tbl_location[LocationID], tbl_location[LocationName], "UNMAPPED_LOCATION")</f>
        <v>Final Assembly</v>
      </c>
      <c r="D579" s="2">
        <v>225</v>
      </c>
      <c r="E579" s="2">
        <v>222</v>
      </c>
      <c r="F579" s="2">
        <f>tbl_kpi[[#This Row],[OnHandQty]]</f>
        <v>225</v>
      </c>
      <c r="G579" s="2">
        <f>tbl_kpi[[#This Row],[CountedQty]]-tbl_kpi[[#This Row],[ExpectedQty]]</f>
        <v>-3</v>
      </c>
      <c r="H579" s="2">
        <f>IF(tbl_kpi[[#This Row],[ExpectedQty]]=0, 1, MAX(0, 1 - ABS(tbl_kpi[[#This Row],[VarianceQty]]) / tbl_kpi[[#This Row],[ExpectedQty]]))</f>
        <v>0.98666666666666669</v>
      </c>
      <c r="I579" s="2" t="str">
        <f>IF(tbl_kpi[[#This Row],[AccuracyPct]] &lt; 0.98, "Y", "N")</f>
        <v>N</v>
      </c>
    </row>
    <row r="580" spans="1:9">
      <c r="A580" s="2">
        <v>523</v>
      </c>
      <c r="B580" s="2">
        <v>6</v>
      </c>
      <c r="C580" s="2" t="str">
        <f>_xlfn.XLOOKUP(tbl_kpi[[#This Row],[LocationID]], tbl_location[LocationID], tbl_location[LocationName], "UNMAPPED_LOCATION")</f>
        <v>Miscellaneous Storage</v>
      </c>
      <c r="D580" s="2">
        <v>164</v>
      </c>
      <c r="E580" s="2">
        <v>162</v>
      </c>
      <c r="F580" s="2">
        <f>tbl_kpi[[#This Row],[OnHandQty]]</f>
        <v>164</v>
      </c>
      <c r="G580" s="2">
        <f>tbl_kpi[[#This Row],[CountedQty]]-tbl_kpi[[#This Row],[ExpectedQty]]</f>
        <v>-2</v>
      </c>
      <c r="H580" s="2">
        <f>IF(tbl_kpi[[#This Row],[ExpectedQty]]=0, 1, MAX(0, 1 - ABS(tbl_kpi[[#This Row],[VarianceQty]]) / tbl_kpi[[#This Row],[ExpectedQty]]))</f>
        <v>0.98780487804878048</v>
      </c>
      <c r="I580" s="2" t="str">
        <f>IF(tbl_kpi[[#This Row],[AccuracyPct]] &lt; 0.98, "Y", "N")</f>
        <v>N</v>
      </c>
    </row>
    <row r="581" spans="1:9">
      <c r="A581" s="2">
        <v>523</v>
      </c>
      <c r="B581" s="2">
        <v>50</v>
      </c>
      <c r="C581" s="2" t="str">
        <f>_xlfn.XLOOKUP(tbl_kpi[[#This Row],[LocationID]], tbl_location[LocationID], tbl_location[LocationName], "UNMAPPED_LOCATION")</f>
        <v>Subassembly</v>
      </c>
      <c r="D581" s="2">
        <v>209</v>
      </c>
      <c r="E581" s="2">
        <v>212</v>
      </c>
      <c r="F581" s="2">
        <f>tbl_kpi[[#This Row],[OnHandQty]]</f>
        <v>209</v>
      </c>
      <c r="G581" s="2">
        <f>tbl_kpi[[#This Row],[CountedQty]]-tbl_kpi[[#This Row],[ExpectedQty]]</f>
        <v>3</v>
      </c>
      <c r="H581" s="2">
        <f>IF(tbl_kpi[[#This Row],[ExpectedQty]]=0, 1, MAX(0, 1 - ABS(tbl_kpi[[#This Row],[VarianceQty]]) / tbl_kpi[[#This Row],[ExpectedQty]]))</f>
        <v>0.9856459330143541</v>
      </c>
      <c r="I581" s="2" t="str">
        <f>IF(tbl_kpi[[#This Row],[AccuracyPct]] &lt; 0.98, "Y", "N")</f>
        <v>N</v>
      </c>
    </row>
    <row r="582" spans="1:9">
      <c r="A582" s="2">
        <v>523</v>
      </c>
      <c r="B582" s="2">
        <v>60</v>
      </c>
      <c r="C582" s="2" t="str">
        <f>_xlfn.XLOOKUP(tbl_kpi[[#This Row],[LocationID]], tbl_location[LocationID], tbl_location[LocationName], "UNMAPPED_LOCATION")</f>
        <v>Final Assembly</v>
      </c>
      <c r="D582" s="2">
        <v>139</v>
      </c>
      <c r="E582" s="2">
        <v>141</v>
      </c>
      <c r="F582" s="2">
        <f>tbl_kpi[[#This Row],[OnHandQty]]</f>
        <v>139</v>
      </c>
      <c r="G582" s="2">
        <f>tbl_kpi[[#This Row],[CountedQty]]-tbl_kpi[[#This Row],[ExpectedQty]]</f>
        <v>2</v>
      </c>
      <c r="H582" s="2">
        <f>IF(tbl_kpi[[#This Row],[ExpectedQty]]=0, 1, MAX(0, 1 - ABS(tbl_kpi[[#This Row],[VarianceQty]]) / tbl_kpi[[#This Row],[ExpectedQty]]))</f>
        <v>0.98561151079136688</v>
      </c>
      <c r="I582" s="2" t="str">
        <f>IF(tbl_kpi[[#This Row],[AccuracyPct]] &lt; 0.98, "Y", "N")</f>
        <v>N</v>
      </c>
    </row>
    <row r="583" spans="1:9">
      <c r="A583" s="2">
        <v>524</v>
      </c>
      <c r="B583" s="2">
        <v>6</v>
      </c>
      <c r="C583" s="2" t="str">
        <f>_xlfn.XLOOKUP(tbl_kpi[[#This Row],[LocationID]], tbl_location[LocationID], tbl_location[LocationName], "UNMAPPED_LOCATION")</f>
        <v>Miscellaneous Storage</v>
      </c>
      <c r="D583" s="2">
        <v>124</v>
      </c>
      <c r="E583" s="2">
        <v>125</v>
      </c>
      <c r="F583" s="2">
        <f>tbl_kpi[[#This Row],[OnHandQty]]</f>
        <v>124</v>
      </c>
      <c r="G583" s="2">
        <f>tbl_kpi[[#This Row],[CountedQty]]-tbl_kpi[[#This Row],[ExpectedQty]]</f>
        <v>1</v>
      </c>
      <c r="H583" s="2">
        <f>IF(tbl_kpi[[#This Row],[ExpectedQty]]=0, 1, MAX(0, 1 - ABS(tbl_kpi[[#This Row],[VarianceQty]]) / tbl_kpi[[#This Row],[ExpectedQty]]))</f>
        <v>0.99193548387096775</v>
      </c>
      <c r="I583" s="2" t="str">
        <f>IF(tbl_kpi[[#This Row],[AccuracyPct]] &lt; 0.98, "Y", "N")</f>
        <v>N</v>
      </c>
    </row>
    <row r="584" spans="1:9">
      <c r="A584" s="2">
        <v>524</v>
      </c>
      <c r="B584" s="2">
        <v>50</v>
      </c>
      <c r="C584" s="2" t="str">
        <f>_xlfn.XLOOKUP(tbl_kpi[[#This Row],[LocationID]], tbl_location[LocationID], tbl_location[LocationName], "UNMAPPED_LOCATION")</f>
        <v>Subassembly</v>
      </c>
      <c r="D584" s="2">
        <v>228</v>
      </c>
      <c r="E584" s="2">
        <v>235</v>
      </c>
      <c r="F584" s="2">
        <f>tbl_kpi[[#This Row],[OnHandQty]]</f>
        <v>228</v>
      </c>
      <c r="G584" s="2">
        <f>tbl_kpi[[#This Row],[CountedQty]]-tbl_kpi[[#This Row],[ExpectedQty]]</f>
        <v>7</v>
      </c>
      <c r="H584" s="2">
        <f>IF(tbl_kpi[[#This Row],[ExpectedQty]]=0, 1, MAX(0, 1 - ABS(tbl_kpi[[#This Row],[VarianceQty]]) / tbl_kpi[[#This Row],[ExpectedQty]]))</f>
        <v>0.9692982456140351</v>
      </c>
      <c r="I584" s="2" t="str">
        <f>IF(tbl_kpi[[#This Row],[AccuracyPct]] &lt; 0.98, "Y", "N")</f>
        <v>Y</v>
      </c>
    </row>
    <row r="585" spans="1:9">
      <c r="A585" s="2">
        <v>524</v>
      </c>
      <c r="B585" s="2">
        <v>60</v>
      </c>
      <c r="C585" s="2" t="str">
        <f>_xlfn.XLOOKUP(tbl_kpi[[#This Row],[LocationID]], tbl_location[LocationID], tbl_location[LocationName], "UNMAPPED_LOCATION")</f>
        <v>Final Assembly</v>
      </c>
      <c r="D585" s="2">
        <v>107</v>
      </c>
      <c r="E585" s="2">
        <v>105</v>
      </c>
      <c r="F585" s="2">
        <f>tbl_kpi[[#This Row],[OnHandQty]]</f>
        <v>107</v>
      </c>
      <c r="G585" s="2">
        <f>tbl_kpi[[#This Row],[CountedQty]]-tbl_kpi[[#This Row],[ExpectedQty]]</f>
        <v>-2</v>
      </c>
      <c r="H585" s="2">
        <f>IF(tbl_kpi[[#This Row],[ExpectedQty]]=0, 1, MAX(0, 1 - ABS(tbl_kpi[[#This Row],[VarianceQty]]) / tbl_kpi[[#This Row],[ExpectedQty]]))</f>
        <v>0.98130841121495327</v>
      </c>
      <c r="I585" s="2" t="str">
        <f>IF(tbl_kpi[[#This Row],[AccuracyPct]] &lt; 0.98, "Y", "N")</f>
        <v>N</v>
      </c>
    </row>
    <row r="586" spans="1:9">
      <c r="A586" s="2">
        <v>525</v>
      </c>
      <c r="B586" s="2">
        <v>6</v>
      </c>
      <c r="C586" s="2" t="str">
        <f>_xlfn.XLOOKUP(tbl_kpi[[#This Row],[LocationID]], tbl_location[LocationID], tbl_location[LocationName], "UNMAPPED_LOCATION")</f>
        <v>Miscellaneous Storage</v>
      </c>
      <c r="D586" s="2">
        <v>644</v>
      </c>
      <c r="E586" s="2">
        <v>632</v>
      </c>
      <c r="F586" s="2">
        <f>tbl_kpi[[#This Row],[OnHandQty]]</f>
        <v>644</v>
      </c>
      <c r="G586" s="2">
        <f>tbl_kpi[[#This Row],[CountedQty]]-tbl_kpi[[#This Row],[ExpectedQty]]</f>
        <v>-12</v>
      </c>
      <c r="H586" s="2">
        <f>IF(tbl_kpi[[#This Row],[ExpectedQty]]=0, 1, MAX(0, 1 - ABS(tbl_kpi[[#This Row],[VarianceQty]]) / tbl_kpi[[#This Row],[ExpectedQty]]))</f>
        <v>0.98136645962732916</v>
      </c>
      <c r="I586" s="2" t="str">
        <f>IF(tbl_kpi[[#This Row],[AccuracyPct]] &lt; 0.98, "Y", "N")</f>
        <v>N</v>
      </c>
    </row>
    <row r="587" spans="1:9">
      <c r="A587" s="2">
        <v>525</v>
      </c>
      <c r="B587" s="2">
        <v>50</v>
      </c>
      <c r="C587" s="2" t="str">
        <f>_xlfn.XLOOKUP(tbl_kpi[[#This Row],[LocationID]], tbl_location[LocationID], tbl_location[LocationName], "UNMAPPED_LOCATION")</f>
        <v>Subassembly</v>
      </c>
      <c r="D587" s="2">
        <v>619</v>
      </c>
      <c r="E587" s="2">
        <v>610</v>
      </c>
      <c r="F587" s="2">
        <f>tbl_kpi[[#This Row],[OnHandQty]]</f>
        <v>619</v>
      </c>
      <c r="G587" s="2">
        <f>tbl_kpi[[#This Row],[CountedQty]]-tbl_kpi[[#This Row],[ExpectedQty]]</f>
        <v>-9</v>
      </c>
      <c r="H587" s="2">
        <f>IF(tbl_kpi[[#This Row],[ExpectedQty]]=0, 1, MAX(0, 1 - ABS(tbl_kpi[[#This Row],[VarianceQty]]) / tbl_kpi[[#This Row],[ExpectedQty]]))</f>
        <v>0.98546042003231016</v>
      </c>
      <c r="I587" s="2" t="str">
        <f>IF(tbl_kpi[[#This Row],[AccuracyPct]] &lt; 0.98, "Y", "N")</f>
        <v>N</v>
      </c>
    </row>
    <row r="588" spans="1:9">
      <c r="A588" s="2">
        <v>526</v>
      </c>
      <c r="B588" s="2">
        <v>6</v>
      </c>
      <c r="C588" s="2" t="str">
        <f>_xlfn.XLOOKUP(tbl_kpi[[#This Row],[LocationID]], tbl_location[LocationID], tbl_location[LocationName], "UNMAPPED_LOCATION")</f>
        <v>Miscellaneous Storage</v>
      </c>
      <c r="D588" s="2">
        <v>587</v>
      </c>
      <c r="E588" s="2">
        <v>587</v>
      </c>
      <c r="F588" s="2">
        <f>tbl_kpi[[#This Row],[OnHandQty]]</f>
        <v>587</v>
      </c>
      <c r="G588" s="2">
        <f>tbl_kpi[[#This Row],[CountedQty]]-tbl_kpi[[#This Row],[ExpectedQty]]</f>
        <v>0</v>
      </c>
      <c r="H588" s="2">
        <f>IF(tbl_kpi[[#This Row],[ExpectedQty]]=0, 1, MAX(0, 1 - ABS(tbl_kpi[[#This Row],[VarianceQty]]) / tbl_kpi[[#This Row],[ExpectedQty]]))</f>
        <v>1</v>
      </c>
      <c r="I588" s="2" t="str">
        <f>IF(tbl_kpi[[#This Row],[AccuracyPct]] &lt; 0.98, "Y", "N")</f>
        <v>N</v>
      </c>
    </row>
    <row r="589" spans="1:9">
      <c r="A589" s="2">
        <v>526</v>
      </c>
      <c r="B589" s="2">
        <v>50</v>
      </c>
      <c r="C589" s="2" t="str">
        <f>_xlfn.XLOOKUP(tbl_kpi[[#This Row],[LocationID]], tbl_location[LocationID], tbl_location[LocationName], "UNMAPPED_LOCATION")</f>
        <v>Subassembly</v>
      </c>
      <c r="D589" s="2">
        <v>624</v>
      </c>
      <c r="E589" s="2">
        <v>627</v>
      </c>
      <c r="F589" s="2">
        <f>tbl_kpi[[#This Row],[OnHandQty]]</f>
        <v>624</v>
      </c>
      <c r="G589" s="2">
        <f>tbl_kpi[[#This Row],[CountedQty]]-tbl_kpi[[#This Row],[ExpectedQty]]</f>
        <v>3</v>
      </c>
      <c r="H589" s="2">
        <f>IF(tbl_kpi[[#This Row],[ExpectedQty]]=0, 1, MAX(0, 1 - ABS(tbl_kpi[[#This Row],[VarianceQty]]) / tbl_kpi[[#This Row],[ExpectedQty]]))</f>
        <v>0.99519230769230771</v>
      </c>
      <c r="I589" s="2" t="str">
        <f>IF(tbl_kpi[[#This Row],[AccuracyPct]] &lt; 0.98, "Y", "N")</f>
        <v>N</v>
      </c>
    </row>
    <row r="590" spans="1:9">
      <c r="A590" s="2">
        <v>527</v>
      </c>
      <c r="B590" s="2">
        <v>6</v>
      </c>
      <c r="C590" s="2" t="str">
        <f>_xlfn.XLOOKUP(tbl_kpi[[#This Row],[LocationID]], tbl_location[LocationID], tbl_location[LocationName], "UNMAPPED_LOCATION")</f>
        <v>Miscellaneous Storage</v>
      </c>
      <c r="D590" s="2">
        <v>888</v>
      </c>
      <c r="E590" s="2">
        <v>871</v>
      </c>
      <c r="F590" s="2">
        <f>tbl_kpi[[#This Row],[OnHandQty]]</f>
        <v>888</v>
      </c>
      <c r="G590" s="2">
        <f>tbl_kpi[[#This Row],[CountedQty]]-tbl_kpi[[#This Row],[ExpectedQty]]</f>
        <v>-17</v>
      </c>
      <c r="H590" s="2">
        <f>IF(tbl_kpi[[#This Row],[ExpectedQty]]=0, 1, MAX(0, 1 - ABS(tbl_kpi[[#This Row],[VarianceQty]]) / tbl_kpi[[#This Row],[ExpectedQty]]))</f>
        <v>0.98085585585585588</v>
      </c>
      <c r="I590" s="2" t="str">
        <f>IF(tbl_kpi[[#This Row],[AccuracyPct]] &lt; 0.98, "Y", "N")</f>
        <v>N</v>
      </c>
    </row>
    <row r="591" spans="1:9">
      <c r="A591" s="2">
        <v>527</v>
      </c>
      <c r="B591" s="2">
        <v>50</v>
      </c>
      <c r="C591" s="2" t="str">
        <f>_xlfn.XLOOKUP(tbl_kpi[[#This Row],[LocationID]], tbl_location[LocationID], tbl_location[LocationName], "UNMAPPED_LOCATION")</f>
        <v>Subassembly</v>
      </c>
      <c r="D591" s="2">
        <v>702</v>
      </c>
      <c r="E591" s="2">
        <v>706</v>
      </c>
      <c r="F591" s="2">
        <f>tbl_kpi[[#This Row],[OnHandQty]]</f>
        <v>702</v>
      </c>
      <c r="G591" s="2">
        <f>tbl_kpi[[#This Row],[CountedQty]]-tbl_kpi[[#This Row],[ExpectedQty]]</f>
        <v>4</v>
      </c>
      <c r="H591" s="2">
        <f>IF(tbl_kpi[[#This Row],[ExpectedQty]]=0, 1, MAX(0, 1 - ABS(tbl_kpi[[#This Row],[VarianceQty]]) / tbl_kpi[[#This Row],[ExpectedQty]]))</f>
        <v>0.99430199430199429</v>
      </c>
      <c r="I591" s="2" t="str">
        <f>IF(tbl_kpi[[#This Row],[AccuracyPct]] &lt; 0.98, "Y", "N")</f>
        <v>N</v>
      </c>
    </row>
    <row r="592" spans="1:9">
      <c r="A592" s="2">
        <v>528</v>
      </c>
      <c r="B592" s="2">
        <v>6</v>
      </c>
      <c r="C592" s="2" t="str">
        <f>_xlfn.XLOOKUP(tbl_kpi[[#This Row],[LocationID]], tbl_location[LocationID], tbl_location[LocationName], "UNMAPPED_LOCATION")</f>
        <v>Miscellaneous Storage</v>
      </c>
      <c r="D592" s="2">
        <v>924</v>
      </c>
      <c r="E592" s="2">
        <v>918</v>
      </c>
      <c r="F592" s="2">
        <f>tbl_kpi[[#This Row],[OnHandQty]]</f>
        <v>924</v>
      </c>
      <c r="G592" s="2">
        <f>tbl_kpi[[#This Row],[CountedQty]]-tbl_kpi[[#This Row],[ExpectedQty]]</f>
        <v>-6</v>
      </c>
      <c r="H592" s="2">
        <f>IF(tbl_kpi[[#This Row],[ExpectedQty]]=0, 1, MAX(0, 1 - ABS(tbl_kpi[[#This Row],[VarianceQty]]) / tbl_kpi[[#This Row],[ExpectedQty]]))</f>
        <v>0.99350649350649356</v>
      </c>
      <c r="I592" s="2" t="str">
        <f>IF(tbl_kpi[[#This Row],[AccuracyPct]] &lt; 0.98, "Y", "N")</f>
        <v>N</v>
      </c>
    </row>
    <row r="593" spans="1:9">
      <c r="A593" s="2">
        <v>528</v>
      </c>
      <c r="B593" s="2">
        <v>60</v>
      </c>
      <c r="C593" s="2" t="str">
        <f>_xlfn.XLOOKUP(tbl_kpi[[#This Row],[LocationID]], tbl_location[LocationID], tbl_location[LocationName], "UNMAPPED_LOCATION")</f>
        <v>Final Assembly</v>
      </c>
      <c r="D593" s="2">
        <v>729</v>
      </c>
      <c r="E593" s="2">
        <v>712</v>
      </c>
      <c r="F593" s="2">
        <f>tbl_kpi[[#This Row],[OnHandQty]]</f>
        <v>729</v>
      </c>
      <c r="G593" s="2">
        <f>tbl_kpi[[#This Row],[CountedQty]]-tbl_kpi[[#This Row],[ExpectedQty]]</f>
        <v>-17</v>
      </c>
      <c r="H593" s="2">
        <f>IF(tbl_kpi[[#This Row],[ExpectedQty]]=0, 1, MAX(0, 1 - ABS(tbl_kpi[[#This Row],[VarianceQty]]) / tbl_kpi[[#This Row],[ExpectedQty]]))</f>
        <v>0.97668038408779145</v>
      </c>
      <c r="I593" s="2" t="str">
        <f>IF(tbl_kpi[[#This Row],[AccuracyPct]] &lt; 0.98, "Y", "N")</f>
        <v>Y</v>
      </c>
    </row>
    <row r="594" spans="1:9">
      <c r="A594" s="2">
        <v>529</v>
      </c>
      <c r="B594" s="2">
        <v>6</v>
      </c>
      <c r="C594" s="2" t="str">
        <f>_xlfn.XLOOKUP(tbl_kpi[[#This Row],[LocationID]], tbl_location[LocationID], tbl_location[LocationName], "UNMAPPED_LOCATION")</f>
        <v>Miscellaneous Storage</v>
      </c>
      <c r="D594" s="2">
        <v>425</v>
      </c>
      <c r="E594" s="2">
        <v>418</v>
      </c>
      <c r="F594" s="2">
        <f>tbl_kpi[[#This Row],[OnHandQty]]</f>
        <v>425</v>
      </c>
      <c r="G594" s="2">
        <f>tbl_kpi[[#This Row],[CountedQty]]-tbl_kpi[[#This Row],[ExpectedQty]]</f>
        <v>-7</v>
      </c>
      <c r="H594" s="2">
        <f>IF(tbl_kpi[[#This Row],[ExpectedQty]]=0, 1, MAX(0, 1 - ABS(tbl_kpi[[#This Row],[VarianceQty]]) / tbl_kpi[[#This Row],[ExpectedQty]]))</f>
        <v>0.98352941176470587</v>
      </c>
      <c r="I594" s="2" t="str">
        <f>IF(tbl_kpi[[#This Row],[AccuracyPct]] &lt; 0.98, "Y", "N")</f>
        <v>N</v>
      </c>
    </row>
    <row r="595" spans="1:9">
      <c r="A595" s="2">
        <v>529</v>
      </c>
      <c r="B595" s="2">
        <v>60</v>
      </c>
      <c r="C595" s="2" t="str">
        <f>_xlfn.XLOOKUP(tbl_kpi[[#This Row],[LocationID]], tbl_location[LocationID], tbl_location[LocationName], "UNMAPPED_LOCATION")</f>
        <v>Final Assembly</v>
      </c>
      <c r="D595" s="2">
        <v>371</v>
      </c>
      <c r="E595" s="2">
        <v>366</v>
      </c>
      <c r="F595" s="2">
        <f>tbl_kpi[[#This Row],[OnHandQty]]</f>
        <v>371</v>
      </c>
      <c r="G595" s="2">
        <f>tbl_kpi[[#This Row],[CountedQty]]-tbl_kpi[[#This Row],[ExpectedQty]]</f>
        <v>-5</v>
      </c>
      <c r="H595" s="2">
        <f>IF(tbl_kpi[[#This Row],[ExpectedQty]]=0, 1, MAX(0, 1 - ABS(tbl_kpi[[#This Row],[VarianceQty]]) / tbl_kpi[[#This Row],[ExpectedQty]]))</f>
        <v>0.98652291105121293</v>
      </c>
      <c r="I595" s="2" t="str">
        <f>IF(tbl_kpi[[#This Row],[AccuracyPct]] &lt; 0.98, "Y", "N")</f>
        <v>N</v>
      </c>
    </row>
    <row r="596" spans="1:9">
      <c r="A596" s="2">
        <v>530</v>
      </c>
      <c r="B596" s="2">
        <v>6</v>
      </c>
      <c r="C596" s="2" t="str">
        <f>_xlfn.XLOOKUP(tbl_kpi[[#This Row],[LocationID]], tbl_location[LocationID], tbl_location[LocationName], "UNMAPPED_LOCATION")</f>
        <v>Miscellaneous Storage</v>
      </c>
      <c r="D596" s="2">
        <v>336</v>
      </c>
      <c r="E596" s="2">
        <v>326</v>
      </c>
      <c r="F596" s="2">
        <f>tbl_kpi[[#This Row],[OnHandQty]]</f>
        <v>336</v>
      </c>
      <c r="G596" s="2">
        <f>tbl_kpi[[#This Row],[CountedQty]]-tbl_kpi[[#This Row],[ExpectedQty]]</f>
        <v>-10</v>
      </c>
      <c r="H596" s="2">
        <f>IF(tbl_kpi[[#This Row],[ExpectedQty]]=0, 1, MAX(0, 1 - ABS(tbl_kpi[[#This Row],[VarianceQty]]) / tbl_kpi[[#This Row],[ExpectedQty]]))</f>
        <v>0.97023809523809523</v>
      </c>
      <c r="I596" s="2" t="str">
        <f>IF(tbl_kpi[[#This Row],[AccuracyPct]] &lt; 0.98, "Y", "N")</f>
        <v>Y</v>
      </c>
    </row>
    <row r="597" spans="1:9">
      <c r="A597" s="2">
        <v>530</v>
      </c>
      <c r="B597" s="2">
        <v>60</v>
      </c>
      <c r="C597" s="2" t="str">
        <f>_xlfn.XLOOKUP(tbl_kpi[[#This Row],[LocationID]], tbl_location[LocationID], tbl_location[LocationName], "UNMAPPED_LOCATION")</f>
        <v>Final Assembly</v>
      </c>
      <c r="D597" s="2">
        <v>444</v>
      </c>
      <c r="E597" s="2">
        <v>433</v>
      </c>
      <c r="F597" s="2">
        <f>tbl_kpi[[#This Row],[OnHandQty]]</f>
        <v>444</v>
      </c>
      <c r="G597" s="2">
        <f>tbl_kpi[[#This Row],[CountedQty]]-tbl_kpi[[#This Row],[ExpectedQty]]</f>
        <v>-11</v>
      </c>
      <c r="H597" s="2">
        <f>IF(tbl_kpi[[#This Row],[ExpectedQty]]=0, 1, MAX(0, 1 - ABS(tbl_kpi[[#This Row],[VarianceQty]]) / tbl_kpi[[#This Row],[ExpectedQty]]))</f>
        <v>0.97522522522522526</v>
      </c>
      <c r="I597" s="2" t="str">
        <f>IF(tbl_kpi[[#This Row],[AccuracyPct]] &lt; 0.98, "Y", "N")</f>
        <v>Y</v>
      </c>
    </row>
    <row r="598" spans="1:9">
      <c r="A598" s="2">
        <v>531</v>
      </c>
      <c r="B598" s="2">
        <v>6</v>
      </c>
      <c r="C598" s="2" t="str">
        <f>_xlfn.XLOOKUP(tbl_kpi[[#This Row],[LocationID]], tbl_location[LocationID], tbl_location[LocationName], "UNMAPPED_LOCATION")</f>
        <v>Miscellaneous Storage</v>
      </c>
      <c r="D598" s="2">
        <v>427</v>
      </c>
      <c r="E598" s="2">
        <v>437</v>
      </c>
      <c r="F598" s="2">
        <f>tbl_kpi[[#This Row],[OnHandQty]]</f>
        <v>427</v>
      </c>
      <c r="G598" s="2">
        <f>tbl_kpi[[#This Row],[CountedQty]]-tbl_kpi[[#This Row],[ExpectedQty]]</f>
        <v>10</v>
      </c>
      <c r="H598" s="2">
        <f>IF(tbl_kpi[[#This Row],[ExpectedQty]]=0, 1, MAX(0, 1 - ABS(tbl_kpi[[#This Row],[VarianceQty]]) / tbl_kpi[[#This Row],[ExpectedQty]]))</f>
        <v>0.97658079625292737</v>
      </c>
      <c r="I598" s="2" t="str">
        <f>IF(tbl_kpi[[#This Row],[AccuracyPct]] &lt; 0.98, "Y", "N")</f>
        <v>Y</v>
      </c>
    </row>
    <row r="599" spans="1:9">
      <c r="A599" s="2">
        <v>531</v>
      </c>
      <c r="B599" s="2">
        <v>60</v>
      </c>
      <c r="C599" s="2" t="str">
        <f>_xlfn.XLOOKUP(tbl_kpi[[#This Row],[LocationID]], tbl_location[LocationID], tbl_location[LocationName], "UNMAPPED_LOCATION")</f>
        <v>Final Assembly</v>
      </c>
      <c r="D599" s="2">
        <v>374</v>
      </c>
      <c r="E599" s="2">
        <v>375</v>
      </c>
      <c r="F599" s="2">
        <f>tbl_kpi[[#This Row],[OnHandQty]]</f>
        <v>374</v>
      </c>
      <c r="G599" s="2">
        <f>tbl_kpi[[#This Row],[CountedQty]]-tbl_kpi[[#This Row],[ExpectedQty]]</f>
        <v>1</v>
      </c>
      <c r="H599" s="2">
        <f>IF(tbl_kpi[[#This Row],[ExpectedQty]]=0, 1, MAX(0, 1 - ABS(tbl_kpi[[#This Row],[VarianceQty]]) / tbl_kpi[[#This Row],[ExpectedQty]]))</f>
        <v>0.99732620320855614</v>
      </c>
      <c r="I599" s="2" t="str">
        <f>IF(tbl_kpi[[#This Row],[AccuracyPct]] &lt; 0.98, "Y", "N")</f>
        <v>N</v>
      </c>
    </row>
    <row r="600" spans="1:9">
      <c r="A600" s="2">
        <v>532</v>
      </c>
      <c r="B600" s="2">
        <v>6</v>
      </c>
      <c r="C600" s="2" t="str">
        <f>_xlfn.XLOOKUP(tbl_kpi[[#This Row],[LocationID]], tbl_location[LocationID], tbl_location[LocationName], "UNMAPPED_LOCATION")</f>
        <v>Miscellaneous Storage</v>
      </c>
      <c r="D600" s="2">
        <v>715</v>
      </c>
      <c r="E600" s="2">
        <v>715</v>
      </c>
      <c r="F600" s="2">
        <f>tbl_kpi[[#This Row],[OnHandQty]]</f>
        <v>715</v>
      </c>
      <c r="G600" s="2">
        <f>tbl_kpi[[#This Row],[CountedQty]]-tbl_kpi[[#This Row],[ExpectedQty]]</f>
        <v>0</v>
      </c>
      <c r="H600" s="2">
        <f>IF(tbl_kpi[[#This Row],[ExpectedQty]]=0, 1, MAX(0, 1 - ABS(tbl_kpi[[#This Row],[VarianceQty]]) / tbl_kpi[[#This Row],[ExpectedQty]]))</f>
        <v>1</v>
      </c>
      <c r="I600" s="2" t="str">
        <f>IF(tbl_kpi[[#This Row],[AccuracyPct]] &lt; 0.98, "Y", "N")</f>
        <v>N</v>
      </c>
    </row>
    <row r="601" spans="1:9">
      <c r="A601" s="2">
        <v>532</v>
      </c>
      <c r="B601" s="2">
        <v>60</v>
      </c>
      <c r="C601" s="2" t="str">
        <f>_xlfn.XLOOKUP(tbl_kpi[[#This Row],[LocationID]], tbl_location[LocationID], tbl_location[LocationName], "UNMAPPED_LOCATION")</f>
        <v>Final Assembly</v>
      </c>
      <c r="D601" s="2">
        <v>542</v>
      </c>
      <c r="E601" s="2">
        <v>534</v>
      </c>
      <c r="F601" s="2">
        <f>tbl_kpi[[#This Row],[OnHandQty]]</f>
        <v>542</v>
      </c>
      <c r="G601" s="2">
        <f>tbl_kpi[[#This Row],[CountedQty]]-tbl_kpi[[#This Row],[ExpectedQty]]</f>
        <v>-8</v>
      </c>
      <c r="H601" s="2">
        <f>IF(tbl_kpi[[#This Row],[ExpectedQty]]=0, 1, MAX(0, 1 - ABS(tbl_kpi[[#This Row],[VarianceQty]]) / tbl_kpi[[#This Row],[ExpectedQty]]))</f>
        <v>0.98523985239852396</v>
      </c>
      <c r="I601" s="2" t="str">
        <f>IF(tbl_kpi[[#This Row],[AccuracyPct]] &lt; 0.98, "Y", "N")</f>
        <v>N</v>
      </c>
    </row>
    <row r="602" spans="1:9">
      <c r="A602" s="2">
        <v>533</v>
      </c>
      <c r="B602" s="2">
        <v>6</v>
      </c>
      <c r="C602" s="2" t="str">
        <f>_xlfn.XLOOKUP(tbl_kpi[[#This Row],[LocationID]], tbl_location[LocationID], tbl_location[LocationName], "UNMAPPED_LOCATION")</f>
        <v>Miscellaneous Storage</v>
      </c>
      <c r="D602" s="2">
        <v>443</v>
      </c>
      <c r="E602" s="2">
        <v>444</v>
      </c>
      <c r="F602" s="2">
        <f>tbl_kpi[[#This Row],[OnHandQty]]</f>
        <v>443</v>
      </c>
      <c r="G602" s="2">
        <f>tbl_kpi[[#This Row],[CountedQty]]-tbl_kpi[[#This Row],[ExpectedQty]]</f>
        <v>1</v>
      </c>
      <c r="H602" s="2">
        <f>IF(tbl_kpi[[#This Row],[ExpectedQty]]=0, 1, MAX(0, 1 - ABS(tbl_kpi[[#This Row],[VarianceQty]]) / tbl_kpi[[#This Row],[ExpectedQty]]))</f>
        <v>0.99774266365688491</v>
      </c>
      <c r="I602" s="2" t="str">
        <f>IF(tbl_kpi[[#This Row],[AccuracyPct]] &lt; 0.98, "Y", "N")</f>
        <v>N</v>
      </c>
    </row>
    <row r="603" spans="1:9">
      <c r="A603" s="2">
        <v>533</v>
      </c>
      <c r="B603" s="2">
        <v>60</v>
      </c>
      <c r="C603" s="2" t="str">
        <f>_xlfn.XLOOKUP(tbl_kpi[[#This Row],[LocationID]], tbl_location[LocationID], tbl_location[LocationName], "UNMAPPED_LOCATION")</f>
        <v>Final Assembly</v>
      </c>
      <c r="D603" s="2">
        <v>388</v>
      </c>
      <c r="E603" s="2">
        <v>390</v>
      </c>
      <c r="F603" s="2">
        <f>tbl_kpi[[#This Row],[OnHandQty]]</f>
        <v>388</v>
      </c>
      <c r="G603" s="2">
        <f>tbl_kpi[[#This Row],[CountedQty]]-tbl_kpi[[#This Row],[ExpectedQty]]</f>
        <v>2</v>
      </c>
      <c r="H603" s="2">
        <f>IF(tbl_kpi[[#This Row],[ExpectedQty]]=0, 1, MAX(0, 1 - ABS(tbl_kpi[[#This Row],[VarianceQty]]) / tbl_kpi[[#This Row],[ExpectedQty]]))</f>
        <v>0.99484536082474229</v>
      </c>
      <c r="I603" s="2" t="str">
        <f>IF(tbl_kpi[[#This Row],[AccuracyPct]] &lt; 0.98, "Y", "N")</f>
        <v>N</v>
      </c>
    </row>
    <row r="604" spans="1:9">
      <c r="A604" s="2">
        <v>534</v>
      </c>
      <c r="B604" s="2">
        <v>6</v>
      </c>
      <c r="C604" s="2" t="str">
        <f>_xlfn.XLOOKUP(tbl_kpi[[#This Row],[LocationID]], tbl_location[LocationID], tbl_location[LocationName], "UNMAPPED_LOCATION")</f>
        <v>Miscellaneous Storage</v>
      </c>
      <c r="D604" s="2">
        <v>379</v>
      </c>
      <c r="E604" s="2">
        <v>380</v>
      </c>
      <c r="F604" s="2">
        <f>tbl_kpi[[#This Row],[OnHandQty]]</f>
        <v>379</v>
      </c>
      <c r="G604" s="2">
        <f>tbl_kpi[[#This Row],[CountedQty]]-tbl_kpi[[#This Row],[ExpectedQty]]</f>
        <v>1</v>
      </c>
      <c r="H604" s="2">
        <f>IF(tbl_kpi[[#This Row],[ExpectedQty]]=0, 1, MAX(0, 1 - ABS(tbl_kpi[[#This Row],[VarianceQty]]) / tbl_kpi[[#This Row],[ExpectedQty]]))</f>
        <v>0.99736147757255933</v>
      </c>
      <c r="I604" s="2" t="str">
        <f>IF(tbl_kpi[[#This Row],[AccuracyPct]] &lt; 0.98, "Y", "N")</f>
        <v>N</v>
      </c>
    </row>
    <row r="605" spans="1:9">
      <c r="A605" s="2">
        <v>534</v>
      </c>
      <c r="B605" s="2">
        <v>50</v>
      </c>
      <c r="C605" s="2" t="str">
        <f>_xlfn.XLOOKUP(tbl_kpi[[#This Row],[LocationID]], tbl_location[LocationID], tbl_location[LocationName], "UNMAPPED_LOCATION")</f>
        <v>Subassembly</v>
      </c>
      <c r="D605" s="2">
        <v>278</v>
      </c>
      <c r="E605" s="2">
        <v>276</v>
      </c>
      <c r="F605" s="2">
        <f>tbl_kpi[[#This Row],[OnHandQty]]</f>
        <v>278</v>
      </c>
      <c r="G605" s="2">
        <f>tbl_kpi[[#This Row],[CountedQty]]-tbl_kpi[[#This Row],[ExpectedQty]]</f>
        <v>-2</v>
      </c>
      <c r="H605" s="2">
        <f>IF(tbl_kpi[[#This Row],[ExpectedQty]]=0, 1, MAX(0, 1 - ABS(tbl_kpi[[#This Row],[VarianceQty]]) / tbl_kpi[[#This Row],[ExpectedQty]]))</f>
        <v>0.9928057553956835</v>
      </c>
      <c r="I605" s="2" t="str">
        <f>IF(tbl_kpi[[#This Row],[AccuracyPct]] &lt; 0.98, "Y", "N")</f>
        <v>N</v>
      </c>
    </row>
    <row r="606" spans="1:9">
      <c r="A606" s="2">
        <v>535</v>
      </c>
      <c r="B606" s="2">
        <v>6</v>
      </c>
      <c r="C606" s="2" t="str">
        <f>_xlfn.XLOOKUP(tbl_kpi[[#This Row],[LocationID]], tbl_location[LocationID], tbl_location[LocationName], "UNMAPPED_LOCATION")</f>
        <v>Miscellaneous Storage</v>
      </c>
      <c r="D606" s="2">
        <v>427</v>
      </c>
      <c r="E606" s="2">
        <v>424</v>
      </c>
      <c r="F606" s="2">
        <f>tbl_kpi[[#This Row],[OnHandQty]]</f>
        <v>427</v>
      </c>
      <c r="G606" s="2">
        <f>tbl_kpi[[#This Row],[CountedQty]]-tbl_kpi[[#This Row],[ExpectedQty]]</f>
        <v>-3</v>
      </c>
      <c r="H606" s="2">
        <f>IF(tbl_kpi[[#This Row],[ExpectedQty]]=0, 1, MAX(0, 1 - ABS(tbl_kpi[[#This Row],[VarianceQty]]) / tbl_kpi[[#This Row],[ExpectedQty]]))</f>
        <v>0.99297423887587821</v>
      </c>
      <c r="I606" s="2" t="str">
        <f>IF(tbl_kpi[[#This Row],[AccuracyPct]] &lt; 0.98, "Y", "N")</f>
        <v>N</v>
      </c>
    </row>
    <row r="607" spans="1:9">
      <c r="A607" s="2">
        <v>535</v>
      </c>
      <c r="B607" s="2">
        <v>50</v>
      </c>
      <c r="C607" s="2" t="str">
        <f>_xlfn.XLOOKUP(tbl_kpi[[#This Row],[LocationID]], tbl_location[LocationID], tbl_location[LocationName], "UNMAPPED_LOCATION")</f>
        <v>Subassembly</v>
      </c>
      <c r="D607" s="2">
        <v>409</v>
      </c>
      <c r="E607" s="2">
        <v>419</v>
      </c>
      <c r="F607" s="2">
        <f>tbl_kpi[[#This Row],[OnHandQty]]</f>
        <v>409</v>
      </c>
      <c r="G607" s="2">
        <f>tbl_kpi[[#This Row],[CountedQty]]-tbl_kpi[[#This Row],[ExpectedQty]]</f>
        <v>10</v>
      </c>
      <c r="H607" s="2">
        <f>IF(tbl_kpi[[#This Row],[ExpectedQty]]=0, 1, MAX(0, 1 - ABS(tbl_kpi[[#This Row],[VarianceQty]]) / tbl_kpi[[#This Row],[ExpectedQty]]))</f>
        <v>0.97555012224938875</v>
      </c>
      <c r="I607" s="2" t="str">
        <f>IF(tbl_kpi[[#This Row],[AccuracyPct]] &lt; 0.98, "Y", "N")</f>
        <v>Y</v>
      </c>
    </row>
    <row r="608" spans="1:9">
      <c r="A608" s="2">
        <v>679</v>
      </c>
      <c r="B608" s="2">
        <v>1</v>
      </c>
      <c r="C608" s="2" t="str">
        <f>_xlfn.XLOOKUP(tbl_kpi[[#This Row],[LocationID]], tbl_location[LocationID], tbl_location[LocationName], "UNMAPPED_LOCATION")</f>
        <v>Tool Crib</v>
      </c>
      <c r="D608" s="2">
        <v>164</v>
      </c>
      <c r="E608" s="2">
        <v>166</v>
      </c>
      <c r="F608" s="2">
        <f>tbl_kpi[[#This Row],[OnHandQty]]</f>
        <v>164</v>
      </c>
      <c r="G608" s="2">
        <f>tbl_kpi[[#This Row],[CountedQty]]-tbl_kpi[[#This Row],[ExpectedQty]]</f>
        <v>2</v>
      </c>
      <c r="H608" s="2">
        <f>IF(tbl_kpi[[#This Row],[ExpectedQty]]=0, 1, MAX(0, 1 - ABS(tbl_kpi[[#This Row],[VarianceQty]]) / tbl_kpi[[#This Row],[ExpectedQty]]))</f>
        <v>0.98780487804878048</v>
      </c>
      <c r="I608" s="2" t="str">
        <f>IF(tbl_kpi[[#This Row],[AccuracyPct]] &lt; 0.98, "Y", "N")</f>
        <v>N</v>
      </c>
    </row>
    <row r="609" spans="1:9">
      <c r="A609" s="2">
        <v>679</v>
      </c>
      <c r="B609" s="2">
        <v>6</v>
      </c>
      <c r="C609" s="2" t="str">
        <f>_xlfn.XLOOKUP(tbl_kpi[[#This Row],[LocationID]], tbl_location[LocationID], tbl_location[LocationName], "UNMAPPED_LOCATION")</f>
        <v>Miscellaneous Storage</v>
      </c>
      <c r="D609" s="2">
        <v>136</v>
      </c>
      <c r="E609" s="2">
        <v>136</v>
      </c>
      <c r="F609" s="2">
        <f>tbl_kpi[[#This Row],[OnHandQty]]</f>
        <v>136</v>
      </c>
      <c r="G609" s="2">
        <f>tbl_kpi[[#This Row],[CountedQty]]-tbl_kpi[[#This Row],[ExpectedQty]]</f>
        <v>0</v>
      </c>
      <c r="H609" s="2">
        <f>IF(tbl_kpi[[#This Row],[ExpectedQty]]=0, 1, MAX(0, 1 - ABS(tbl_kpi[[#This Row],[VarianceQty]]) / tbl_kpi[[#This Row],[ExpectedQty]]))</f>
        <v>1</v>
      </c>
      <c r="I609" s="2" t="str">
        <f>IF(tbl_kpi[[#This Row],[AccuracyPct]] &lt; 0.98, "Y", "N")</f>
        <v>N</v>
      </c>
    </row>
    <row r="610" spans="1:9">
      <c r="A610" s="2">
        <v>679</v>
      </c>
      <c r="B610" s="2">
        <v>50</v>
      </c>
      <c r="C610" s="2" t="str">
        <f>_xlfn.XLOOKUP(tbl_kpi[[#This Row],[LocationID]], tbl_location[LocationID], tbl_location[LocationName], "UNMAPPED_LOCATION")</f>
        <v>Subassembly</v>
      </c>
      <c r="D610" s="2">
        <v>121</v>
      </c>
      <c r="E610" s="2">
        <v>122</v>
      </c>
      <c r="F610" s="2">
        <f>tbl_kpi[[#This Row],[OnHandQty]]</f>
        <v>121</v>
      </c>
      <c r="G610" s="2">
        <f>tbl_kpi[[#This Row],[CountedQty]]-tbl_kpi[[#This Row],[ExpectedQty]]</f>
        <v>1</v>
      </c>
      <c r="H610" s="2">
        <f>IF(tbl_kpi[[#This Row],[ExpectedQty]]=0, 1, MAX(0, 1 - ABS(tbl_kpi[[#This Row],[VarianceQty]]) / tbl_kpi[[#This Row],[ExpectedQty]]))</f>
        <v>0.99173553719008267</v>
      </c>
      <c r="I610" s="2" t="str">
        <f>IF(tbl_kpi[[#This Row],[AccuracyPct]] &lt; 0.98, "Y", "N")</f>
        <v>N</v>
      </c>
    </row>
    <row r="611" spans="1:9">
      <c r="A611" s="2">
        <v>707</v>
      </c>
      <c r="B611" s="2">
        <v>7</v>
      </c>
      <c r="C611" s="2" t="str">
        <f>_xlfn.XLOOKUP(tbl_kpi[[#This Row],[LocationID]], tbl_location[LocationID], tbl_location[LocationName], "UNMAPPED_LOCATION")</f>
        <v>Finished Goods Storage</v>
      </c>
      <c r="D611" s="2">
        <v>288</v>
      </c>
      <c r="E611" s="2">
        <v>286</v>
      </c>
      <c r="F611" s="2">
        <f>tbl_kpi[[#This Row],[OnHandQty]]</f>
        <v>288</v>
      </c>
      <c r="G611" s="2">
        <f>tbl_kpi[[#This Row],[CountedQty]]-tbl_kpi[[#This Row],[ExpectedQty]]</f>
        <v>-2</v>
      </c>
      <c r="H611" s="2">
        <f>IF(tbl_kpi[[#This Row],[ExpectedQty]]=0, 1, MAX(0, 1 - ABS(tbl_kpi[[#This Row],[VarianceQty]]) / tbl_kpi[[#This Row],[ExpectedQty]]))</f>
        <v>0.99305555555555558</v>
      </c>
      <c r="I611" s="2" t="str">
        <f>IF(tbl_kpi[[#This Row],[AccuracyPct]] &lt; 0.98, "Y", "N")</f>
        <v>N</v>
      </c>
    </row>
    <row r="612" spans="1:9">
      <c r="A612" s="2">
        <v>708</v>
      </c>
      <c r="B612" s="2">
        <v>7</v>
      </c>
      <c r="C612" s="2" t="str">
        <f>_xlfn.XLOOKUP(tbl_kpi[[#This Row],[LocationID]], tbl_location[LocationID], tbl_location[LocationName], "UNMAPPED_LOCATION")</f>
        <v>Finished Goods Storage</v>
      </c>
      <c r="D612" s="2">
        <v>324</v>
      </c>
      <c r="E612" s="2">
        <v>320</v>
      </c>
      <c r="F612" s="2">
        <f>tbl_kpi[[#This Row],[OnHandQty]]</f>
        <v>324</v>
      </c>
      <c r="G612" s="2">
        <f>tbl_kpi[[#This Row],[CountedQty]]-tbl_kpi[[#This Row],[ExpectedQty]]</f>
        <v>-4</v>
      </c>
      <c r="H612" s="2">
        <f>IF(tbl_kpi[[#This Row],[ExpectedQty]]=0, 1, MAX(0, 1 - ABS(tbl_kpi[[#This Row],[VarianceQty]]) / tbl_kpi[[#This Row],[ExpectedQty]]))</f>
        <v>0.98765432098765427</v>
      </c>
      <c r="I612" s="2" t="str">
        <f>IF(tbl_kpi[[#This Row],[AccuracyPct]] &lt; 0.98, "Y", "N")</f>
        <v>N</v>
      </c>
    </row>
    <row r="613" spans="1:9">
      <c r="A613" s="2">
        <v>709</v>
      </c>
      <c r="B613" s="2">
        <v>7</v>
      </c>
      <c r="C613" s="2" t="str">
        <f>_xlfn.XLOOKUP(tbl_kpi[[#This Row],[LocationID]], tbl_location[LocationID], tbl_location[LocationName], "UNMAPPED_LOCATION")</f>
        <v>Finished Goods Storage</v>
      </c>
      <c r="D613" s="2">
        <v>180</v>
      </c>
      <c r="E613" s="2">
        <v>185</v>
      </c>
      <c r="F613" s="2">
        <f>tbl_kpi[[#This Row],[OnHandQty]]</f>
        <v>180</v>
      </c>
      <c r="G613" s="2">
        <f>tbl_kpi[[#This Row],[CountedQty]]-tbl_kpi[[#This Row],[ExpectedQty]]</f>
        <v>5</v>
      </c>
      <c r="H613" s="2">
        <f>IF(tbl_kpi[[#This Row],[ExpectedQty]]=0, 1, MAX(0, 1 - ABS(tbl_kpi[[#This Row],[VarianceQty]]) / tbl_kpi[[#This Row],[ExpectedQty]]))</f>
        <v>0.97222222222222221</v>
      </c>
      <c r="I613" s="2" t="str">
        <f>IF(tbl_kpi[[#This Row],[AccuracyPct]] &lt; 0.98, "Y", "N")</f>
        <v>Y</v>
      </c>
    </row>
    <row r="614" spans="1:9">
      <c r="A614" s="2">
        <v>710</v>
      </c>
      <c r="B614" s="2">
        <v>7</v>
      </c>
      <c r="C614" s="2" t="str">
        <f>_xlfn.XLOOKUP(tbl_kpi[[#This Row],[LocationID]], tbl_location[LocationID], tbl_location[LocationName], "UNMAPPED_LOCATION")</f>
        <v>Finished Goods Storage</v>
      </c>
      <c r="D614" s="2">
        <v>216</v>
      </c>
      <c r="E614" s="2">
        <v>221</v>
      </c>
      <c r="F614" s="2">
        <f>tbl_kpi[[#This Row],[OnHandQty]]</f>
        <v>216</v>
      </c>
      <c r="G614" s="2">
        <f>tbl_kpi[[#This Row],[CountedQty]]-tbl_kpi[[#This Row],[ExpectedQty]]</f>
        <v>5</v>
      </c>
      <c r="H614" s="2">
        <f>IF(tbl_kpi[[#This Row],[ExpectedQty]]=0, 1, MAX(0, 1 - ABS(tbl_kpi[[#This Row],[VarianceQty]]) / tbl_kpi[[#This Row],[ExpectedQty]]))</f>
        <v>0.97685185185185186</v>
      </c>
      <c r="I614" s="2" t="str">
        <f>IF(tbl_kpi[[#This Row],[AccuracyPct]] &lt; 0.98, "Y", "N")</f>
        <v>Y</v>
      </c>
    </row>
    <row r="615" spans="1:9">
      <c r="A615" s="2">
        <v>711</v>
      </c>
      <c r="B615" s="2">
        <v>7</v>
      </c>
      <c r="C615" s="2" t="str">
        <f>_xlfn.XLOOKUP(tbl_kpi[[#This Row],[LocationID]], tbl_location[LocationID], tbl_location[LocationName], "UNMAPPED_LOCATION")</f>
        <v>Finished Goods Storage</v>
      </c>
      <c r="D615" s="2">
        <v>216</v>
      </c>
      <c r="E615" s="2">
        <v>222</v>
      </c>
      <c r="F615" s="2">
        <f>tbl_kpi[[#This Row],[OnHandQty]]</f>
        <v>216</v>
      </c>
      <c r="G615" s="2">
        <f>tbl_kpi[[#This Row],[CountedQty]]-tbl_kpi[[#This Row],[ExpectedQty]]</f>
        <v>6</v>
      </c>
      <c r="H615" s="2">
        <f>IF(tbl_kpi[[#This Row],[ExpectedQty]]=0, 1, MAX(0, 1 - ABS(tbl_kpi[[#This Row],[VarianceQty]]) / tbl_kpi[[#This Row],[ExpectedQty]]))</f>
        <v>0.97222222222222221</v>
      </c>
      <c r="I615" s="2" t="str">
        <f>IF(tbl_kpi[[#This Row],[AccuracyPct]] &lt; 0.98, "Y", "N")</f>
        <v>Y</v>
      </c>
    </row>
    <row r="616" spans="1:9">
      <c r="A616" s="2">
        <v>712</v>
      </c>
      <c r="B616" s="2">
        <v>7</v>
      </c>
      <c r="C616" s="2" t="str">
        <f>_xlfn.XLOOKUP(tbl_kpi[[#This Row],[LocationID]], tbl_location[LocationID], tbl_location[LocationName], "UNMAPPED_LOCATION")</f>
        <v>Finished Goods Storage</v>
      </c>
      <c r="D616" s="2">
        <v>288</v>
      </c>
      <c r="E616" s="2">
        <v>285</v>
      </c>
      <c r="F616" s="2">
        <f>tbl_kpi[[#This Row],[OnHandQty]]</f>
        <v>288</v>
      </c>
      <c r="G616" s="2">
        <f>tbl_kpi[[#This Row],[CountedQty]]-tbl_kpi[[#This Row],[ExpectedQty]]</f>
        <v>-3</v>
      </c>
      <c r="H616" s="2">
        <f>IF(tbl_kpi[[#This Row],[ExpectedQty]]=0, 1, MAX(0, 1 - ABS(tbl_kpi[[#This Row],[VarianceQty]]) / tbl_kpi[[#This Row],[ExpectedQty]]))</f>
        <v>0.98958333333333337</v>
      </c>
      <c r="I616" s="2" t="str">
        <f>IF(tbl_kpi[[#This Row],[AccuracyPct]] &lt; 0.98, "Y", "N")</f>
        <v>N</v>
      </c>
    </row>
    <row r="617" spans="1:9">
      <c r="A617" s="2">
        <v>713</v>
      </c>
      <c r="B617" s="2">
        <v>7</v>
      </c>
      <c r="C617" s="2" t="str">
        <f>_xlfn.XLOOKUP(tbl_kpi[[#This Row],[LocationID]], tbl_location[LocationID], tbl_location[LocationName], "UNMAPPED_LOCATION")</f>
        <v>Finished Goods Storage</v>
      </c>
      <c r="D617" s="2">
        <v>144</v>
      </c>
      <c r="E617" s="2">
        <v>143</v>
      </c>
      <c r="F617" s="2">
        <f>tbl_kpi[[#This Row],[OnHandQty]]</f>
        <v>144</v>
      </c>
      <c r="G617" s="2">
        <f>tbl_kpi[[#This Row],[CountedQty]]-tbl_kpi[[#This Row],[ExpectedQty]]</f>
        <v>-1</v>
      </c>
      <c r="H617" s="2">
        <f>IF(tbl_kpi[[#This Row],[ExpectedQty]]=0, 1, MAX(0, 1 - ABS(tbl_kpi[[#This Row],[VarianceQty]]) / tbl_kpi[[#This Row],[ExpectedQty]]))</f>
        <v>0.99305555555555558</v>
      </c>
      <c r="I617" s="2" t="str">
        <f>IF(tbl_kpi[[#This Row],[AccuracyPct]] &lt; 0.98, "Y", "N")</f>
        <v>N</v>
      </c>
    </row>
    <row r="618" spans="1:9">
      <c r="A618" s="2">
        <v>714</v>
      </c>
      <c r="B618" s="2">
        <v>7</v>
      </c>
      <c r="C618" s="2" t="str">
        <f>_xlfn.XLOOKUP(tbl_kpi[[#This Row],[LocationID]], tbl_location[LocationID], tbl_location[LocationName], "UNMAPPED_LOCATION")</f>
        <v>Finished Goods Storage</v>
      </c>
      <c r="D618" s="2">
        <v>180</v>
      </c>
      <c r="E618" s="2">
        <v>182</v>
      </c>
      <c r="F618" s="2">
        <f>tbl_kpi[[#This Row],[OnHandQty]]</f>
        <v>180</v>
      </c>
      <c r="G618" s="2">
        <f>tbl_kpi[[#This Row],[CountedQty]]-tbl_kpi[[#This Row],[ExpectedQty]]</f>
        <v>2</v>
      </c>
      <c r="H618" s="2">
        <f>IF(tbl_kpi[[#This Row],[ExpectedQty]]=0, 1, MAX(0, 1 - ABS(tbl_kpi[[#This Row],[VarianceQty]]) / tbl_kpi[[#This Row],[ExpectedQty]]))</f>
        <v>0.98888888888888893</v>
      </c>
      <c r="I618" s="2" t="str">
        <f>IF(tbl_kpi[[#This Row],[AccuracyPct]] &lt; 0.98, "Y", "N")</f>
        <v>N</v>
      </c>
    </row>
    <row r="619" spans="1:9">
      <c r="A619" s="2">
        <v>715</v>
      </c>
      <c r="B619" s="2">
        <v>7</v>
      </c>
      <c r="C619" s="2" t="str">
        <f>_xlfn.XLOOKUP(tbl_kpi[[#This Row],[LocationID]], tbl_location[LocationID], tbl_location[LocationName], "UNMAPPED_LOCATION")</f>
        <v>Finished Goods Storage</v>
      </c>
      <c r="D619" s="2">
        <v>216</v>
      </c>
      <c r="E619" s="2">
        <v>210</v>
      </c>
      <c r="F619" s="2">
        <f>tbl_kpi[[#This Row],[OnHandQty]]</f>
        <v>216</v>
      </c>
      <c r="G619" s="2">
        <f>tbl_kpi[[#This Row],[CountedQty]]-tbl_kpi[[#This Row],[ExpectedQty]]</f>
        <v>-6</v>
      </c>
      <c r="H619" s="2">
        <f>IF(tbl_kpi[[#This Row],[ExpectedQty]]=0, 1, MAX(0, 1 - ABS(tbl_kpi[[#This Row],[VarianceQty]]) / tbl_kpi[[#This Row],[ExpectedQty]]))</f>
        <v>0.97222222222222221</v>
      </c>
      <c r="I619" s="2" t="str">
        <f>IF(tbl_kpi[[#This Row],[AccuracyPct]] &lt; 0.98, "Y", "N")</f>
        <v>Y</v>
      </c>
    </row>
    <row r="620" spans="1:9">
      <c r="A620" s="2">
        <v>716</v>
      </c>
      <c r="B620" s="2">
        <v>7</v>
      </c>
      <c r="C620" s="2" t="str">
        <f>_xlfn.XLOOKUP(tbl_kpi[[#This Row],[LocationID]], tbl_location[LocationID], tbl_location[LocationName], "UNMAPPED_LOCATION")</f>
        <v>Finished Goods Storage</v>
      </c>
      <c r="D620" s="2">
        <v>252</v>
      </c>
      <c r="E620" s="2">
        <v>246</v>
      </c>
      <c r="F620" s="2">
        <f>tbl_kpi[[#This Row],[OnHandQty]]</f>
        <v>252</v>
      </c>
      <c r="G620" s="2">
        <f>tbl_kpi[[#This Row],[CountedQty]]-tbl_kpi[[#This Row],[ExpectedQty]]</f>
        <v>-6</v>
      </c>
      <c r="H620" s="2">
        <f>IF(tbl_kpi[[#This Row],[ExpectedQty]]=0, 1, MAX(0, 1 - ABS(tbl_kpi[[#This Row],[VarianceQty]]) / tbl_kpi[[#This Row],[ExpectedQty]]))</f>
        <v>0.97619047619047616</v>
      </c>
      <c r="I620" s="2" t="str">
        <f>IF(tbl_kpi[[#This Row],[AccuracyPct]] &lt; 0.98, "Y", "N")</f>
        <v>Y</v>
      </c>
    </row>
    <row r="621" spans="1:9">
      <c r="A621" s="2">
        <v>747</v>
      </c>
      <c r="B621" s="2">
        <v>10</v>
      </c>
      <c r="C621" s="2" t="str">
        <f>_xlfn.XLOOKUP(tbl_kpi[[#This Row],[LocationID]], tbl_location[LocationID], tbl_location[LocationName], "UNMAPPED_LOCATION")</f>
        <v>Frame Forming</v>
      </c>
      <c r="D621" s="2">
        <v>121</v>
      </c>
      <c r="E621" s="2">
        <v>121</v>
      </c>
      <c r="F621" s="2">
        <f>tbl_kpi[[#This Row],[OnHandQty]]</f>
        <v>121</v>
      </c>
      <c r="G621" s="2">
        <f>tbl_kpi[[#This Row],[CountedQty]]-tbl_kpi[[#This Row],[ExpectedQty]]</f>
        <v>0</v>
      </c>
      <c r="H621" s="2">
        <f>IF(tbl_kpi[[#This Row],[ExpectedQty]]=0, 1, MAX(0, 1 - ABS(tbl_kpi[[#This Row],[VarianceQty]]) / tbl_kpi[[#This Row],[ExpectedQty]]))</f>
        <v>1</v>
      </c>
      <c r="I621" s="2" t="str">
        <f>IF(tbl_kpi[[#This Row],[AccuracyPct]] &lt; 0.98, "Y", "N")</f>
        <v>N</v>
      </c>
    </row>
    <row r="622" spans="1:9">
      <c r="A622" s="2">
        <v>747</v>
      </c>
      <c r="B622" s="2">
        <v>20</v>
      </c>
      <c r="C622" s="2" t="str">
        <f>_xlfn.XLOOKUP(tbl_kpi[[#This Row],[LocationID]], tbl_location[LocationID], tbl_location[LocationName], "UNMAPPED_LOCATION")</f>
        <v>Frame Welding</v>
      </c>
      <c r="D622" s="2">
        <v>161</v>
      </c>
      <c r="E622" s="2">
        <v>156</v>
      </c>
      <c r="F622" s="2">
        <f>tbl_kpi[[#This Row],[OnHandQty]]</f>
        <v>161</v>
      </c>
      <c r="G622" s="2">
        <f>tbl_kpi[[#This Row],[CountedQty]]-tbl_kpi[[#This Row],[ExpectedQty]]</f>
        <v>-5</v>
      </c>
      <c r="H622" s="2">
        <f>IF(tbl_kpi[[#This Row],[ExpectedQty]]=0, 1, MAX(0, 1 - ABS(tbl_kpi[[#This Row],[VarianceQty]]) / tbl_kpi[[#This Row],[ExpectedQty]]))</f>
        <v>0.96894409937888204</v>
      </c>
      <c r="I622" s="2" t="str">
        <f>IF(tbl_kpi[[#This Row],[AccuracyPct]] &lt; 0.98, "Y", "N")</f>
        <v>Y</v>
      </c>
    </row>
    <row r="623" spans="1:9">
      <c r="A623" s="2">
        <v>747</v>
      </c>
      <c r="B623" s="2">
        <v>30</v>
      </c>
      <c r="C623" s="2" t="str">
        <f>_xlfn.XLOOKUP(tbl_kpi[[#This Row],[LocationID]], tbl_location[LocationID], tbl_location[LocationName], "UNMAPPED_LOCATION")</f>
        <v>Debur and Polish</v>
      </c>
      <c r="D623" s="2">
        <v>148</v>
      </c>
      <c r="E623" s="2">
        <v>152</v>
      </c>
      <c r="F623" s="2">
        <f>tbl_kpi[[#This Row],[OnHandQty]]</f>
        <v>148</v>
      </c>
      <c r="G623" s="2">
        <f>tbl_kpi[[#This Row],[CountedQty]]-tbl_kpi[[#This Row],[ExpectedQty]]</f>
        <v>4</v>
      </c>
      <c r="H623" s="2">
        <f>IF(tbl_kpi[[#This Row],[ExpectedQty]]=0, 1, MAX(0, 1 - ABS(tbl_kpi[[#This Row],[VarianceQty]]) / tbl_kpi[[#This Row],[ExpectedQty]]))</f>
        <v>0.97297297297297303</v>
      </c>
      <c r="I623" s="2" t="str">
        <f>IF(tbl_kpi[[#This Row],[AccuracyPct]] &lt; 0.98, "Y", "N")</f>
        <v>Y</v>
      </c>
    </row>
    <row r="624" spans="1:9">
      <c r="A624" s="2">
        <v>747</v>
      </c>
      <c r="B624" s="2">
        <v>40</v>
      </c>
      <c r="C624" s="2" t="str">
        <f>_xlfn.XLOOKUP(tbl_kpi[[#This Row],[LocationID]], tbl_location[LocationID], tbl_location[LocationName], "UNMAPPED_LOCATION")</f>
        <v>Paint</v>
      </c>
      <c r="D624" s="2">
        <v>107</v>
      </c>
      <c r="E624" s="2">
        <v>105</v>
      </c>
      <c r="F624" s="2">
        <f>tbl_kpi[[#This Row],[OnHandQty]]</f>
        <v>107</v>
      </c>
      <c r="G624" s="2">
        <f>tbl_kpi[[#This Row],[CountedQty]]-tbl_kpi[[#This Row],[ExpectedQty]]</f>
        <v>-2</v>
      </c>
      <c r="H624" s="2">
        <f>IF(tbl_kpi[[#This Row],[ExpectedQty]]=0, 1, MAX(0, 1 - ABS(tbl_kpi[[#This Row],[VarianceQty]]) / tbl_kpi[[#This Row],[ExpectedQty]]))</f>
        <v>0.98130841121495327</v>
      </c>
      <c r="I624" s="2" t="str">
        <f>IF(tbl_kpi[[#This Row],[AccuracyPct]] &lt; 0.98, "Y", "N")</f>
        <v>N</v>
      </c>
    </row>
    <row r="625" spans="1:9">
      <c r="A625" s="2">
        <v>747</v>
      </c>
      <c r="B625" s="2">
        <v>50</v>
      </c>
      <c r="C625" s="2" t="str">
        <f>_xlfn.XLOOKUP(tbl_kpi[[#This Row],[LocationID]], tbl_location[LocationID], tbl_location[LocationName], "UNMAPPED_LOCATION")</f>
        <v>Subassembly</v>
      </c>
      <c r="D625" s="2">
        <v>160</v>
      </c>
      <c r="E625" s="2">
        <v>156</v>
      </c>
      <c r="F625" s="2">
        <f>tbl_kpi[[#This Row],[OnHandQty]]</f>
        <v>160</v>
      </c>
      <c r="G625" s="2">
        <f>tbl_kpi[[#This Row],[CountedQty]]-tbl_kpi[[#This Row],[ExpectedQty]]</f>
        <v>-4</v>
      </c>
      <c r="H625" s="2">
        <f>IF(tbl_kpi[[#This Row],[ExpectedQty]]=0, 1, MAX(0, 1 - ABS(tbl_kpi[[#This Row],[VarianceQty]]) / tbl_kpi[[#This Row],[ExpectedQty]]))</f>
        <v>0.97499999999999998</v>
      </c>
      <c r="I625" s="2" t="str">
        <f>IF(tbl_kpi[[#This Row],[AccuracyPct]] &lt; 0.98, "Y", "N")</f>
        <v>Y</v>
      </c>
    </row>
    <row r="626" spans="1:9">
      <c r="A626" s="2">
        <v>747</v>
      </c>
      <c r="B626" s="2">
        <v>60</v>
      </c>
      <c r="C626" s="2" t="str">
        <f>_xlfn.XLOOKUP(tbl_kpi[[#This Row],[LocationID]], tbl_location[LocationID], tbl_location[LocationName], "UNMAPPED_LOCATION")</f>
        <v>Final Assembly</v>
      </c>
      <c r="D626" s="2">
        <v>137</v>
      </c>
      <c r="E626" s="2">
        <v>133</v>
      </c>
      <c r="F626" s="2">
        <f>tbl_kpi[[#This Row],[OnHandQty]]</f>
        <v>137</v>
      </c>
      <c r="G626" s="2">
        <f>tbl_kpi[[#This Row],[CountedQty]]-tbl_kpi[[#This Row],[ExpectedQty]]</f>
        <v>-4</v>
      </c>
      <c r="H626" s="2">
        <f>IF(tbl_kpi[[#This Row],[ExpectedQty]]=0, 1, MAX(0, 1 - ABS(tbl_kpi[[#This Row],[VarianceQty]]) / tbl_kpi[[#This Row],[ExpectedQty]]))</f>
        <v>0.97080291970802923</v>
      </c>
      <c r="I626" s="2" t="str">
        <f>IF(tbl_kpi[[#This Row],[AccuracyPct]] &lt; 0.98, "Y", "N")</f>
        <v>Y</v>
      </c>
    </row>
    <row r="627" spans="1:9">
      <c r="A627" s="2">
        <v>748</v>
      </c>
      <c r="B627" s="2">
        <v>10</v>
      </c>
      <c r="C627" s="2" t="str">
        <f>_xlfn.XLOOKUP(tbl_kpi[[#This Row],[LocationID]], tbl_location[LocationID], tbl_location[LocationName], "UNMAPPED_LOCATION")</f>
        <v>Frame Forming</v>
      </c>
      <c r="D627" s="2">
        <v>105</v>
      </c>
      <c r="E627" s="2">
        <v>107</v>
      </c>
      <c r="F627" s="2">
        <f>tbl_kpi[[#This Row],[OnHandQty]]</f>
        <v>105</v>
      </c>
      <c r="G627" s="2">
        <f>tbl_kpi[[#This Row],[CountedQty]]-tbl_kpi[[#This Row],[ExpectedQty]]</f>
        <v>2</v>
      </c>
      <c r="H627" s="2">
        <f>IF(tbl_kpi[[#This Row],[ExpectedQty]]=0, 1, MAX(0, 1 - ABS(tbl_kpi[[#This Row],[VarianceQty]]) / tbl_kpi[[#This Row],[ExpectedQty]]))</f>
        <v>0.98095238095238091</v>
      </c>
      <c r="I627" s="2" t="str">
        <f>IF(tbl_kpi[[#This Row],[AccuracyPct]] &lt; 0.98, "Y", "N")</f>
        <v>N</v>
      </c>
    </row>
    <row r="628" spans="1:9">
      <c r="A628" s="2">
        <v>748</v>
      </c>
      <c r="B628" s="2">
        <v>20</v>
      </c>
      <c r="C628" s="2" t="str">
        <f>_xlfn.XLOOKUP(tbl_kpi[[#This Row],[LocationID]], tbl_location[LocationID], tbl_location[LocationName], "UNMAPPED_LOCATION")</f>
        <v>Frame Welding</v>
      </c>
      <c r="D628" s="2">
        <v>145</v>
      </c>
      <c r="E628" s="2">
        <v>142</v>
      </c>
      <c r="F628" s="2">
        <f>tbl_kpi[[#This Row],[OnHandQty]]</f>
        <v>145</v>
      </c>
      <c r="G628" s="2">
        <f>tbl_kpi[[#This Row],[CountedQty]]-tbl_kpi[[#This Row],[ExpectedQty]]</f>
        <v>-3</v>
      </c>
      <c r="H628" s="2">
        <f>IF(tbl_kpi[[#This Row],[ExpectedQty]]=0, 1, MAX(0, 1 - ABS(tbl_kpi[[#This Row],[VarianceQty]]) / tbl_kpi[[#This Row],[ExpectedQty]]))</f>
        <v>0.97931034482758617</v>
      </c>
      <c r="I628" s="2" t="str">
        <f>IF(tbl_kpi[[#This Row],[AccuracyPct]] &lt; 0.98, "Y", "N")</f>
        <v>Y</v>
      </c>
    </row>
    <row r="629" spans="1:9">
      <c r="A629" s="2">
        <v>748</v>
      </c>
      <c r="B629" s="2">
        <v>30</v>
      </c>
      <c r="C629" s="2" t="str">
        <f>_xlfn.XLOOKUP(tbl_kpi[[#This Row],[LocationID]], tbl_location[LocationID], tbl_location[LocationName], "UNMAPPED_LOCATION")</f>
        <v>Debur and Polish</v>
      </c>
      <c r="D629" s="2">
        <v>132</v>
      </c>
      <c r="E629" s="2">
        <v>129</v>
      </c>
      <c r="F629" s="2">
        <f>tbl_kpi[[#This Row],[OnHandQty]]</f>
        <v>132</v>
      </c>
      <c r="G629" s="2">
        <f>tbl_kpi[[#This Row],[CountedQty]]-tbl_kpi[[#This Row],[ExpectedQty]]</f>
        <v>-3</v>
      </c>
      <c r="H629" s="2">
        <f>IF(tbl_kpi[[#This Row],[ExpectedQty]]=0, 1, MAX(0, 1 - ABS(tbl_kpi[[#This Row],[VarianceQty]]) / tbl_kpi[[#This Row],[ExpectedQty]]))</f>
        <v>0.97727272727272729</v>
      </c>
      <c r="I629" s="2" t="str">
        <f>IF(tbl_kpi[[#This Row],[AccuracyPct]] &lt; 0.98, "Y", "N")</f>
        <v>Y</v>
      </c>
    </row>
    <row r="630" spans="1:9">
      <c r="A630" s="2">
        <v>748</v>
      </c>
      <c r="B630" s="2">
        <v>45</v>
      </c>
      <c r="C630" s="2" t="str">
        <f>_xlfn.XLOOKUP(tbl_kpi[[#This Row],[LocationID]], tbl_location[LocationID], tbl_location[LocationName], "UNMAPPED_LOCATION")</f>
        <v>Specialized Paint</v>
      </c>
      <c r="D630" s="2">
        <v>91</v>
      </c>
      <c r="E630" s="2">
        <v>94</v>
      </c>
      <c r="F630" s="2">
        <f>tbl_kpi[[#This Row],[OnHandQty]]</f>
        <v>91</v>
      </c>
      <c r="G630" s="2">
        <f>tbl_kpi[[#This Row],[CountedQty]]-tbl_kpi[[#This Row],[ExpectedQty]]</f>
        <v>3</v>
      </c>
      <c r="H630" s="2">
        <f>IF(tbl_kpi[[#This Row],[ExpectedQty]]=0, 1, MAX(0, 1 - ABS(tbl_kpi[[#This Row],[VarianceQty]]) / tbl_kpi[[#This Row],[ExpectedQty]]))</f>
        <v>0.96703296703296704</v>
      </c>
      <c r="I630" s="2" t="str">
        <f>IF(tbl_kpi[[#This Row],[AccuracyPct]] &lt; 0.98, "Y", "N")</f>
        <v>Y</v>
      </c>
    </row>
    <row r="631" spans="1:9">
      <c r="A631" s="2">
        <v>748</v>
      </c>
      <c r="B631" s="2">
        <v>50</v>
      </c>
      <c r="C631" s="2" t="str">
        <f>_xlfn.XLOOKUP(tbl_kpi[[#This Row],[LocationID]], tbl_location[LocationID], tbl_location[LocationName], "UNMAPPED_LOCATION")</f>
        <v>Subassembly</v>
      </c>
      <c r="D631" s="2">
        <v>144</v>
      </c>
      <c r="E631" s="2">
        <v>140</v>
      </c>
      <c r="F631" s="2">
        <f>tbl_kpi[[#This Row],[OnHandQty]]</f>
        <v>144</v>
      </c>
      <c r="G631" s="2">
        <f>tbl_kpi[[#This Row],[CountedQty]]-tbl_kpi[[#This Row],[ExpectedQty]]</f>
        <v>-4</v>
      </c>
      <c r="H631" s="2">
        <f>IF(tbl_kpi[[#This Row],[ExpectedQty]]=0, 1, MAX(0, 1 - ABS(tbl_kpi[[#This Row],[VarianceQty]]) / tbl_kpi[[#This Row],[ExpectedQty]]))</f>
        <v>0.97222222222222221</v>
      </c>
      <c r="I631" s="2" t="str">
        <f>IF(tbl_kpi[[#This Row],[AccuracyPct]] &lt; 0.98, "Y", "N")</f>
        <v>Y</v>
      </c>
    </row>
    <row r="632" spans="1:9">
      <c r="A632" s="2">
        <v>748</v>
      </c>
      <c r="B632" s="2">
        <v>60</v>
      </c>
      <c r="C632" s="2" t="str">
        <f>_xlfn.XLOOKUP(tbl_kpi[[#This Row],[LocationID]], tbl_location[LocationID], tbl_location[LocationName], "UNMAPPED_LOCATION")</f>
        <v>Final Assembly</v>
      </c>
      <c r="D632" s="2">
        <v>121</v>
      </c>
      <c r="E632" s="2">
        <v>122</v>
      </c>
      <c r="F632" s="2">
        <f>tbl_kpi[[#This Row],[OnHandQty]]</f>
        <v>121</v>
      </c>
      <c r="G632" s="2">
        <f>tbl_kpi[[#This Row],[CountedQty]]-tbl_kpi[[#This Row],[ExpectedQty]]</f>
        <v>1</v>
      </c>
      <c r="H632" s="2">
        <f>IF(tbl_kpi[[#This Row],[ExpectedQty]]=0, 1, MAX(0, 1 - ABS(tbl_kpi[[#This Row],[VarianceQty]]) / tbl_kpi[[#This Row],[ExpectedQty]]))</f>
        <v>0.99173553719008267</v>
      </c>
      <c r="I632" s="2" t="str">
        <f>IF(tbl_kpi[[#This Row],[AccuracyPct]] &lt; 0.98, "Y", "N")</f>
        <v>N</v>
      </c>
    </row>
    <row r="633" spans="1:9">
      <c r="A633" s="2">
        <v>749</v>
      </c>
      <c r="B633" s="2">
        <v>7</v>
      </c>
      <c r="C633" s="2" t="str">
        <f>_xlfn.XLOOKUP(tbl_kpi[[#This Row],[LocationID]], tbl_location[LocationID], tbl_location[LocationName], "UNMAPPED_LOCATION")</f>
        <v>Finished Goods Storage</v>
      </c>
      <c r="D633" s="2">
        <v>73</v>
      </c>
      <c r="E633" s="2">
        <v>71</v>
      </c>
      <c r="F633" s="2">
        <f>tbl_kpi[[#This Row],[OnHandQty]]</f>
        <v>73</v>
      </c>
      <c r="G633" s="2">
        <f>tbl_kpi[[#This Row],[CountedQty]]-tbl_kpi[[#This Row],[ExpectedQty]]</f>
        <v>-2</v>
      </c>
      <c r="H633" s="2">
        <f>IF(tbl_kpi[[#This Row],[ExpectedQty]]=0, 1, MAX(0, 1 - ABS(tbl_kpi[[#This Row],[VarianceQty]]) / tbl_kpi[[#This Row],[ExpectedQty]]))</f>
        <v>0.9726027397260274</v>
      </c>
      <c r="I633" s="2" t="str">
        <f>IF(tbl_kpi[[#This Row],[AccuracyPct]] &lt; 0.98, "Y", "N")</f>
        <v>Y</v>
      </c>
    </row>
    <row r="634" spans="1:9">
      <c r="A634" s="2">
        <v>749</v>
      </c>
      <c r="B634" s="2">
        <v>60</v>
      </c>
      <c r="C634" s="2" t="str">
        <f>_xlfn.XLOOKUP(tbl_kpi[[#This Row],[LocationID]], tbl_location[LocationID], tbl_location[LocationName], "UNMAPPED_LOCATION")</f>
        <v>Final Assembly</v>
      </c>
      <c r="D634" s="2">
        <v>60</v>
      </c>
      <c r="E634" s="2">
        <v>58</v>
      </c>
      <c r="F634" s="2">
        <f>tbl_kpi[[#This Row],[OnHandQty]]</f>
        <v>60</v>
      </c>
      <c r="G634" s="2">
        <f>tbl_kpi[[#This Row],[CountedQty]]-tbl_kpi[[#This Row],[ExpectedQty]]</f>
        <v>-2</v>
      </c>
      <c r="H634" s="2">
        <f>IF(tbl_kpi[[#This Row],[ExpectedQty]]=0, 1, MAX(0, 1 - ABS(tbl_kpi[[#This Row],[VarianceQty]]) / tbl_kpi[[#This Row],[ExpectedQty]]))</f>
        <v>0.96666666666666667</v>
      </c>
      <c r="I634" s="2" t="str">
        <f>IF(tbl_kpi[[#This Row],[AccuracyPct]] &lt; 0.98, "Y", "N")</f>
        <v>Y</v>
      </c>
    </row>
    <row r="635" spans="1:9">
      <c r="A635" s="2">
        <v>750</v>
      </c>
      <c r="B635" s="2">
        <v>7</v>
      </c>
      <c r="C635" s="2" t="str">
        <f>_xlfn.XLOOKUP(tbl_kpi[[#This Row],[LocationID]], tbl_location[LocationID], tbl_location[LocationName], "UNMAPPED_LOCATION")</f>
        <v>Finished Goods Storage</v>
      </c>
      <c r="D635" s="2">
        <v>102</v>
      </c>
      <c r="E635" s="2">
        <v>102</v>
      </c>
      <c r="F635" s="2">
        <f>tbl_kpi[[#This Row],[OnHandQty]]</f>
        <v>102</v>
      </c>
      <c r="G635" s="2">
        <f>tbl_kpi[[#This Row],[CountedQty]]-tbl_kpi[[#This Row],[ExpectedQty]]</f>
        <v>0</v>
      </c>
      <c r="H635" s="2">
        <f>IF(tbl_kpi[[#This Row],[ExpectedQty]]=0, 1, MAX(0, 1 - ABS(tbl_kpi[[#This Row],[VarianceQty]]) / tbl_kpi[[#This Row],[ExpectedQty]]))</f>
        <v>1</v>
      </c>
      <c r="I635" s="2" t="str">
        <f>IF(tbl_kpi[[#This Row],[AccuracyPct]] &lt; 0.98, "Y", "N")</f>
        <v>N</v>
      </c>
    </row>
    <row r="636" spans="1:9">
      <c r="A636" s="2">
        <v>750</v>
      </c>
      <c r="B636" s="2">
        <v>60</v>
      </c>
      <c r="C636" s="2" t="str">
        <f>_xlfn.XLOOKUP(tbl_kpi[[#This Row],[LocationID]], tbl_location[LocationID], tbl_location[LocationName], "UNMAPPED_LOCATION")</f>
        <v>Final Assembly</v>
      </c>
      <c r="D636" s="2">
        <v>121</v>
      </c>
      <c r="E636" s="2">
        <v>119</v>
      </c>
      <c r="F636" s="2">
        <f>tbl_kpi[[#This Row],[OnHandQty]]</f>
        <v>121</v>
      </c>
      <c r="G636" s="2">
        <f>tbl_kpi[[#This Row],[CountedQty]]-tbl_kpi[[#This Row],[ExpectedQty]]</f>
        <v>-2</v>
      </c>
      <c r="H636" s="2">
        <f>IF(tbl_kpi[[#This Row],[ExpectedQty]]=0, 1, MAX(0, 1 - ABS(tbl_kpi[[#This Row],[VarianceQty]]) / tbl_kpi[[#This Row],[ExpectedQty]]))</f>
        <v>0.98347107438016534</v>
      </c>
      <c r="I636" s="2" t="str">
        <f>IF(tbl_kpi[[#This Row],[AccuracyPct]] &lt; 0.98, "Y", "N")</f>
        <v>N</v>
      </c>
    </row>
    <row r="637" spans="1:9">
      <c r="A637" s="2">
        <v>751</v>
      </c>
      <c r="B637" s="2">
        <v>7</v>
      </c>
      <c r="C637" s="2" t="str">
        <f>_xlfn.XLOOKUP(tbl_kpi[[#This Row],[LocationID]], tbl_location[LocationID], tbl_location[LocationName], "UNMAPPED_LOCATION")</f>
        <v>Finished Goods Storage</v>
      </c>
      <c r="D637" s="2">
        <v>32</v>
      </c>
      <c r="E637" s="2">
        <v>31</v>
      </c>
      <c r="F637" s="2">
        <f>tbl_kpi[[#This Row],[OnHandQty]]</f>
        <v>32</v>
      </c>
      <c r="G637" s="2">
        <f>tbl_kpi[[#This Row],[CountedQty]]-tbl_kpi[[#This Row],[ExpectedQty]]</f>
        <v>-1</v>
      </c>
      <c r="H637" s="2">
        <f>IF(tbl_kpi[[#This Row],[ExpectedQty]]=0, 1, MAX(0, 1 - ABS(tbl_kpi[[#This Row],[VarianceQty]]) / tbl_kpi[[#This Row],[ExpectedQty]]))</f>
        <v>0.96875</v>
      </c>
      <c r="I637" s="2" t="str">
        <f>IF(tbl_kpi[[#This Row],[AccuracyPct]] &lt; 0.98, "Y", "N")</f>
        <v>Y</v>
      </c>
    </row>
    <row r="638" spans="1:9">
      <c r="A638" s="2">
        <v>751</v>
      </c>
      <c r="B638" s="2">
        <v>60</v>
      </c>
      <c r="C638" s="2" t="str">
        <f>_xlfn.XLOOKUP(tbl_kpi[[#This Row],[LocationID]], tbl_location[LocationID], tbl_location[LocationName], "UNMAPPED_LOCATION")</f>
        <v>Final Assembly</v>
      </c>
      <c r="D638" s="2">
        <v>108</v>
      </c>
      <c r="E638" s="2">
        <v>108</v>
      </c>
      <c r="F638" s="2">
        <f>tbl_kpi[[#This Row],[OnHandQty]]</f>
        <v>108</v>
      </c>
      <c r="G638" s="2">
        <f>tbl_kpi[[#This Row],[CountedQty]]-tbl_kpi[[#This Row],[ExpectedQty]]</f>
        <v>0</v>
      </c>
      <c r="H638" s="2">
        <f>IF(tbl_kpi[[#This Row],[ExpectedQty]]=0, 1, MAX(0, 1 - ABS(tbl_kpi[[#This Row],[VarianceQty]]) / tbl_kpi[[#This Row],[ExpectedQty]]))</f>
        <v>1</v>
      </c>
      <c r="I638" s="2" t="str">
        <f>IF(tbl_kpi[[#This Row],[AccuracyPct]] &lt; 0.98, "Y", "N")</f>
        <v>N</v>
      </c>
    </row>
    <row r="639" spans="1:9">
      <c r="A639" s="2">
        <v>752</v>
      </c>
      <c r="B639" s="2">
        <v>7</v>
      </c>
      <c r="C639" s="2" t="str">
        <f>_xlfn.XLOOKUP(tbl_kpi[[#This Row],[LocationID]], tbl_location[LocationID], tbl_location[LocationName], "UNMAPPED_LOCATION")</f>
        <v>Finished Goods Storage</v>
      </c>
      <c r="D639" s="2">
        <v>52</v>
      </c>
      <c r="E639" s="2">
        <v>53</v>
      </c>
      <c r="F639" s="2">
        <f>tbl_kpi[[#This Row],[OnHandQty]]</f>
        <v>52</v>
      </c>
      <c r="G639" s="2">
        <f>tbl_kpi[[#This Row],[CountedQty]]-tbl_kpi[[#This Row],[ExpectedQty]]</f>
        <v>1</v>
      </c>
      <c r="H639" s="2">
        <f>IF(tbl_kpi[[#This Row],[ExpectedQty]]=0, 1, MAX(0, 1 - ABS(tbl_kpi[[#This Row],[VarianceQty]]) / tbl_kpi[[#This Row],[ExpectedQty]]))</f>
        <v>0.98076923076923073</v>
      </c>
      <c r="I639" s="2" t="str">
        <f>IF(tbl_kpi[[#This Row],[AccuracyPct]] &lt; 0.98, "Y", "N")</f>
        <v>N</v>
      </c>
    </row>
    <row r="640" spans="1:9">
      <c r="A640" s="2">
        <v>752</v>
      </c>
      <c r="B640" s="2">
        <v>60</v>
      </c>
      <c r="C640" s="2" t="str">
        <f>_xlfn.XLOOKUP(tbl_kpi[[#This Row],[LocationID]], tbl_location[LocationID], tbl_location[LocationName], "UNMAPPED_LOCATION")</f>
        <v>Final Assembly</v>
      </c>
      <c r="D640" s="2">
        <v>76</v>
      </c>
      <c r="E640" s="2">
        <v>77</v>
      </c>
      <c r="F640" s="2">
        <f>tbl_kpi[[#This Row],[OnHandQty]]</f>
        <v>76</v>
      </c>
      <c r="G640" s="2">
        <f>tbl_kpi[[#This Row],[CountedQty]]-tbl_kpi[[#This Row],[ExpectedQty]]</f>
        <v>1</v>
      </c>
      <c r="H640" s="2">
        <f>IF(tbl_kpi[[#This Row],[ExpectedQty]]=0, 1, MAX(0, 1 - ABS(tbl_kpi[[#This Row],[VarianceQty]]) / tbl_kpi[[#This Row],[ExpectedQty]]))</f>
        <v>0.98684210526315785</v>
      </c>
      <c r="I640" s="2" t="str">
        <f>IF(tbl_kpi[[#This Row],[AccuracyPct]] &lt; 0.98, "Y", "N")</f>
        <v>N</v>
      </c>
    </row>
    <row r="641" spans="1:9">
      <c r="A641" s="2">
        <v>753</v>
      </c>
      <c r="B641" s="2">
        <v>7</v>
      </c>
      <c r="C641" s="2" t="str">
        <f>_xlfn.XLOOKUP(tbl_kpi[[#This Row],[LocationID]], tbl_location[LocationID], tbl_location[LocationName], "UNMAPPED_LOCATION")</f>
        <v>Finished Goods Storage</v>
      </c>
      <c r="D641" s="2">
        <v>112</v>
      </c>
      <c r="E641" s="2">
        <v>112</v>
      </c>
      <c r="F641" s="2">
        <f>tbl_kpi[[#This Row],[OnHandQty]]</f>
        <v>112</v>
      </c>
      <c r="G641" s="2">
        <f>tbl_kpi[[#This Row],[CountedQty]]-tbl_kpi[[#This Row],[ExpectedQty]]</f>
        <v>0</v>
      </c>
      <c r="H641" s="2">
        <f>IF(tbl_kpi[[#This Row],[ExpectedQty]]=0, 1, MAX(0, 1 - ABS(tbl_kpi[[#This Row],[VarianceQty]]) / tbl_kpi[[#This Row],[ExpectedQty]]))</f>
        <v>1</v>
      </c>
      <c r="I641" s="2" t="str">
        <f>IF(tbl_kpi[[#This Row],[AccuracyPct]] &lt; 0.98, "Y", "N")</f>
        <v>N</v>
      </c>
    </row>
    <row r="642" spans="1:9">
      <c r="A642" s="2">
        <v>753</v>
      </c>
      <c r="B642" s="2">
        <v>60</v>
      </c>
      <c r="C642" s="2" t="str">
        <f>_xlfn.XLOOKUP(tbl_kpi[[#This Row],[LocationID]], tbl_location[LocationID], tbl_location[LocationName], "UNMAPPED_LOCATION")</f>
        <v>Final Assembly</v>
      </c>
      <c r="D642" s="2">
        <v>51</v>
      </c>
      <c r="E642" s="2">
        <v>52</v>
      </c>
      <c r="F642" s="2">
        <f>tbl_kpi[[#This Row],[OnHandQty]]</f>
        <v>51</v>
      </c>
      <c r="G642" s="2">
        <f>tbl_kpi[[#This Row],[CountedQty]]-tbl_kpi[[#This Row],[ExpectedQty]]</f>
        <v>1</v>
      </c>
      <c r="H642" s="2">
        <f>IF(tbl_kpi[[#This Row],[ExpectedQty]]=0, 1, MAX(0, 1 - ABS(tbl_kpi[[#This Row],[VarianceQty]]) / tbl_kpi[[#This Row],[ExpectedQty]]))</f>
        <v>0.98039215686274506</v>
      </c>
      <c r="I642" s="2" t="str">
        <f>IF(tbl_kpi[[#This Row],[AccuracyPct]] &lt; 0.98, "Y", "N")</f>
        <v>N</v>
      </c>
    </row>
    <row r="643" spans="1:9">
      <c r="A643" s="2">
        <v>754</v>
      </c>
      <c r="B643" s="2">
        <v>7</v>
      </c>
      <c r="C643" s="2" t="str">
        <f>_xlfn.XLOOKUP(tbl_kpi[[#This Row],[LocationID]], tbl_location[LocationID], tbl_location[LocationName], "UNMAPPED_LOCATION")</f>
        <v>Finished Goods Storage</v>
      </c>
      <c r="D643" s="2">
        <v>65</v>
      </c>
      <c r="E643" s="2">
        <v>65</v>
      </c>
      <c r="F643" s="2">
        <f>tbl_kpi[[#This Row],[OnHandQty]]</f>
        <v>65</v>
      </c>
      <c r="G643" s="2">
        <f>tbl_kpi[[#This Row],[CountedQty]]-tbl_kpi[[#This Row],[ExpectedQty]]</f>
        <v>0</v>
      </c>
      <c r="H643" s="2">
        <f>IF(tbl_kpi[[#This Row],[ExpectedQty]]=0, 1, MAX(0, 1 - ABS(tbl_kpi[[#This Row],[VarianceQty]]) / tbl_kpi[[#This Row],[ExpectedQty]]))</f>
        <v>1</v>
      </c>
      <c r="I643" s="2" t="str">
        <f>IF(tbl_kpi[[#This Row],[AccuracyPct]] &lt; 0.98, "Y", "N")</f>
        <v>N</v>
      </c>
    </row>
    <row r="644" spans="1:9">
      <c r="A644" s="2">
        <v>754</v>
      </c>
      <c r="B644" s="2">
        <v>60</v>
      </c>
      <c r="C644" s="2" t="str">
        <f>_xlfn.XLOOKUP(tbl_kpi[[#This Row],[LocationID]], tbl_location[LocationID], tbl_location[LocationName], "UNMAPPED_LOCATION")</f>
        <v>Final Assembly</v>
      </c>
      <c r="D644" s="2">
        <v>83</v>
      </c>
      <c r="E644" s="2">
        <v>84</v>
      </c>
      <c r="F644" s="2">
        <f>tbl_kpi[[#This Row],[OnHandQty]]</f>
        <v>83</v>
      </c>
      <c r="G644" s="2">
        <f>tbl_kpi[[#This Row],[CountedQty]]-tbl_kpi[[#This Row],[ExpectedQty]]</f>
        <v>1</v>
      </c>
      <c r="H644" s="2">
        <f>IF(tbl_kpi[[#This Row],[ExpectedQty]]=0, 1, MAX(0, 1 - ABS(tbl_kpi[[#This Row],[VarianceQty]]) / tbl_kpi[[#This Row],[ExpectedQty]]))</f>
        <v>0.98795180722891562</v>
      </c>
      <c r="I644" s="2" t="str">
        <f>IF(tbl_kpi[[#This Row],[AccuracyPct]] &lt; 0.98, "Y", "N")</f>
        <v>N</v>
      </c>
    </row>
    <row r="645" spans="1:9">
      <c r="A645" s="2">
        <v>755</v>
      </c>
      <c r="B645" s="2">
        <v>7</v>
      </c>
      <c r="C645" s="2" t="str">
        <f>_xlfn.XLOOKUP(tbl_kpi[[#This Row],[LocationID]], tbl_location[LocationID], tbl_location[LocationName], "UNMAPPED_LOCATION")</f>
        <v>Finished Goods Storage</v>
      </c>
      <c r="D645" s="2">
        <v>75</v>
      </c>
      <c r="E645" s="2">
        <v>74</v>
      </c>
      <c r="F645" s="2">
        <f>tbl_kpi[[#This Row],[OnHandQty]]</f>
        <v>75</v>
      </c>
      <c r="G645" s="2">
        <f>tbl_kpi[[#This Row],[CountedQty]]-tbl_kpi[[#This Row],[ExpectedQty]]</f>
        <v>-1</v>
      </c>
      <c r="H645" s="2">
        <f>IF(tbl_kpi[[#This Row],[ExpectedQty]]=0, 1, MAX(0, 1 - ABS(tbl_kpi[[#This Row],[VarianceQty]]) / tbl_kpi[[#This Row],[ExpectedQty]]))</f>
        <v>0.98666666666666669</v>
      </c>
      <c r="I645" s="2" t="str">
        <f>IF(tbl_kpi[[#This Row],[AccuracyPct]] &lt; 0.98, "Y", "N")</f>
        <v>N</v>
      </c>
    </row>
    <row r="646" spans="1:9">
      <c r="A646" s="2">
        <v>755</v>
      </c>
      <c r="B646" s="2">
        <v>60</v>
      </c>
      <c r="C646" s="2" t="str">
        <f>_xlfn.XLOOKUP(tbl_kpi[[#This Row],[LocationID]], tbl_location[LocationID], tbl_location[LocationName], "UNMAPPED_LOCATION")</f>
        <v>Final Assembly</v>
      </c>
      <c r="D646" s="2">
        <v>62</v>
      </c>
      <c r="E646" s="2">
        <v>61</v>
      </c>
      <c r="F646" s="2">
        <f>tbl_kpi[[#This Row],[OnHandQty]]</f>
        <v>62</v>
      </c>
      <c r="G646" s="2">
        <f>tbl_kpi[[#This Row],[CountedQty]]-tbl_kpi[[#This Row],[ExpectedQty]]</f>
        <v>-1</v>
      </c>
      <c r="H646" s="2">
        <f>IF(tbl_kpi[[#This Row],[ExpectedQty]]=0, 1, MAX(0, 1 - ABS(tbl_kpi[[#This Row],[VarianceQty]]) / tbl_kpi[[#This Row],[ExpectedQty]]))</f>
        <v>0.9838709677419355</v>
      </c>
      <c r="I646" s="2" t="str">
        <f>IF(tbl_kpi[[#This Row],[AccuracyPct]] &lt; 0.98, "Y", "N")</f>
        <v>N</v>
      </c>
    </row>
    <row r="647" spans="1:9">
      <c r="A647" s="2">
        <v>756</v>
      </c>
      <c r="B647" s="2">
        <v>7</v>
      </c>
      <c r="C647" s="2" t="str">
        <f>_xlfn.XLOOKUP(tbl_kpi[[#This Row],[LocationID]], tbl_location[LocationID], tbl_location[LocationName], "UNMAPPED_LOCATION")</f>
        <v>Finished Goods Storage</v>
      </c>
      <c r="D647" s="2">
        <v>30</v>
      </c>
      <c r="E647" s="2">
        <v>31</v>
      </c>
      <c r="F647" s="2">
        <f>tbl_kpi[[#This Row],[OnHandQty]]</f>
        <v>30</v>
      </c>
      <c r="G647" s="2">
        <f>tbl_kpi[[#This Row],[CountedQty]]-tbl_kpi[[#This Row],[ExpectedQty]]</f>
        <v>1</v>
      </c>
      <c r="H647" s="2">
        <f>IF(tbl_kpi[[#This Row],[ExpectedQty]]=0, 1, MAX(0, 1 - ABS(tbl_kpi[[#This Row],[VarianceQty]]) / tbl_kpi[[#This Row],[ExpectedQty]]))</f>
        <v>0.96666666666666667</v>
      </c>
      <c r="I647" s="2" t="str">
        <f>IF(tbl_kpi[[#This Row],[AccuracyPct]] &lt; 0.98, "Y", "N")</f>
        <v>Y</v>
      </c>
    </row>
    <row r="648" spans="1:9">
      <c r="A648" s="2">
        <v>756</v>
      </c>
      <c r="B648" s="2">
        <v>60</v>
      </c>
      <c r="C648" s="2" t="str">
        <f>_xlfn.XLOOKUP(tbl_kpi[[#This Row],[LocationID]], tbl_location[LocationID], tbl_location[LocationName], "UNMAPPED_LOCATION")</f>
        <v>Final Assembly</v>
      </c>
      <c r="D648" s="2">
        <v>99</v>
      </c>
      <c r="E648" s="2">
        <v>98</v>
      </c>
      <c r="F648" s="2">
        <f>tbl_kpi[[#This Row],[OnHandQty]]</f>
        <v>99</v>
      </c>
      <c r="G648" s="2">
        <f>tbl_kpi[[#This Row],[CountedQty]]-tbl_kpi[[#This Row],[ExpectedQty]]</f>
        <v>-1</v>
      </c>
      <c r="H648" s="2">
        <f>IF(tbl_kpi[[#This Row],[ExpectedQty]]=0, 1, MAX(0, 1 - ABS(tbl_kpi[[#This Row],[VarianceQty]]) / tbl_kpi[[#This Row],[ExpectedQty]]))</f>
        <v>0.98989898989898994</v>
      </c>
      <c r="I648" s="2" t="str">
        <f>IF(tbl_kpi[[#This Row],[AccuracyPct]] &lt; 0.98, "Y", "N")</f>
        <v>N</v>
      </c>
    </row>
    <row r="649" spans="1:9">
      <c r="A649" s="2">
        <v>757</v>
      </c>
      <c r="B649" s="2">
        <v>7</v>
      </c>
      <c r="C649" s="2" t="str">
        <f>_xlfn.XLOOKUP(tbl_kpi[[#This Row],[LocationID]], tbl_location[LocationID], tbl_location[LocationName], "UNMAPPED_LOCATION")</f>
        <v>Finished Goods Storage</v>
      </c>
      <c r="D649" s="2">
        <v>56</v>
      </c>
      <c r="E649" s="2">
        <v>55</v>
      </c>
      <c r="F649" s="2">
        <f>tbl_kpi[[#This Row],[OnHandQty]]</f>
        <v>56</v>
      </c>
      <c r="G649" s="2">
        <f>tbl_kpi[[#This Row],[CountedQty]]-tbl_kpi[[#This Row],[ExpectedQty]]</f>
        <v>-1</v>
      </c>
      <c r="H649" s="2">
        <f>IF(tbl_kpi[[#This Row],[ExpectedQty]]=0, 1, MAX(0, 1 - ABS(tbl_kpi[[#This Row],[VarianceQty]]) / tbl_kpi[[#This Row],[ExpectedQty]]))</f>
        <v>0.9821428571428571</v>
      </c>
      <c r="I649" s="2" t="str">
        <f>IF(tbl_kpi[[#This Row],[AccuracyPct]] &lt; 0.98, "Y", "N")</f>
        <v>N</v>
      </c>
    </row>
    <row r="650" spans="1:9">
      <c r="A650" s="2">
        <v>757</v>
      </c>
      <c r="B650" s="2">
        <v>60</v>
      </c>
      <c r="C650" s="2" t="str">
        <f>_xlfn.XLOOKUP(tbl_kpi[[#This Row],[LocationID]], tbl_location[LocationID], tbl_location[LocationName], "UNMAPPED_LOCATION")</f>
        <v>Final Assembly</v>
      </c>
      <c r="D650" s="2">
        <v>78</v>
      </c>
      <c r="E650" s="2">
        <v>76</v>
      </c>
      <c r="F650" s="2">
        <f>tbl_kpi[[#This Row],[OnHandQty]]</f>
        <v>78</v>
      </c>
      <c r="G650" s="2">
        <f>tbl_kpi[[#This Row],[CountedQty]]-tbl_kpi[[#This Row],[ExpectedQty]]</f>
        <v>-2</v>
      </c>
      <c r="H650" s="2">
        <f>IF(tbl_kpi[[#This Row],[ExpectedQty]]=0, 1, MAX(0, 1 - ABS(tbl_kpi[[#This Row],[VarianceQty]]) / tbl_kpi[[#This Row],[ExpectedQty]]))</f>
        <v>0.97435897435897434</v>
      </c>
      <c r="I650" s="2" t="str">
        <f>IF(tbl_kpi[[#This Row],[AccuracyPct]] &lt; 0.98, "Y", "N")</f>
        <v>Y</v>
      </c>
    </row>
    <row r="651" spans="1:9">
      <c r="A651" s="2">
        <v>758</v>
      </c>
      <c r="B651" s="2">
        <v>7</v>
      </c>
      <c r="C651" s="2" t="str">
        <f>_xlfn.XLOOKUP(tbl_kpi[[#This Row],[LocationID]], tbl_location[LocationID], tbl_location[LocationName], "UNMAPPED_LOCATION")</f>
        <v>Finished Goods Storage</v>
      </c>
      <c r="D651" s="2">
        <v>116</v>
      </c>
      <c r="E651" s="2">
        <v>113</v>
      </c>
      <c r="F651" s="2">
        <f>tbl_kpi[[#This Row],[OnHandQty]]</f>
        <v>116</v>
      </c>
      <c r="G651" s="2">
        <f>tbl_kpi[[#This Row],[CountedQty]]-tbl_kpi[[#This Row],[ExpectedQty]]</f>
        <v>-3</v>
      </c>
      <c r="H651" s="2">
        <f>IF(tbl_kpi[[#This Row],[ExpectedQty]]=0, 1, MAX(0, 1 - ABS(tbl_kpi[[#This Row],[VarianceQty]]) / tbl_kpi[[#This Row],[ExpectedQty]]))</f>
        <v>0.97413793103448276</v>
      </c>
      <c r="I651" s="2" t="str">
        <f>IF(tbl_kpi[[#This Row],[AccuracyPct]] &lt; 0.98, "Y", "N")</f>
        <v>Y</v>
      </c>
    </row>
    <row r="652" spans="1:9">
      <c r="A652" s="2">
        <v>758</v>
      </c>
      <c r="B652" s="2">
        <v>60</v>
      </c>
      <c r="C652" s="2" t="str">
        <f>_xlfn.XLOOKUP(tbl_kpi[[#This Row],[LocationID]], tbl_location[LocationID], tbl_location[LocationName], "UNMAPPED_LOCATION")</f>
        <v>Final Assembly</v>
      </c>
      <c r="D652" s="2">
        <v>49</v>
      </c>
      <c r="E652" s="2">
        <v>49</v>
      </c>
      <c r="F652" s="2">
        <f>tbl_kpi[[#This Row],[OnHandQty]]</f>
        <v>49</v>
      </c>
      <c r="G652" s="2">
        <f>tbl_kpi[[#This Row],[CountedQty]]-tbl_kpi[[#This Row],[ExpectedQty]]</f>
        <v>0</v>
      </c>
      <c r="H652" s="2">
        <f>IF(tbl_kpi[[#This Row],[ExpectedQty]]=0, 1, MAX(0, 1 - ABS(tbl_kpi[[#This Row],[VarianceQty]]) / tbl_kpi[[#This Row],[ExpectedQty]]))</f>
        <v>1</v>
      </c>
      <c r="I652" s="2" t="str">
        <f>IF(tbl_kpi[[#This Row],[AccuracyPct]] &lt; 0.98, "Y", "N")</f>
        <v>N</v>
      </c>
    </row>
    <row r="653" spans="1:9">
      <c r="A653" s="2">
        <v>759</v>
      </c>
      <c r="B653" s="2">
        <v>7</v>
      </c>
      <c r="C653" s="2" t="str">
        <f>_xlfn.XLOOKUP(tbl_kpi[[#This Row],[LocationID]], tbl_location[LocationID], tbl_location[LocationName], "UNMAPPED_LOCATION")</f>
        <v>Finished Goods Storage</v>
      </c>
      <c r="D653" s="2">
        <v>112</v>
      </c>
      <c r="E653" s="2">
        <v>111</v>
      </c>
      <c r="F653" s="2">
        <f>tbl_kpi[[#This Row],[OnHandQty]]</f>
        <v>112</v>
      </c>
      <c r="G653" s="2">
        <f>tbl_kpi[[#This Row],[CountedQty]]-tbl_kpi[[#This Row],[ExpectedQty]]</f>
        <v>-1</v>
      </c>
      <c r="H653" s="2">
        <f>IF(tbl_kpi[[#This Row],[ExpectedQty]]=0, 1, MAX(0, 1 - ABS(tbl_kpi[[#This Row],[VarianceQty]]) / tbl_kpi[[#This Row],[ExpectedQty]]))</f>
        <v>0.9910714285714286</v>
      </c>
      <c r="I653" s="2" t="str">
        <f>IF(tbl_kpi[[#This Row],[AccuracyPct]] &lt; 0.98, "Y", "N")</f>
        <v>N</v>
      </c>
    </row>
    <row r="654" spans="1:9">
      <c r="A654" s="2">
        <v>759</v>
      </c>
      <c r="B654" s="2">
        <v>60</v>
      </c>
      <c r="C654" s="2" t="str">
        <f>_xlfn.XLOOKUP(tbl_kpi[[#This Row],[LocationID]], tbl_location[LocationID], tbl_location[LocationName], "UNMAPPED_LOCATION")</f>
        <v>Final Assembly</v>
      </c>
      <c r="D654" s="2">
        <v>51</v>
      </c>
      <c r="E654" s="2">
        <v>51</v>
      </c>
      <c r="F654" s="2">
        <f>tbl_kpi[[#This Row],[OnHandQty]]</f>
        <v>51</v>
      </c>
      <c r="G654" s="2">
        <f>tbl_kpi[[#This Row],[CountedQty]]-tbl_kpi[[#This Row],[ExpectedQty]]</f>
        <v>0</v>
      </c>
      <c r="H654" s="2">
        <f>IF(tbl_kpi[[#This Row],[ExpectedQty]]=0, 1, MAX(0, 1 - ABS(tbl_kpi[[#This Row],[VarianceQty]]) / tbl_kpi[[#This Row],[ExpectedQty]]))</f>
        <v>1</v>
      </c>
      <c r="I654" s="2" t="str">
        <f>IF(tbl_kpi[[#This Row],[AccuracyPct]] &lt; 0.98, "Y", "N")</f>
        <v>N</v>
      </c>
    </row>
    <row r="655" spans="1:9">
      <c r="A655" s="2">
        <v>760</v>
      </c>
      <c r="B655" s="2">
        <v>7</v>
      </c>
      <c r="C655" s="2" t="str">
        <f>_xlfn.XLOOKUP(tbl_kpi[[#This Row],[LocationID]], tbl_location[LocationID], tbl_location[LocationName], "UNMAPPED_LOCATION")</f>
        <v>Finished Goods Storage</v>
      </c>
      <c r="D655" s="2">
        <v>99</v>
      </c>
      <c r="E655" s="2">
        <v>101</v>
      </c>
      <c r="F655" s="2">
        <f>tbl_kpi[[#This Row],[OnHandQty]]</f>
        <v>99</v>
      </c>
      <c r="G655" s="2">
        <f>tbl_kpi[[#This Row],[CountedQty]]-tbl_kpi[[#This Row],[ExpectedQty]]</f>
        <v>2</v>
      </c>
      <c r="H655" s="2">
        <f>IF(tbl_kpi[[#This Row],[ExpectedQty]]=0, 1, MAX(0, 1 - ABS(tbl_kpi[[#This Row],[VarianceQty]]) / tbl_kpi[[#This Row],[ExpectedQty]]))</f>
        <v>0.97979797979797978</v>
      </c>
      <c r="I655" s="2" t="str">
        <f>IF(tbl_kpi[[#This Row],[AccuracyPct]] &lt; 0.98, "Y", "N")</f>
        <v>Y</v>
      </c>
    </row>
    <row r="656" spans="1:9">
      <c r="A656" s="2">
        <v>760</v>
      </c>
      <c r="B656" s="2">
        <v>60</v>
      </c>
      <c r="C656" s="2" t="str">
        <f>_xlfn.XLOOKUP(tbl_kpi[[#This Row],[LocationID]], tbl_location[LocationID], tbl_location[LocationName], "UNMAPPED_LOCATION")</f>
        <v>Final Assembly</v>
      </c>
      <c r="D656" s="2">
        <v>86</v>
      </c>
      <c r="E656" s="2">
        <v>88</v>
      </c>
      <c r="F656" s="2">
        <f>tbl_kpi[[#This Row],[OnHandQty]]</f>
        <v>86</v>
      </c>
      <c r="G656" s="2">
        <f>tbl_kpi[[#This Row],[CountedQty]]-tbl_kpi[[#This Row],[ExpectedQty]]</f>
        <v>2</v>
      </c>
      <c r="H656" s="2">
        <f>IF(tbl_kpi[[#This Row],[ExpectedQty]]=0, 1, MAX(0, 1 - ABS(tbl_kpi[[#This Row],[VarianceQty]]) / tbl_kpi[[#This Row],[ExpectedQty]]))</f>
        <v>0.97674418604651159</v>
      </c>
      <c r="I656" s="2" t="str">
        <f>IF(tbl_kpi[[#This Row],[AccuracyPct]] &lt; 0.98, "Y", "N")</f>
        <v>Y</v>
      </c>
    </row>
    <row r="657" spans="1:9">
      <c r="A657" s="2">
        <v>761</v>
      </c>
      <c r="B657" s="2">
        <v>7</v>
      </c>
      <c r="C657" s="2" t="str">
        <f>_xlfn.XLOOKUP(tbl_kpi[[#This Row],[LocationID]], tbl_location[LocationID], tbl_location[LocationName], "UNMAPPED_LOCATION")</f>
        <v>Finished Goods Storage</v>
      </c>
      <c r="D657" s="2">
        <v>67</v>
      </c>
      <c r="E657" s="2">
        <v>68</v>
      </c>
      <c r="F657" s="2">
        <f>tbl_kpi[[#This Row],[OnHandQty]]</f>
        <v>67</v>
      </c>
      <c r="G657" s="2">
        <f>tbl_kpi[[#This Row],[CountedQty]]-tbl_kpi[[#This Row],[ExpectedQty]]</f>
        <v>1</v>
      </c>
      <c r="H657" s="2">
        <f>IF(tbl_kpi[[#This Row],[ExpectedQty]]=0, 1, MAX(0, 1 - ABS(tbl_kpi[[#This Row],[VarianceQty]]) / tbl_kpi[[#This Row],[ExpectedQty]]))</f>
        <v>0.9850746268656716</v>
      </c>
      <c r="I657" s="2" t="str">
        <f>IF(tbl_kpi[[#This Row],[AccuracyPct]] &lt; 0.98, "Y", "N")</f>
        <v>N</v>
      </c>
    </row>
    <row r="658" spans="1:9">
      <c r="A658" s="2">
        <v>761</v>
      </c>
      <c r="B658" s="2">
        <v>60</v>
      </c>
      <c r="C658" s="2" t="str">
        <f>_xlfn.XLOOKUP(tbl_kpi[[#This Row],[LocationID]], tbl_location[LocationID], tbl_location[LocationName], "UNMAPPED_LOCATION")</f>
        <v>Final Assembly</v>
      </c>
      <c r="D658" s="2">
        <v>81</v>
      </c>
      <c r="E658" s="2">
        <v>79</v>
      </c>
      <c r="F658" s="2">
        <f>tbl_kpi[[#This Row],[OnHandQty]]</f>
        <v>81</v>
      </c>
      <c r="G658" s="2">
        <f>tbl_kpi[[#This Row],[CountedQty]]-tbl_kpi[[#This Row],[ExpectedQty]]</f>
        <v>-2</v>
      </c>
      <c r="H658" s="2">
        <f>IF(tbl_kpi[[#This Row],[ExpectedQty]]=0, 1, MAX(0, 1 - ABS(tbl_kpi[[#This Row],[VarianceQty]]) / tbl_kpi[[#This Row],[ExpectedQty]]))</f>
        <v>0.97530864197530864</v>
      </c>
      <c r="I658" s="2" t="str">
        <f>IF(tbl_kpi[[#This Row],[AccuracyPct]] &lt; 0.98, "Y", "N")</f>
        <v>Y</v>
      </c>
    </row>
    <row r="659" spans="1:9">
      <c r="A659" s="2">
        <v>762</v>
      </c>
      <c r="B659" s="2">
        <v>7</v>
      </c>
      <c r="C659" s="2" t="str">
        <f>_xlfn.XLOOKUP(tbl_kpi[[#This Row],[LocationID]], tbl_location[LocationID], tbl_location[LocationName], "UNMAPPED_LOCATION")</f>
        <v>Finished Goods Storage</v>
      </c>
      <c r="D659" s="2">
        <v>75</v>
      </c>
      <c r="E659" s="2">
        <v>75</v>
      </c>
      <c r="F659" s="2">
        <f>tbl_kpi[[#This Row],[OnHandQty]]</f>
        <v>75</v>
      </c>
      <c r="G659" s="2">
        <f>tbl_kpi[[#This Row],[CountedQty]]-tbl_kpi[[#This Row],[ExpectedQty]]</f>
        <v>0</v>
      </c>
      <c r="H659" s="2">
        <f>IF(tbl_kpi[[#This Row],[ExpectedQty]]=0, 1, MAX(0, 1 - ABS(tbl_kpi[[#This Row],[VarianceQty]]) / tbl_kpi[[#This Row],[ExpectedQty]]))</f>
        <v>1</v>
      </c>
      <c r="I659" s="2" t="str">
        <f>IF(tbl_kpi[[#This Row],[AccuracyPct]] &lt; 0.98, "Y", "N")</f>
        <v>N</v>
      </c>
    </row>
    <row r="660" spans="1:9">
      <c r="A660" s="2">
        <v>762</v>
      </c>
      <c r="B660" s="2">
        <v>60</v>
      </c>
      <c r="C660" s="2" t="str">
        <f>_xlfn.XLOOKUP(tbl_kpi[[#This Row],[LocationID]], tbl_location[LocationID], tbl_location[LocationName], "UNMAPPED_LOCATION")</f>
        <v>Final Assembly</v>
      </c>
      <c r="D660" s="2">
        <v>62</v>
      </c>
      <c r="E660" s="2">
        <v>63</v>
      </c>
      <c r="F660" s="2">
        <f>tbl_kpi[[#This Row],[OnHandQty]]</f>
        <v>62</v>
      </c>
      <c r="G660" s="2">
        <f>tbl_kpi[[#This Row],[CountedQty]]-tbl_kpi[[#This Row],[ExpectedQty]]</f>
        <v>1</v>
      </c>
      <c r="H660" s="2">
        <f>IF(tbl_kpi[[#This Row],[ExpectedQty]]=0, 1, MAX(0, 1 - ABS(tbl_kpi[[#This Row],[VarianceQty]]) / tbl_kpi[[#This Row],[ExpectedQty]]))</f>
        <v>0.9838709677419355</v>
      </c>
      <c r="I660" s="2" t="str">
        <f>IF(tbl_kpi[[#This Row],[AccuracyPct]] &lt; 0.98, "Y", "N")</f>
        <v>N</v>
      </c>
    </row>
    <row r="661" spans="1:9">
      <c r="A661" s="2">
        <v>763</v>
      </c>
      <c r="B661" s="2">
        <v>7</v>
      </c>
      <c r="C661" s="2" t="str">
        <f>_xlfn.XLOOKUP(tbl_kpi[[#This Row],[LocationID]], tbl_location[LocationID], tbl_location[LocationName], "UNMAPPED_LOCATION")</f>
        <v>Finished Goods Storage</v>
      </c>
      <c r="D661" s="2">
        <v>102</v>
      </c>
      <c r="E661" s="2">
        <v>104</v>
      </c>
      <c r="F661" s="2">
        <f>tbl_kpi[[#This Row],[OnHandQty]]</f>
        <v>102</v>
      </c>
      <c r="G661" s="2">
        <f>tbl_kpi[[#This Row],[CountedQty]]-tbl_kpi[[#This Row],[ExpectedQty]]</f>
        <v>2</v>
      </c>
      <c r="H661" s="2">
        <f>IF(tbl_kpi[[#This Row],[ExpectedQty]]=0, 1, MAX(0, 1 - ABS(tbl_kpi[[#This Row],[VarianceQty]]) / tbl_kpi[[#This Row],[ExpectedQty]]))</f>
        <v>0.98039215686274506</v>
      </c>
      <c r="I661" s="2" t="str">
        <f>IF(tbl_kpi[[#This Row],[AccuracyPct]] &lt; 0.98, "Y", "N")</f>
        <v>N</v>
      </c>
    </row>
    <row r="662" spans="1:9">
      <c r="A662" s="2">
        <v>763</v>
      </c>
      <c r="B662" s="2">
        <v>60</v>
      </c>
      <c r="C662" s="2" t="str">
        <f>_xlfn.XLOOKUP(tbl_kpi[[#This Row],[LocationID]], tbl_location[LocationID], tbl_location[LocationName], "UNMAPPED_LOCATION")</f>
        <v>Final Assembly</v>
      </c>
      <c r="D662" s="2">
        <v>121</v>
      </c>
      <c r="E662" s="2">
        <v>121</v>
      </c>
      <c r="F662" s="2">
        <f>tbl_kpi[[#This Row],[OnHandQty]]</f>
        <v>121</v>
      </c>
      <c r="G662" s="2">
        <f>tbl_kpi[[#This Row],[CountedQty]]-tbl_kpi[[#This Row],[ExpectedQty]]</f>
        <v>0</v>
      </c>
      <c r="H662" s="2">
        <f>IF(tbl_kpi[[#This Row],[ExpectedQty]]=0, 1, MAX(0, 1 - ABS(tbl_kpi[[#This Row],[VarianceQty]]) / tbl_kpi[[#This Row],[ExpectedQty]]))</f>
        <v>1</v>
      </c>
      <c r="I662" s="2" t="str">
        <f>IF(tbl_kpi[[#This Row],[AccuracyPct]] &lt; 0.98, "Y", "N")</f>
        <v>N</v>
      </c>
    </row>
    <row r="663" spans="1:9">
      <c r="A663" s="2">
        <v>764</v>
      </c>
      <c r="B663" s="2">
        <v>7</v>
      </c>
      <c r="C663" s="2" t="str">
        <f>_xlfn.XLOOKUP(tbl_kpi[[#This Row],[LocationID]], tbl_location[LocationID], tbl_location[LocationName], "UNMAPPED_LOCATION")</f>
        <v>Finished Goods Storage</v>
      </c>
      <c r="D663" s="2">
        <v>32</v>
      </c>
      <c r="E663" s="2">
        <v>32</v>
      </c>
      <c r="F663" s="2">
        <f>tbl_kpi[[#This Row],[OnHandQty]]</f>
        <v>32</v>
      </c>
      <c r="G663" s="2">
        <f>tbl_kpi[[#This Row],[CountedQty]]-tbl_kpi[[#This Row],[ExpectedQty]]</f>
        <v>0</v>
      </c>
      <c r="H663" s="2">
        <f>IF(tbl_kpi[[#This Row],[ExpectedQty]]=0, 1, MAX(0, 1 - ABS(tbl_kpi[[#This Row],[VarianceQty]]) / tbl_kpi[[#This Row],[ExpectedQty]]))</f>
        <v>1</v>
      </c>
      <c r="I663" s="2" t="str">
        <f>IF(tbl_kpi[[#This Row],[AccuracyPct]] &lt; 0.98, "Y", "N")</f>
        <v>N</v>
      </c>
    </row>
    <row r="664" spans="1:9">
      <c r="A664" s="2">
        <v>764</v>
      </c>
      <c r="B664" s="2">
        <v>60</v>
      </c>
      <c r="C664" s="2" t="str">
        <f>_xlfn.XLOOKUP(tbl_kpi[[#This Row],[LocationID]], tbl_location[LocationID], tbl_location[LocationName], "UNMAPPED_LOCATION")</f>
        <v>Final Assembly</v>
      </c>
      <c r="D664" s="2">
        <v>108</v>
      </c>
      <c r="E664" s="2">
        <v>108</v>
      </c>
      <c r="F664" s="2">
        <f>tbl_kpi[[#This Row],[OnHandQty]]</f>
        <v>108</v>
      </c>
      <c r="G664" s="2">
        <f>tbl_kpi[[#This Row],[CountedQty]]-tbl_kpi[[#This Row],[ExpectedQty]]</f>
        <v>0</v>
      </c>
      <c r="H664" s="2">
        <f>IF(tbl_kpi[[#This Row],[ExpectedQty]]=0, 1, MAX(0, 1 - ABS(tbl_kpi[[#This Row],[VarianceQty]]) / tbl_kpi[[#This Row],[ExpectedQty]]))</f>
        <v>1</v>
      </c>
      <c r="I664" s="2" t="str">
        <f>IF(tbl_kpi[[#This Row],[AccuracyPct]] &lt; 0.98, "Y", "N")</f>
        <v>N</v>
      </c>
    </row>
    <row r="665" spans="1:9">
      <c r="A665" s="2">
        <v>765</v>
      </c>
      <c r="B665" s="2">
        <v>7</v>
      </c>
      <c r="C665" s="2" t="str">
        <f>_xlfn.XLOOKUP(tbl_kpi[[#This Row],[LocationID]], tbl_location[LocationID], tbl_location[LocationName], "UNMAPPED_LOCATION")</f>
        <v>Finished Goods Storage</v>
      </c>
      <c r="D665" s="2">
        <v>56</v>
      </c>
      <c r="E665" s="2">
        <v>56</v>
      </c>
      <c r="F665" s="2">
        <f>tbl_kpi[[#This Row],[OnHandQty]]</f>
        <v>56</v>
      </c>
      <c r="G665" s="2">
        <f>tbl_kpi[[#This Row],[CountedQty]]-tbl_kpi[[#This Row],[ExpectedQty]]</f>
        <v>0</v>
      </c>
      <c r="H665" s="2">
        <f>IF(tbl_kpi[[#This Row],[ExpectedQty]]=0, 1, MAX(0, 1 - ABS(tbl_kpi[[#This Row],[VarianceQty]]) / tbl_kpi[[#This Row],[ExpectedQty]]))</f>
        <v>1</v>
      </c>
      <c r="I665" s="2" t="str">
        <f>IF(tbl_kpi[[#This Row],[AccuracyPct]] &lt; 0.98, "Y", "N")</f>
        <v>N</v>
      </c>
    </row>
    <row r="666" spans="1:9">
      <c r="A666" s="2">
        <v>765</v>
      </c>
      <c r="B666" s="2">
        <v>60</v>
      </c>
      <c r="C666" s="2" t="str">
        <f>_xlfn.XLOOKUP(tbl_kpi[[#This Row],[LocationID]], tbl_location[LocationID], tbl_location[LocationName], "UNMAPPED_LOCATION")</f>
        <v>Final Assembly</v>
      </c>
      <c r="D666" s="2">
        <v>78</v>
      </c>
      <c r="E666" s="2">
        <v>78</v>
      </c>
      <c r="F666" s="2">
        <f>tbl_kpi[[#This Row],[OnHandQty]]</f>
        <v>78</v>
      </c>
      <c r="G666" s="2">
        <f>tbl_kpi[[#This Row],[CountedQty]]-tbl_kpi[[#This Row],[ExpectedQty]]</f>
        <v>0</v>
      </c>
      <c r="H666" s="2">
        <f>IF(tbl_kpi[[#This Row],[ExpectedQty]]=0, 1, MAX(0, 1 - ABS(tbl_kpi[[#This Row],[VarianceQty]]) / tbl_kpi[[#This Row],[ExpectedQty]]))</f>
        <v>1</v>
      </c>
      <c r="I666" s="2" t="str">
        <f>IF(tbl_kpi[[#This Row],[AccuracyPct]] &lt; 0.98, "Y", "N")</f>
        <v>N</v>
      </c>
    </row>
    <row r="667" spans="1:9">
      <c r="A667" s="2">
        <v>766</v>
      </c>
      <c r="B667" s="2">
        <v>7</v>
      </c>
      <c r="C667" s="2" t="str">
        <f>_xlfn.XLOOKUP(tbl_kpi[[#This Row],[LocationID]], tbl_location[LocationID], tbl_location[LocationName], "UNMAPPED_LOCATION")</f>
        <v>Finished Goods Storage</v>
      </c>
      <c r="D667" s="2">
        <v>116</v>
      </c>
      <c r="E667" s="2">
        <v>113</v>
      </c>
      <c r="F667" s="2">
        <f>tbl_kpi[[#This Row],[OnHandQty]]</f>
        <v>116</v>
      </c>
      <c r="G667" s="2">
        <f>tbl_kpi[[#This Row],[CountedQty]]-tbl_kpi[[#This Row],[ExpectedQty]]</f>
        <v>-3</v>
      </c>
      <c r="H667" s="2">
        <f>IF(tbl_kpi[[#This Row],[ExpectedQty]]=0, 1, MAX(0, 1 - ABS(tbl_kpi[[#This Row],[VarianceQty]]) / tbl_kpi[[#This Row],[ExpectedQty]]))</f>
        <v>0.97413793103448276</v>
      </c>
      <c r="I667" s="2" t="str">
        <f>IF(tbl_kpi[[#This Row],[AccuracyPct]] &lt; 0.98, "Y", "N")</f>
        <v>Y</v>
      </c>
    </row>
    <row r="668" spans="1:9">
      <c r="A668" s="2">
        <v>766</v>
      </c>
      <c r="B668" s="2">
        <v>60</v>
      </c>
      <c r="C668" s="2" t="str">
        <f>_xlfn.XLOOKUP(tbl_kpi[[#This Row],[LocationID]], tbl_location[LocationID], tbl_location[LocationName], "UNMAPPED_LOCATION")</f>
        <v>Final Assembly</v>
      </c>
      <c r="D668" s="2">
        <v>49</v>
      </c>
      <c r="E668" s="2">
        <v>48</v>
      </c>
      <c r="F668" s="2">
        <f>tbl_kpi[[#This Row],[OnHandQty]]</f>
        <v>49</v>
      </c>
      <c r="G668" s="2">
        <f>tbl_kpi[[#This Row],[CountedQty]]-tbl_kpi[[#This Row],[ExpectedQty]]</f>
        <v>-1</v>
      </c>
      <c r="H668" s="2">
        <f>IF(tbl_kpi[[#This Row],[ExpectedQty]]=0, 1, MAX(0, 1 - ABS(tbl_kpi[[#This Row],[VarianceQty]]) / tbl_kpi[[#This Row],[ExpectedQty]]))</f>
        <v>0.97959183673469385</v>
      </c>
      <c r="I668" s="2" t="str">
        <f>IF(tbl_kpi[[#This Row],[AccuracyPct]] &lt; 0.98, "Y", "N")</f>
        <v>Y</v>
      </c>
    </row>
    <row r="669" spans="1:9">
      <c r="A669" s="2">
        <v>767</v>
      </c>
      <c r="B669" s="2">
        <v>7</v>
      </c>
      <c r="C669" s="2" t="str">
        <f>_xlfn.XLOOKUP(tbl_kpi[[#This Row],[LocationID]], tbl_location[LocationID], tbl_location[LocationName], "UNMAPPED_LOCATION")</f>
        <v>Finished Goods Storage</v>
      </c>
      <c r="D669" s="2">
        <v>100</v>
      </c>
      <c r="E669" s="2">
        <v>100</v>
      </c>
      <c r="F669" s="2">
        <f>tbl_kpi[[#This Row],[OnHandQty]]</f>
        <v>100</v>
      </c>
      <c r="G669" s="2">
        <f>tbl_kpi[[#This Row],[CountedQty]]-tbl_kpi[[#This Row],[ExpectedQty]]</f>
        <v>0</v>
      </c>
      <c r="H669" s="2">
        <f>IF(tbl_kpi[[#This Row],[ExpectedQty]]=0, 1, MAX(0, 1 - ABS(tbl_kpi[[#This Row],[VarianceQty]]) / tbl_kpi[[#This Row],[ExpectedQty]]))</f>
        <v>1</v>
      </c>
      <c r="I669" s="2" t="str">
        <f>IF(tbl_kpi[[#This Row],[AccuracyPct]] &lt; 0.98, "Y", "N")</f>
        <v>N</v>
      </c>
    </row>
    <row r="670" spans="1:9">
      <c r="A670" s="2">
        <v>767</v>
      </c>
      <c r="B670" s="2">
        <v>60</v>
      </c>
      <c r="C670" s="2" t="str">
        <f>_xlfn.XLOOKUP(tbl_kpi[[#This Row],[LocationID]], tbl_location[LocationID], tbl_location[LocationName], "UNMAPPED_LOCATION")</f>
        <v>Final Assembly</v>
      </c>
      <c r="D670" s="2">
        <v>88</v>
      </c>
      <c r="E670" s="2">
        <v>91</v>
      </c>
      <c r="F670" s="2">
        <f>tbl_kpi[[#This Row],[OnHandQty]]</f>
        <v>88</v>
      </c>
      <c r="G670" s="2">
        <f>tbl_kpi[[#This Row],[CountedQty]]-tbl_kpi[[#This Row],[ExpectedQty]]</f>
        <v>3</v>
      </c>
      <c r="H670" s="2">
        <f>IF(tbl_kpi[[#This Row],[ExpectedQty]]=0, 1, MAX(0, 1 - ABS(tbl_kpi[[#This Row],[VarianceQty]]) / tbl_kpi[[#This Row],[ExpectedQty]]))</f>
        <v>0.96590909090909094</v>
      </c>
      <c r="I670" s="2" t="str">
        <f>IF(tbl_kpi[[#This Row],[AccuracyPct]] &lt; 0.98, "Y", "N")</f>
        <v>Y</v>
      </c>
    </row>
    <row r="671" spans="1:9">
      <c r="A671" s="2">
        <v>768</v>
      </c>
      <c r="B671" s="2">
        <v>7</v>
      </c>
      <c r="C671" s="2" t="str">
        <f>_xlfn.XLOOKUP(tbl_kpi[[#This Row],[LocationID]], tbl_location[LocationID], tbl_location[LocationName], "UNMAPPED_LOCATION")</f>
        <v>Finished Goods Storage</v>
      </c>
      <c r="D671" s="2">
        <v>67</v>
      </c>
      <c r="E671" s="2">
        <v>69</v>
      </c>
      <c r="F671" s="2">
        <f>tbl_kpi[[#This Row],[OnHandQty]]</f>
        <v>67</v>
      </c>
      <c r="G671" s="2">
        <f>tbl_kpi[[#This Row],[CountedQty]]-tbl_kpi[[#This Row],[ExpectedQty]]</f>
        <v>2</v>
      </c>
      <c r="H671" s="2">
        <f>IF(tbl_kpi[[#This Row],[ExpectedQty]]=0, 1, MAX(0, 1 - ABS(tbl_kpi[[#This Row],[VarianceQty]]) / tbl_kpi[[#This Row],[ExpectedQty]]))</f>
        <v>0.97014925373134331</v>
      </c>
      <c r="I671" s="2" t="str">
        <f>IF(tbl_kpi[[#This Row],[AccuracyPct]] &lt; 0.98, "Y", "N")</f>
        <v>Y</v>
      </c>
    </row>
    <row r="672" spans="1:9">
      <c r="A672" s="2">
        <v>768</v>
      </c>
      <c r="B672" s="2">
        <v>60</v>
      </c>
      <c r="C672" s="2" t="str">
        <f>_xlfn.XLOOKUP(tbl_kpi[[#This Row],[LocationID]], tbl_location[LocationID], tbl_location[LocationName], "UNMAPPED_LOCATION")</f>
        <v>Final Assembly</v>
      </c>
      <c r="D672" s="2">
        <v>81</v>
      </c>
      <c r="E672" s="2">
        <v>83</v>
      </c>
      <c r="F672" s="2">
        <f>tbl_kpi[[#This Row],[OnHandQty]]</f>
        <v>81</v>
      </c>
      <c r="G672" s="2">
        <f>tbl_kpi[[#This Row],[CountedQty]]-tbl_kpi[[#This Row],[ExpectedQty]]</f>
        <v>2</v>
      </c>
      <c r="H672" s="2">
        <f>IF(tbl_kpi[[#This Row],[ExpectedQty]]=0, 1, MAX(0, 1 - ABS(tbl_kpi[[#This Row],[VarianceQty]]) / tbl_kpi[[#This Row],[ExpectedQty]]))</f>
        <v>0.97530864197530864</v>
      </c>
      <c r="I672" s="2" t="str">
        <f>IF(tbl_kpi[[#This Row],[AccuracyPct]] &lt; 0.98, "Y", "N")</f>
        <v>Y</v>
      </c>
    </row>
    <row r="673" spans="1:9">
      <c r="A673" s="2">
        <v>769</v>
      </c>
      <c r="B673" s="2">
        <v>7</v>
      </c>
      <c r="C673" s="2" t="str">
        <f>_xlfn.XLOOKUP(tbl_kpi[[#This Row],[LocationID]], tbl_location[LocationID], tbl_location[LocationName], "UNMAPPED_LOCATION")</f>
        <v>Finished Goods Storage</v>
      </c>
      <c r="D673" s="2">
        <v>73</v>
      </c>
      <c r="E673" s="2">
        <v>75</v>
      </c>
      <c r="F673" s="2">
        <f>tbl_kpi[[#This Row],[OnHandQty]]</f>
        <v>73</v>
      </c>
      <c r="G673" s="2">
        <f>tbl_kpi[[#This Row],[CountedQty]]-tbl_kpi[[#This Row],[ExpectedQty]]</f>
        <v>2</v>
      </c>
      <c r="H673" s="2">
        <f>IF(tbl_kpi[[#This Row],[ExpectedQty]]=0, 1, MAX(0, 1 - ABS(tbl_kpi[[#This Row],[VarianceQty]]) / tbl_kpi[[#This Row],[ExpectedQty]]))</f>
        <v>0.9726027397260274</v>
      </c>
      <c r="I673" s="2" t="str">
        <f>IF(tbl_kpi[[#This Row],[AccuracyPct]] &lt; 0.98, "Y", "N")</f>
        <v>Y</v>
      </c>
    </row>
    <row r="674" spans="1:9">
      <c r="A674" s="2">
        <v>769</v>
      </c>
      <c r="B674" s="2">
        <v>60</v>
      </c>
      <c r="C674" s="2" t="str">
        <f>_xlfn.XLOOKUP(tbl_kpi[[#This Row],[LocationID]], tbl_location[LocationID], tbl_location[LocationName], "UNMAPPED_LOCATION")</f>
        <v>Final Assembly</v>
      </c>
      <c r="D674" s="2">
        <v>60</v>
      </c>
      <c r="E674" s="2">
        <v>62</v>
      </c>
      <c r="F674" s="2">
        <f>tbl_kpi[[#This Row],[OnHandQty]]</f>
        <v>60</v>
      </c>
      <c r="G674" s="2">
        <f>tbl_kpi[[#This Row],[CountedQty]]-tbl_kpi[[#This Row],[ExpectedQty]]</f>
        <v>2</v>
      </c>
      <c r="H674" s="2">
        <f>IF(tbl_kpi[[#This Row],[ExpectedQty]]=0, 1, MAX(0, 1 - ABS(tbl_kpi[[#This Row],[VarianceQty]]) / tbl_kpi[[#This Row],[ExpectedQty]]))</f>
        <v>0.96666666666666667</v>
      </c>
      <c r="I674" s="2" t="str">
        <f>IF(tbl_kpi[[#This Row],[AccuracyPct]] &lt; 0.98, "Y", "N")</f>
        <v>Y</v>
      </c>
    </row>
    <row r="675" spans="1:9">
      <c r="A675" s="2">
        <v>770</v>
      </c>
      <c r="B675" s="2">
        <v>7</v>
      </c>
      <c r="C675" s="2" t="str">
        <f>_xlfn.XLOOKUP(tbl_kpi[[#This Row],[LocationID]], tbl_location[LocationID], tbl_location[LocationName], "UNMAPPED_LOCATION")</f>
        <v>Finished Goods Storage</v>
      </c>
      <c r="D675" s="2">
        <v>104</v>
      </c>
      <c r="E675" s="2">
        <v>102</v>
      </c>
      <c r="F675" s="2">
        <f>tbl_kpi[[#This Row],[OnHandQty]]</f>
        <v>104</v>
      </c>
      <c r="G675" s="2">
        <f>tbl_kpi[[#This Row],[CountedQty]]-tbl_kpi[[#This Row],[ExpectedQty]]</f>
        <v>-2</v>
      </c>
      <c r="H675" s="2">
        <f>IF(tbl_kpi[[#This Row],[ExpectedQty]]=0, 1, MAX(0, 1 - ABS(tbl_kpi[[#This Row],[VarianceQty]]) / tbl_kpi[[#This Row],[ExpectedQty]]))</f>
        <v>0.98076923076923073</v>
      </c>
      <c r="I675" s="2" t="str">
        <f>IF(tbl_kpi[[#This Row],[AccuracyPct]] &lt; 0.98, "Y", "N")</f>
        <v>N</v>
      </c>
    </row>
    <row r="676" spans="1:9">
      <c r="A676" s="2">
        <v>770</v>
      </c>
      <c r="B676" s="2">
        <v>60</v>
      </c>
      <c r="C676" s="2" t="str">
        <f>_xlfn.XLOOKUP(tbl_kpi[[#This Row],[LocationID]], tbl_location[LocationID], tbl_location[LocationName], "UNMAPPED_LOCATION")</f>
        <v>Final Assembly</v>
      </c>
      <c r="D676" s="2">
        <v>123</v>
      </c>
      <c r="E676" s="2">
        <v>123</v>
      </c>
      <c r="F676" s="2">
        <f>tbl_kpi[[#This Row],[OnHandQty]]</f>
        <v>123</v>
      </c>
      <c r="G676" s="2">
        <f>tbl_kpi[[#This Row],[CountedQty]]-tbl_kpi[[#This Row],[ExpectedQty]]</f>
        <v>0</v>
      </c>
      <c r="H676" s="2">
        <f>IF(tbl_kpi[[#This Row],[ExpectedQty]]=0, 1, MAX(0, 1 - ABS(tbl_kpi[[#This Row],[VarianceQty]]) / tbl_kpi[[#This Row],[ExpectedQty]]))</f>
        <v>1</v>
      </c>
      <c r="I676" s="2" t="str">
        <f>IF(tbl_kpi[[#This Row],[AccuracyPct]] &lt; 0.98, "Y", "N")</f>
        <v>N</v>
      </c>
    </row>
    <row r="677" spans="1:9">
      <c r="A677" s="2">
        <v>771</v>
      </c>
      <c r="B677" s="2">
        <v>7</v>
      </c>
      <c r="C677" s="2" t="str">
        <f>_xlfn.XLOOKUP(tbl_kpi[[#This Row],[LocationID]], tbl_location[LocationID], tbl_location[LocationName], "UNMAPPED_LOCATION")</f>
        <v>Finished Goods Storage</v>
      </c>
      <c r="D677" s="2">
        <v>49</v>
      </c>
      <c r="E677" s="2">
        <v>49</v>
      </c>
      <c r="F677" s="2">
        <f>tbl_kpi[[#This Row],[OnHandQty]]</f>
        <v>49</v>
      </c>
      <c r="G677" s="2">
        <f>tbl_kpi[[#This Row],[CountedQty]]-tbl_kpi[[#This Row],[ExpectedQty]]</f>
        <v>0</v>
      </c>
      <c r="H677" s="2">
        <f>IF(tbl_kpi[[#This Row],[ExpectedQty]]=0, 1, MAX(0, 1 - ABS(tbl_kpi[[#This Row],[VarianceQty]]) / tbl_kpi[[#This Row],[ExpectedQty]]))</f>
        <v>1</v>
      </c>
      <c r="I677" s="2" t="str">
        <f>IF(tbl_kpi[[#This Row],[AccuracyPct]] &lt; 0.98, "Y", "N")</f>
        <v>N</v>
      </c>
    </row>
    <row r="678" spans="1:9">
      <c r="A678" s="2">
        <v>771</v>
      </c>
      <c r="B678" s="2">
        <v>60</v>
      </c>
      <c r="C678" s="2" t="str">
        <f>_xlfn.XLOOKUP(tbl_kpi[[#This Row],[LocationID]], tbl_location[LocationID], tbl_location[LocationName], "UNMAPPED_LOCATION")</f>
        <v>Final Assembly</v>
      </c>
      <c r="D678" s="2">
        <v>100</v>
      </c>
      <c r="E678" s="2">
        <v>101</v>
      </c>
      <c r="F678" s="2">
        <f>tbl_kpi[[#This Row],[OnHandQty]]</f>
        <v>100</v>
      </c>
      <c r="G678" s="2">
        <f>tbl_kpi[[#This Row],[CountedQty]]-tbl_kpi[[#This Row],[ExpectedQty]]</f>
        <v>1</v>
      </c>
      <c r="H678" s="2">
        <f>IF(tbl_kpi[[#This Row],[ExpectedQty]]=0, 1, MAX(0, 1 - ABS(tbl_kpi[[#This Row],[VarianceQty]]) / tbl_kpi[[#This Row],[ExpectedQty]]))</f>
        <v>0.99</v>
      </c>
      <c r="I678" s="2" t="str">
        <f>IF(tbl_kpi[[#This Row],[AccuracyPct]] &lt; 0.98, "Y", "N")</f>
        <v>N</v>
      </c>
    </row>
    <row r="679" spans="1:9">
      <c r="A679" s="2">
        <v>772</v>
      </c>
      <c r="B679" s="2">
        <v>7</v>
      </c>
      <c r="C679" s="2" t="str">
        <f>_xlfn.XLOOKUP(tbl_kpi[[#This Row],[LocationID]], tbl_location[LocationID], tbl_location[LocationName], "UNMAPPED_LOCATION")</f>
        <v>Finished Goods Storage</v>
      </c>
      <c r="D679" s="2">
        <v>88</v>
      </c>
      <c r="E679" s="2">
        <v>86</v>
      </c>
      <c r="F679" s="2">
        <f>tbl_kpi[[#This Row],[OnHandQty]]</f>
        <v>88</v>
      </c>
      <c r="G679" s="2">
        <f>tbl_kpi[[#This Row],[CountedQty]]-tbl_kpi[[#This Row],[ExpectedQty]]</f>
        <v>-2</v>
      </c>
      <c r="H679" s="2">
        <f>IF(tbl_kpi[[#This Row],[ExpectedQty]]=0, 1, MAX(0, 1 - ABS(tbl_kpi[[#This Row],[VarianceQty]]) / tbl_kpi[[#This Row],[ExpectedQty]]))</f>
        <v>0.97727272727272729</v>
      </c>
      <c r="I679" s="2" t="str">
        <f>IF(tbl_kpi[[#This Row],[AccuracyPct]] &lt; 0.98, "Y", "N")</f>
        <v>Y</v>
      </c>
    </row>
    <row r="680" spans="1:9">
      <c r="A680" s="2">
        <v>772</v>
      </c>
      <c r="B680" s="2">
        <v>60</v>
      </c>
      <c r="C680" s="2" t="str">
        <f>_xlfn.XLOOKUP(tbl_kpi[[#This Row],[LocationID]], tbl_location[LocationID], tbl_location[LocationName], "UNMAPPED_LOCATION")</f>
        <v>Final Assembly</v>
      </c>
      <c r="D680" s="2">
        <v>65</v>
      </c>
      <c r="E680" s="2">
        <v>65</v>
      </c>
      <c r="F680" s="2">
        <f>tbl_kpi[[#This Row],[OnHandQty]]</f>
        <v>65</v>
      </c>
      <c r="G680" s="2">
        <f>tbl_kpi[[#This Row],[CountedQty]]-tbl_kpi[[#This Row],[ExpectedQty]]</f>
        <v>0</v>
      </c>
      <c r="H680" s="2">
        <f>IF(tbl_kpi[[#This Row],[ExpectedQty]]=0, 1, MAX(0, 1 - ABS(tbl_kpi[[#This Row],[VarianceQty]]) / tbl_kpi[[#This Row],[ExpectedQty]]))</f>
        <v>1</v>
      </c>
      <c r="I680" s="2" t="str">
        <f>IF(tbl_kpi[[#This Row],[AccuracyPct]] &lt; 0.98, "Y", "N")</f>
        <v>N</v>
      </c>
    </row>
    <row r="681" spans="1:9">
      <c r="A681" s="2">
        <v>773</v>
      </c>
      <c r="B681" s="2">
        <v>7</v>
      </c>
      <c r="C681" s="2" t="str">
        <f>_xlfn.XLOOKUP(tbl_kpi[[#This Row],[LocationID]], tbl_location[LocationID], tbl_location[LocationName], "UNMAPPED_LOCATION")</f>
        <v>Finished Goods Storage</v>
      </c>
      <c r="D681" s="2">
        <v>83</v>
      </c>
      <c r="E681" s="2">
        <v>83</v>
      </c>
      <c r="F681" s="2">
        <f>tbl_kpi[[#This Row],[OnHandQty]]</f>
        <v>83</v>
      </c>
      <c r="G681" s="2">
        <f>tbl_kpi[[#This Row],[CountedQty]]-tbl_kpi[[#This Row],[ExpectedQty]]</f>
        <v>0</v>
      </c>
      <c r="H681" s="2">
        <f>IF(tbl_kpi[[#This Row],[ExpectedQty]]=0, 1, MAX(0, 1 - ABS(tbl_kpi[[#This Row],[VarianceQty]]) / tbl_kpi[[#This Row],[ExpectedQty]]))</f>
        <v>1</v>
      </c>
      <c r="I681" s="2" t="str">
        <f>IF(tbl_kpi[[#This Row],[AccuracyPct]] &lt; 0.98, "Y", "N")</f>
        <v>N</v>
      </c>
    </row>
    <row r="682" spans="1:9">
      <c r="A682" s="2">
        <v>773</v>
      </c>
      <c r="B682" s="2">
        <v>60</v>
      </c>
      <c r="C682" s="2" t="str">
        <f>_xlfn.XLOOKUP(tbl_kpi[[#This Row],[LocationID]], tbl_location[LocationID], tbl_location[LocationName], "UNMAPPED_LOCATION")</f>
        <v>Final Assembly</v>
      </c>
      <c r="D682" s="2">
        <v>75</v>
      </c>
      <c r="E682" s="2">
        <v>73</v>
      </c>
      <c r="F682" s="2">
        <f>tbl_kpi[[#This Row],[OnHandQty]]</f>
        <v>75</v>
      </c>
      <c r="G682" s="2">
        <f>tbl_kpi[[#This Row],[CountedQty]]-tbl_kpi[[#This Row],[ExpectedQty]]</f>
        <v>-2</v>
      </c>
      <c r="H682" s="2">
        <f>IF(tbl_kpi[[#This Row],[ExpectedQty]]=0, 1, MAX(0, 1 - ABS(tbl_kpi[[#This Row],[VarianceQty]]) / tbl_kpi[[#This Row],[ExpectedQty]]))</f>
        <v>0.97333333333333338</v>
      </c>
      <c r="I682" s="2" t="str">
        <f>IF(tbl_kpi[[#This Row],[AccuracyPct]] &lt; 0.98, "Y", "N")</f>
        <v>Y</v>
      </c>
    </row>
    <row r="683" spans="1:9">
      <c r="A683" s="2">
        <v>774</v>
      </c>
      <c r="B683" s="2">
        <v>7</v>
      </c>
      <c r="C683" s="2" t="str">
        <f>_xlfn.XLOOKUP(tbl_kpi[[#This Row],[LocationID]], tbl_location[LocationID], tbl_location[LocationName], "UNMAPPED_LOCATION")</f>
        <v>Finished Goods Storage</v>
      </c>
      <c r="D683" s="2">
        <v>62</v>
      </c>
      <c r="E683" s="2">
        <v>61</v>
      </c>
      <c r="F683" s="2">
        <f>tbl_kpi[[#This Row],[OnHandQty]]</f>
        <v>62</v>
      </c>
      <c r="G683" s="2">
        <f>tbl_kpi[[#This Row],[CountedQty]]-tbl_kpi[[#This Row],[ExpectedQty]]</f>
        <v>-1</v>
      </c>
      <c r="H683" s="2">
        <f>IF(tbl_kpi[[#This Row],[ExpectedQty]]=0, 1, MAX(0, 1 - ABS(tbl_kpi[[#This Row],[VarianceQty]]) / tbl_kpi[[#This Row],[ExpectedQty]]))</f>
        <v>0.9838709677419355</v>
      </c>
      <c r="I683" s="2" t="str">
        <f>IF(tbl_kpi[[#This Row],[AccuracyPct]] &lt; 0.98, "Y", "N")</f>
        <v>N</v>
      </c>
    </row>
    <row r="684" spans="1:9">
      <c r="A684" s="2">
        <v>774</v>
      </c>
      <c r="B684" s="2">
        <v>60</v>
      </c>
      <c r="C684" s="2" t="str">
        <f>_xlfn.XLOOKUP(tbl_kpi[[#This Row],[LocationID]], tbl_location[LocationID], tbl_location[LocationName], "UNMAPPED_LOCATION")</f>
        <v>Final Assembly</v>
      </c>
      <c r="D684" s="2">
        <v>102</v>
      </c>
      <c r="E684" s="2">
        <v>104</v>
      </c>
      <c r="F684" s="2">
        <f>tbl_kpi[[#This Row],[OnHandQty]]</f>
        <v>102</v>
      </c>
      <c r="G684" s="2">
        <f>tbl_kpi[[#This Row],[CountedQty]]-tbl_kpi[[#This Row],[ExpectedQty]]</f>
        <v>2</v>
      </c>
      <c r="H684" s="2">
        <f>IF(tbl_kpi[[#This Row],[ExpectedQty]]=0, 1, MAX(0, 1 - ABS(tbl_kpi[[#This Row],[VarianceQty]]) / tbl_kpi[[#This Row],[ExpectedQty]]))</f>
        <v>0.98039215686274506</v>
      </c>
      <c r="I684" s="2" t="str">
        <f>IF(tbl_kpi[[#This Row],[AccuracyPct]] &lt; 0.98, "Y", "N")</f>
        <v>N</v>
      </c>
    </row>
    <row r="685" spans="1:9">
      <c r="A685" s="2">
        <v>775</v>
      </c>
      <c r="B685" s="2">
        <v>7</v>
      </c>
      <c r="C685" s="2" t="str">
        <f>_xlfn.XLOOKUP(tbl_kpi[[#This Row],[LocationID]], tbl_location[LocationID], tbl_location[LocationName], "UNMAPPED_LOCATION")</f>
        <v>Finished Goods Storage</v>
      </c>
      <c r="D685" s="2">
        <v>99</v>
      </c>
      <c r="E685" s="2">
        <v>100</v>
      </c>
      <c r="F685" s="2">
        <f>tbl_kpi[[#This Row],[OnHandQty]]</f>
        <v>99</v>
      </c>
      <c r="G685" s="2">
        <f>tbl_kpi[[#This Row],[CountedQty]]-tbl_kpi[[#This Row],[ExpectedQty]]</f>
        <v>1</v>
      </c>
      <c r="H685" s="2">
        <f>IF(tbl_kpi[[#This Row],[ExpectedQty]]=0, 1, MAX(0, 1 - ABS(tbl_kpi[[#This Row],[VarianceQty]]) / tbl_kpi[[#This Row],[ExpectedQty]]))</f>
        <v>0.98989898989898994</v>
      </c>
      <c r="I685" s="2" t="str">
        <f>IF(tbl_kpi[[#This Row],[AccuracyPct]] &lt; 0.98, "Y", "N")</f>
        <v>N</v>
      </c>
    </row>
    <row r="686" spans="1:9">
      <c r="A686" s="2">
        <v>775</v>
      </c>
      <c r="B686" s="2">
        <v>60</v>
      </c>
      <c r="C686" s="2" t="str">
        <f>_xlfn.XLOOKUP(tbl_kpi[[#This Row],[LocationID]], tbl_location[LocationID], tbl_location[LocationName], "UNMAPPED_LOCATION")</f>
        <v>Final Assembly</v>
      </c>
      <c r="D686" s="2">
        <v>56</v>
      </c>
      <c r="E686" s="2">
        <v>58</v>
      </c>
      <c r="F686" s="2">
        <f>tbl_kpi[[#This Row],[OnHandQty]]</f>
        <v>56</v>
      </c>
      <c r="G686" s="2">
        <f>tbl_kpi[[#This Row],[CountedQty]]-tbl_kpi[[#This Row],[ExpectedQty]]</f>
        <v>2</v>
      </c>
      <c r="H686" s="2">
        <f>IF(tbl_kpi[[#This Row],[ExpectedQty]]=0, 1, MAX(0, 1 - ABS(tbl_kpi[[#This Row],[VarianceQty]]) / tbl_kpi[[#This Row],[ExpectedQty]]))</f>
        <v>0.9642857142857143</v>
      </c>
      <c r="I686" s="2" t="str">
        <f>IF(tbl_kpi[[#This Row],[AccuracyPct]] &lt; 0.98, "Y", "N")</f>
        <v>Y</v>
      </c>
    </row>
    <row r="687" spans="1:9">
      <c r="A687" s="2">
        <v>776</v>
      </c>
      <c r="B687" s="2">
        <v>7</v>
      </c>
      <c r="C687" s="2" t="str">
        <f>_xlfn.XLOOKUP(tbl_kpi[[#This Row],[LocationID]], tbl_location[LocationID], tbl_location[LocationName], "UNMAPPED_LOCATION")</f>
        <v>Finished Goods Storage</v>
      </c>
      <c r="D687" s="2">
        <v>78</v>
      </c>
      <c r="E687" s="2">
        <v>77</v>
      </c>
      <c r="F687" s="2">
        <f>tbl_kpi[[#This Row],[OnHandQty]]</f>
        <v>78</v>
      </c>
      <c r="G687" s="2">
        <f>tbl_kpi[[#This Row],[CountedQty]]-tbl_kpi[[#This Row],[ExpectedQty]]</f>
        <v>-1</v>
      </c>
      <c r="H687" s="2">
        <f>IF(tbl_kpi[[#This Row],[ExpectedQty]]=0, 1, MAX(0, 1 - ABS(tbl_kpi[[#This Row],[VarianceQty]]) / tbl_kpi[[#This Row],[ExpectedQty]]))</f>
        <v>0.98717948717948723</v>
      </c>
      <c r="I687" s="2" t="str">
        <f>IF(tbl_kpi[[#This Row],[AccuracyPct]] &lt; 0.98, "Y", "N")</f>
        <v>N</v>
      </c>
    </row>
    <row r="688" spans="1:9">
      <c r="A688" s="2">
        <v>776</v>
      </c>
      <c r="B688" s="2">
        <v>60</v>
      </c>
      <c r="C688" s="2" t="str">
        <f>_xlfn.XLOOKUP(tbl_kpi[[#This Row],[LocationID]], tbl_location[LocationID], tbl_location[LocationName], "UNMAPPED_LOCATION")</f>
        <v>Final Assembly</v>
      </c>
      <c r="D688" s="2">
        <v>116</v>
      </c>
      <c r="E688" s="2">
        <v>119</v>
      </c>
      <c r="F688" s="2">
        <f>tbl_kpi[[#This Row],[OnHandQty]]</f>
        <v>116</v>
      </c>
      <c r="G688" s="2">
        <f>tbl_kpi[[#This Row],[CountedQty]]-tbl_kpi[[#This Row],[ExpectedQty]]</f>
        <v>3</v>
      </c>
      <c r="H688" s="2">
        <f>IF(tbl_kpi[[#This Row],[ExpectedQty]]=0, 1, MAX(0, 1 - ABS(tbl_kpi[[#This Row],[VarianceQty]]) / tbl_kpi[[#This Row],[ExpectedQty]]))</f>
        <v>0.97413793103448276</v>
      </c>
      <c r="I688" s="2" t="str">
        <f>IF(tbl_kpi[[#This Row],[AccuracyPct]] &lt; 0.98, "Y", "N")</f>
        <v>Y</v>
      </c>
    </row>
    <row r="689" spans="1:9">
      <c r="A689" s="2">
        <v>777</v>
      </c>
      <c r="B689" s="2">
        <v>7</v>
      </c>
      <c r="C689" s="2" t="str">
        <f>_xlfn.XLOOKUP(tbl_kpi[[#This Row],[LocationID]], tbl_location[LocationID], tbl_location[LocationName], "UNMAPPED_LOCATION")</f>
        <v>Finished Goods Storage</v>
      </c>
      <c r="D689" s="2">
        <v>49</v>
      </c>
      <c r="E689" s="2">
        <v>50</v>
      </c>
      <c r="F689" s="2">
        <f>tbl_kpi[[#This Row],[OnHandQty]]</f>
        <v>49</v>
      </c>
      <c r="G689" s="2">
        <f>tbl_kpi[[#This Row],[CountedQty]]-tbl_kpi[[#This Row],[ExpectedQty]]</f>
        <v>1</v>
      </c>
      <c r="H689" s="2">
        <f>IF(tbl_kpi[[#This Row],[ExpectedQty]]=0, 1, MAX(0, 1 - ABS(tbl_kpi[[#This Row],[VarianceQty]]) / tbl_kpi[[#This Row],[ExpectedQty]]))</f>
        <v>0.97959183673469385</v>
      </c>
      <c r="I689" s="2" t="str">
        <f>IF(tbl_kpi[[#This Row],[AccuracyPct]] &lt; 0.98, "Y", "N")</f>
        <v>Y</v>
      </c>
    </row>
    <row r="690" spans="1:9">
      <c r="A690" s="2">
        <v>777</v>
      </c>
      <c r="B690" s="2">
        <v>60</v>
      </c>
      <c r="C690" s="2" t="str">
        <f>_xlfn.XLOOKUP(tbl_kpi[[#This Row],[LocationID]], tbl_location[LocationID], tbl_location[LocationName], "UNMAPPED_LOCATION")</f>
        <v>Final Assembly</v>
      </c>
      <c r="D690" s="2">
        <v>100</v>
      </c>
      <c r="E690" s="2">
        <v>102</v>
      </c>
      <c r="F690" s="2">
        <f>tbl_kpi[[#This Row],[OnHandQty]]</f>
        <v>100</v>
      </c>
      <c r="G690" s="2">
        <f>tbl_kpi[[#This Row],[CountedQty]]-tbl_kpi[[#This Row],[ExpectedQty]]</f>
        <v>2</v>
      </c>
      <c r="H690" s="2">
        <f>IF(tbl_kpi[[#This Row],[ExpectedQty]]=0, 1, MAX(0, 1 - ABS(tbl_kpi[[#This Row],[VarianceQty]]) / tbl_kpi[[#This Row],[ExpectedQty]]))</f>
        <v>0.98</v>
      </c>
      <c r="I690" s="2" t="str">
        <f>IF(tbl_kpi[[#This Row],[AccuracyPct]] &lt; 0.98, "Y", "N")</f>
        <v>N</v>
      </c>
    </row>
    <row r="691" spans="1:9">
      <c r="A691" s="2">
        <v>778</v>
      </c>
      <c r="B691" s="2">
        <v>7</v>
      </c>
      <c r="C691" s="2" t="str">
        <f>_xlfn.XLOOKUP(tbl_kpi[[#This Row],[LocationID]], tbl_location[LocationID], tbl_location[LocationName], "UNMAPPED_LOCATION")</f>
        <v>Finished Goods Storage</v>
      </c>
      <c r="D691" s="2">
        <v>88</v>
      </c>
      <c r="E691" s="2">
        <v>87</v>
      </c>
      <c r="F691" s="2">
        <f>tbl_kpi[[#This Row],[OnHandQty]]</f>
        <v>88</v>
      </c>
      <c r="G691" s="2">
        <f>tbl_kpi[[#This Row],[CountedQty]]-tbl_kpi[[#This Row],[ExpectedQty]]</f>
        <v>-1</v>
      </c>
      <c r="H691" s="2">
        <f>IF(tbl_kpi[[#This Row],[ExpectedQty]]=0, 1, MAX(0, 1 - ABS(tbl_kpi[[#This Row],[VarianceQty]]) / tbl_kpi[[#This Row],[ExpectedQty]]))</f>
        <v>0.98863636363636365</v>
      </c>
      <c r="I691" s="2" t="str">
        <f>IF(tbl_kpi[[#This Row],[AccuracyPct]] &lt; 0.98, "Y", "N")</f>
        <v>N</v>
      </c>
    </row>
    <row r="692" spans="1:9">
      <c r="A692" s="2">
        <v>778</v>
      </c>
      <c r="B692" s="2">
        <v>60</v>
      </c>
      <c r="C692" s="2" t="str">
        <f>_xlfn.XLOOKUP(tbl_kpi[[#This Row],[LocationID]], tbl_location[LocationID], tbl_location[LocationName], "UNMAPPED_LOCATION")</f>
        <v>Final Assembly</v>
      </c>
      <c r="D692" s="2">
        <v>65</v>
      </c>
      <c r="E692" s="2">
        <v>64</v>
      </c>
      <c r="F692" s="2">
        <f>tbl_kpi[[#This Row],[OnHandQty]]</f>
        <v>65</v>
      </c>
      <c r="G692" s="2">
        <f>tbl_kpi[[#This Row],[CountedQty]]-tbl_kpi[[#This Row],[ExpectedQty]]</f>
        <v>-1</v>
      </c>
      <c r="H692" s="2">
        <f>IF(tbl_kpi[[#This Row],[ExpectedQty]]=0, 1, MAX(0, 1 - ABS(tbl_kpi[[#This Row],[VarianceQty]]) / tbl_kpi[[#This Row],[ExpectedQty]]))</f>
        <v>0.98461538461538467</v>
      </c>
      <c r="I692" s="2" t="str">
        <f>IF(tbl_kpi[[#This Row],[AccuracyPct]] &lt; 0.98, "Y", "N")</f>
        <v>N</v>
      </c>
    </row>
    <row r="693" spans="1:9">
      <c r="A693" s="2">
        <v>779</v>
      </c>
      <c r="B693" s="2">
        <v>7</v>
      </c>
      <c r="C693" s="2" t="str">
        <f>_xlfn.XLOOKUP(tbl_kpi[[#This Row],[LocationID]], tbl_location[LocationID], tbl_location[LocationName], "UNMAPPED_LOCATION")</f>
        <v>Finished Goods Storage</v>
      </c>
      <c r="D693" s="2">
        <v>75</v>
      </c>
      <c r="E693" s="2">
        <v>73</v>
      </c>
      <c r="F693" s="2">
        <f>tbl_kpi[[#This Row],[OnHandQty]]</f>
        <v>75</v>
      </c>
      <c r="G693" s="2">
        <f>tbl_kpi[[#This Row],[CountedQty]]-tbl_kpi[[#This Row],[ExpectedQty]]</f>
        <v>-2</v>
      </c>
      <c r="H693" s="2">
        <f>IF(tbl_kpi[[#This Row],[ExpectedQty]]=0, 1, MAX(0, 1 - ABS(tbl_kpi[[#This Row],[VarianceQty]]) / tbl_kpi[[#This Row],[ExpectedQty]]))</f>
        <v>0.97333333333333338</v>
      </c>
      <c r="I693" s="2" t="str">
        <f>IF(tbl_kpi[[#This Row],[AccuracyPct]] &lt; 0.98, "Y", "N")</f>
        <v>Y</v>
      </c>
    </row>
    <row r="694" spans="1:9">
      <c r="A694" s="2">
        <v>779</v>
      </c>
      <c r="B694" s="2">
        <v>60</v>
      </c>
      <c r="C694" s="2" t="str">
        <f>_xlfn.XLOOKUP(tbl_kpi[[#This Row],[LocationID]], tbl_location[LocationID], tbl_location[LocationName], "UNMAPPED_LOCATION")</f>
        <v>Final Assembly</v>
      </c>
      <c r="D694" s="2">
        <v>62</v>
      </c>
      <c r="E694" s="2">
        <v>63</v>
      </c>
      <c r="F694" s="2">
        <f>tbl_kpi[[#This Row],[OnHandQty]]</f>
        <v>62</v>
      </c>
      <c r="G694" s="2">
        <f>tbl_kpi[[#This Row],[CountedQty]]-tbl_kpi[[#This Row],[ExpectedQty]]</f>
        <v>1</v>
      </c>
      <c r="H694" s="2">
        <f>IF(tbl_kpi[[#This Row],[ExpectedQty]]=0, 1, MAX(0, 1 - ABS(tbl_kpi[[#This Row],[VarianceQty]]) / tbl_kpi[[#This Row],[ExpectedQty]]))</f>
        <v>0.9838709677419355</v>
      </c>
      <c r="I694" s="2" t="str">
        <f>IF(tbl_kpi[[#This Row],[AccuracyPct]] &lt; 0.98, "Y", "N")</f>
        <v>N</v>
      </c>
    </row>
    <row r="695" spans="1:9">
      <c r="A695" s="2">
        <v>780</v>
      </c>
      <c r="B695" s="2">
        <v>7</v>
      </c>
      <c r="C695" s="2" t="str">
        <f>_xlfn.XLOOKUP(tbl_kpi[[#This Row],[LocationID]], tbl_location[LocationID], tbl_location[LocationName], "UNMAPPED_LOCATION")</f>
        <v>Finished Goods Storage</v>
      </c>
      <c r="D695" s="2">
        <v>102</v>
      </c>
      <c r="E695" s="2">
        <v>103</v>
      </c>
      <c r="F695" s="2">
        <f>tbl_kpi[[#This Row],[OnHandQty]]</f>
        <v>102</v>
      </c>
      <c r="G695" s="2">
        <f>tbl_kpi[[#This Row],[CountedQty]]-tbl_kpi[[#This Row],[ExpectedQty]]</f>
        <v>1</v>
      </c>
      <c r="H695" s="2">
        <f>IF(tbl_kpi[[#This Row],[ExpectedQty]]=0, 1, MAX(0, 1 - ABS(tbl_kpi[[#This Row],[VarianceQty]]) / tbl_kpi[[#This Row],[ExpectedQty]]))</f>
        <v>0.99019607843137258</v>
      </c>
      <c r="I695" s="2" t="str">
        <f>IF(tbl_kpi[[#This Row],[AccuracyPct]] &lt; 0.98, "Y", "N")</f>
        <v>N</v>
      </c>
    </row>
    <row r="696" spans="1:9">
      <c r="A696" s="2">
        <v>780</v>
      </c>
      <c r="B696" s="2">
        <v>60</v>
      </c>
      <c r="C696" s="2" t="str">
        <f>_xlfn.XLOOKUP(tbl_kpi[[#This Row],[LocationID]], tbl_location[LocationID], tbl_location[LocationName], "UNMAPPED_LOCATION")</f>
        <v>Final Assembly</v>
      </c>
      <c r="D696" s="2">
        <v>121</v>
      </c>
      <c r="E696" s="2">
        <v>122</v>
      </c>
      <c r="F696" s="2">
        <f>tbl_kpi[[#This Row],[OnHandQty]]</f>
        <v>121</v>
      </c>
      <c r="G696" s="2">
        <f>tbl_kpi[[#This Row],[CountedQty]]-tbl_kpi[[#This Row],[ExpectedQty]]</f>
        <v>1</v>
      </c>
      <c r="H696" s="2">
        <f>IF(tbl_kpi[[#This Row],[ExpectedQty]]=0, 1, MAX(0, 1 - ABS(tbl_kpi[[#This Row],[VarianceQty]]) / tbl_kpi[[#This Row],[ExpectedQty]]))</f>
        <v>0.99173553719008267</v>
      </c>
      <c r="I696" s="2" t="str">
        <f>IF(tbl_kpi[[#This Row],[AccuracyPct]] &lt; 0.98, "Y", "N")</f>
        <v>N</v>
      </c>
    </row>
    <row r="697" spans="1:9">
      <c r="A697" s="2">
        <v>781</v>
      </c>
      <c r="B697" s="2">
        <v>7</v>
      </c>
      <c r="C697" s="2" t="str">
        <f>_xlfn.XLOOKUP(tbl_kpi[[#This Row],[LocationID]], tbl_location[LocationID], tbl_location[LocationName], "UNMAPPED_LOCATION")</f>
        <v>Finished Goods Storage</v>
      </c>
      <c r="D697" s="2">
        <v>32</v>
      </c>
      <c r="E697" s="2">
        <v>32</v>
      </c>
      <c r="F697" s="2">
        <f>tbl_kpi[[#This Row],[OnHandQty]]</f>
        <v>32</v>
      </c>
      <c r="G697" s="2">
        <f>tbl_kpi[[#This Row],[CountedQty]]-tbl_kpi[[#This Row],[ExpectedQty]]</f>
        <v>0</v>
      </c>
      <c r="H697" s="2">
        <f>IF(tbl_kpi[[#This Row],[ExpectedQty]]=0, 1, MAX(0, 1 - ABS(tbl_kpi[[#This Row],[VarianceQty]]) / tbl_kpi[[#This Row],[ExpectedQty]]))</f>
        <v>1</v>
      </c>
      <c r="I697" s="2" t="str">
        <f>IF(tbl_kpi[[#This Row],[AccuracyPct]] &lt; 0.98, "Y", "N")</f>
        <v>N</v>
      </c>
    </row>
    <row r="698" spans="1:9">
      <c r="A698" s="2">
        <v>781</v>
      </c>
      <c r="B698" s="2">
        <v>60</v>
      </c>
      <c r="C698" s="2" t="str">
        <f>_xlfn.XLOOKUP(tbl_kpi[[#This Row],[LocationID]], tbl_location[LocationID], tbl_location[LocationName], "UNMAPPED_LOCATION")</f>
        <v>Final Assembly</v>
      </c>
      <c r="D698" s="2">
        <v>108</v>
      </c>
      <c r="E698" s="2">
        <v>108</v>
      </c>
      <c r="F698" s="2">
        <f>tbl_kpi[[#This Row],[OnHandQty]]</f>
        <v>108</v>
      </c>
      <c r="G698" s="2">
        <f>tbl_kpi[[#This Row],[CountedQty]]-tbl_kpi[[#This Row],[ExpectedQty]]</f>
        <v>0</v>
      </c>
      <c r="H698" s="2">
        <f>IF(tbl_kpi[[#This Row],[ExpectedQty]]=0, 1, MAX(0, 1 - ABS(tbl_kpi[[#This Row],[VarianceQty]]) / tbl_kpi[[#This Row],[ExpectedQty]]))</f>
        <v>1</v>
      </c>
      <c r="I698" s="2" t="str">
        <f>IF(tbl_kpi[[#This Row],[AccuracyPct]] &lt; 0.98, "Y", "N")</f>
        <v>N</v>
      </c>
    </row>
    <row r="699" spans="1:9">
      <c r="A699" s="2">
        <v>782</v>
      </c>
      <c r="B699" s="2">
        <v>7</v>
      </c>
      <c r="C699" s="2" t="str">
        <f>_xlfn.XLOOKUP(tbl_kpi[[#This Row],[LocationID]], tbl_location[LocationID], tbl_location[LocationName], "UNMAPPED_LOCATION")</f>
        <v>Finished Goods Storage</v>
      </c>
      <c r="D699" s="2">
        <v>100</v>
      </c>
      <c r="E699" s="2">
        <v>98</v>
      </c>
      <c r="F699" s="2">
        <f>tbl_kpi[[#This Row],[OnHandQty]]</f>
        <v>100</v>
      </c>
      <c r="G699" s="2">
        <f>tbl_kpi[[#This Row],[CountedQty]]-tbl_kpi[[#This Row],[ExpectedQty]]</f>
        <v>-2</v>
      </c>
      <c r="H699" s="2">
        <f>IF(tbl_kpi[[#This Row],[ExpectedQty]]=0, 1, MAX(0, 1 - ABS(tbl_kpi[[#This Row],[VarianceQty]]) / tbl_kpi[[#This Row],[ExpectedQty]]))</f>
        <v>0.98</v>
      </c>
      <c r="I699" s="2" t="str">
        <f>IF(tbl_kpi[[#This Row],[AccuracyPct]] &lt; 0.98, "Y", "N")</f>
        <v>N</v>
      </c>
    </row>
    <row r="700" spans="1:9">
      <c r="A700" s="2">
        <v>782</v>
      </c>
      <c r="B700" s="2">
        <v>60</v>
      </c>
      <c r="C700" s="2" t="str">
        <f>_xlfn.XLOOKUP(tbl_kpi[[#This Row],[LocationID]], tbl_location[LocationID], tbl_location[LocationName], "UNMAPPED_LOCATION")</f>
        <v>Final Assembly</v>
      </c>
      <c r="D700" s="2">
        <v>88</v>
      </c>
      <c r="E700" s="2">
        <v>88</v>
      </c>
      <c r="F700" s="2">
        <f>tbl_kpi[[#This Row],[OnHandQty]]</f>
        <v>88</v>
      </c>
      <c r="G700" s="2">
        <f>tbl_kpi[[#This Row],[CountedQty]]-tbl_kpi[[#This Row],[ExpectedQty]]</f>
        <v>0</v>
      </c>
      <c r="H700" s="2">
        <f>IF(tbl_kpi[[#This Row],[ExpectedQty]]=0, 1, MAX(0, 1 - ABS(tbl_kpi[[#This Row],[VarianceQty]]) / tbl_kpi[[#This Row],[ExpectedQty]]))</f>
        <v>1</v>
      </c>
      <c r="I700" s="2" t="str">
        <f>IF(tbl_kpi[[#This Row],[AccuracyPct]] &lt; 0.98, "Y", "N")</f>
        <v>N</v>
      </c>
    </row>
    <row r="701" spans="1:9">
      <c r="A701" s="2">
        <v>783</v>
      </c>
      <c r="B701" s="2">
        <v>7</v>
      </c>
      <c r="C701" s="2" t="str">
        <f>_xlfn.XLOOKUP(tbl_kpi[[#This Row],[LocationID]], tbl_location[LocationID], tbl_location[LocationName], "UNMAPPED_LOCATION")</f>
        <v>Finished Goods Storage</v>
      </c>
      <c r="D701" s="2">
        <v>65</v>
      </c>
      <c r="E701" s="2">
        <v>66</v>
      </c>
      <c r="F701" s="2">
        <f>tbl_kpi[[#This Row],[OnHandQty]]</f>
        <v>65</v>
      </c>
      <c r="G701" s="2">
        <f>tbl_kpi[[#This Row],[CountedQty]]-tbl_kpi[[#This Row],[ExpectedQty]]</f>
        <v>1</v>
      </c>
      <c r="H701" s="2">
        <f>IF(tbl_kpi[[#This Row],[ExpectedQty]]=0, 1, MAX(0, 1 - ABS(tbl_kpi[[#This Row],[VarianceQty]]) / tbl_kpi[[#This Row],[ExpectedQty]]))</f>
        <v>0.98461538461538467</v>
      </c>
      <c r="I701" s="2" t="str">
        <f>IF(tbl_kpi[[#This Row],[AccuracyPct]] &lt; 0.98, "Y", "N")</f>
        <v>N</v>
      </c>
    </row>
    <row r="702" spans="1:9">
      <c r="A702" s="2">
        <v>783</v>
      </c>
      <c r="B702" s="2">
        <v>60</v>
      </c>
      <c r="C702" s="2" t="str">
        <f>_xlfn.XLOOKUP(tbl_kpi[[#This Row],[LocationID]], tbl_location[LocationID], tbl_location[LocationName], "UNMAPPED_LOCATION")</f>
        <v>Final Assembly</v>
      </c>
      <c r="D702" s="2">
        <v>83</v>
      </c>
      <c r="E702" s="2">
        <v>82</v>
      </c>
      <c r="F702" s="2">
        <f>tbl_kpi[[#This Row],[OnHandQty]]</f>
        <v>83</v>
      </c>
      <c r="G702" s="2">
        <f>tbl_kpi[[#This Row],[CountedQty]]-tbl_kpi[[#This Row],[ExpectedQty]]</f>
        <v>-1</v>
      </c>
      <c r="H702" s="2">
        <f>IF(tbl_kpi[[#This Row],[ExpectedQty]]=0, 1, MAX(0, 1 - ABS(tbl_kpi[[#This Row],[VarianceQty]]) / tbl_kpi[[#This Row],[ExpectedQty]]))</f>
        <v>0.98795180722891562</v>
      </c>
      <c r="I702" s="2" t="str">
        <f>IF(tbl_kpi[[#This Row],[AccuracyPct]] &lt; 0.98, "Y", "N")</f>
        <v>N</v>
      </c>
    </row>
    <row r="703" spans="1:9">
      <c r="A703" s="2">
        <v>784</v>
      </c>
      <c r="B703" s="2">
        <v>7</v>
      </c>
      <c r="C703" s="2" t="str">
        <f>_xlfn.XLOOKUP(tbl_kpi[[#This Row],[LocationID]], tbl_location[LocationID], tbl_location[LocationName], "UNMAPPED_LOCATION")</f>
        <v>Finished Goods Storage</v>
      </c>
      <c r="D703" s="2">
        <v>75</v>
      </c>
      <c r="E703" s="2">
        <v>74</v>
      </c>
      <c r="F703" s="2">
        <f>tbl_kpi[[#This Row],[OnHandQty]]</f>
        <v>75</v>
      </c>
      <c r="G703" s="2">
        <f>tbl_kpi[[#This Row],[CountedQty]]-tbl_kpi[[#This Row],[ExpectedQty]]</f>
        <v>-1</v>
      </c>
      <c r="H703" s="2">
        <f>IF(tbl_kpi[[#This Row],[ExpectedQty]]=0, 1, MAX(0, 1 - ABS(tbl_kpi[[#This Row],[VarianceQty]]) / tbl_kpi[[#This Row],[ExpectedQty]]))</f>
        <v>0.98666666666666669</v>
      </c>
      <c r="I703" s="2" t="str">
        <f>IF(tbl_kpi[[#This Row],[AccuracyPct]] &lt; 0.98, "Y", "N")</f>
        <v>N</v>
      </c>
    </row>
    <row r="704" spans="1:9">
      <c r="A704" s="2">
        <v>784</v>
      </c>
      <c r="B704" s="2">
        <v>60</v>
      </c>
      <c r="C704" s="2" t="str">
        <f>_xlfn.XLOOKUP(tbl_kpi[[#This Row],[LocationID]], tbl_location[LocationID], tbl_location[LocationName], "UNMAPPED_LOCATION")</f>
        <v>Final Assembly</v>
      </c>
      <c r="D704" s="2">
        <v>62</v>
      </c>
      <c r="E704" s="2">
        <v>60</v>
      </c>
      <c r="F704" s="2">
        <f>tbl_kpi[[#This Row],[OnHandQty]]</f>
        <v>62</v>
      </c>
      <c r="G704" s="2">
        <f>tbl_kpi[[#This Row],[CountedQty]]-tbl_kpi[[#This Row],[ExpectedQty]]</f>
        <v>-2</v>
      </c>
      <c r="H704" s="2">
        <f>IF(tbl_kpi[[#This Row],[ExpectedQty]]=0, 1, MAX(0, 1 - ABS(tbl_kpi[[#This Row],[VarianceQty]]) / tbl_kpi[[#This Row],[ExpectedQty]]))</f>
        <v>0.967741935483871</v>
      </c>
      <c r="I704" s="2" t="str">
        <f>IF(tbl_kpi[[#This Row],[AccuracyPct]] &lt; 0.98, "Y", "N")</f>
        <v>Y</v>
      </c>
    </row>
    <row r="705" spans="1:9">
      <c r="A705" s="2">
        <v>785</v>
      </c>
      <c r="B705" s="2">
        <v>7</v>
      </c>
      <c r="C705" s="2" t="str">
        <f>_xlfn.XLOOKUP(tbl_kpi[[#This Row],[LocationID]], tbl_location[LocationID], tbl_location[LocationName], "UNMAPPED_LOCATION")</f>
        <v>Finished Goods Storage</v>
      </c>
      <c r="D705" s="2">
        <v>75</v>
      </c>
      <c r="E705" s="2">
        <v>74</v>
      </c>
      <c r="F705" s="2">
        <f>tbl_kpi[[#This Row],[OnHandQty]]</f>
        <v>75</v>
      </c>
      <c r="G705" s="2">
        <f>tbl_kpi[[#This Row],[CountedQty]]-tbl_kpi[[#This Row],[ExpectedQty]]</f>
        <v>-1</v>
      </c>
      <c r="H705" s="2">
        <f>IF(tbl_kpi[[#This Row],[ExpectedQty]]=0, 1, MAX(0, 1 - ABS(tbl_kpi[[#This Row],[VarianceQty]]) / tbl_kpi[[#This Row],[ExpectedQty]]))</f>
        <v>0.98666666666666669</v>
      </c>
      <c r="I705" s="2" t="str">
        <f>IF(tbl_kpi[[#This Row],[AccuracyPct]] &lt; 0.98, "Y", "N")</f>
        <v>N</v>
      </c>
    </row>
    <row r="706" spans="1:9">
      <c r="A706" s="2">
        <v>785</v>
      </c>
      <c r="B706" s="2">
        <v>60</v>
      </c>
      <c r="C706" s="2" t="str">
        <f>_xlfn.XLOOKUP(tbl_kpi[[#This Row],[LocationID]], tbl_location[LocationID], tbl_location[LocationName], "UNMAPPED_LOCATION")</f>
        <v>Final Assembly</v>
      </c>
      <c r="D706" s="2">
        <v>62</v>
      </c>
      <c r="E706" s="2">
        <v>63</v>
      </c>
      <c r="F706" s="2">
        <f>tbl_kpi[[#This Row],[OnHandQty]]</f>
        <v>62</v>
      </c>
      <c r="G706" s="2">
        <f>tbl_kpi[[#This Row],[CountedQty]]-tbl_kpi[[#This Row],[ExpectedQty]]</f>
        <v>1</v>
      </c>
      <c r="H706" s="2">
        <f>IF(tbl_kpi[[#This Row],[ExpectedQty]]=0, 1, MAX(0, 1 - ABS(tbl_kpi[[#This Row],[VarianceQty]]) / tbl_kpi[[#This Row],[ExpectedQty]]))</f>
        <v>0.9838709677419355</v>
      </c>
      <c r="I706" s="2" t="str">
        <f>IF(tbl_kpi[[#This Row],[AccuracyPct]] &lt; 0.98, "Y", "N")</f>
        <v>N</v>
      </c>
    </row>
    <row r="707" spans="1:9">
      <c r="A707" s="2">
        <v>786</v>
      </c>
      <c r="B707" s="2">
        <v>7</v>
      </c>
      <c r="C707" s="2" t="str">
        <f>_xlfn.XLOOKUP(tbl_kpi[[#This Row],[LocationID]], tbl_location[LocationID], tbl_location[LocationName], "UNMAPPED_LOCATION")</f>
        <v>Finished Goods Storage</v>
      </c>
      <c r="D707" s="2">
        <v>102</v>
      </c>
      <c r="E707" s="2">
        <v>100</v>
      </c>
      <c r="F707" s="2">
        <f>tbl_kpi[[#This Row],[OnHandQty]]</f>
        <v>102</v>
      </c>
      <c r="G707" s="2">
        <f>tbl_kpi[[#This Row],[CountedQty]]-tbl_kpi[[#This Row],[ExpectedQty]]</f>
        <v>-2</v>
      </c>
      <c r="H707" s="2">
        <f>IF(tbl_kpi[[#This Row],[ExpectedQty]]=0, 1, MAX(0, 1 - ABS(tbl_kpi[[#This Row],[VarianceQty]]) / tbl_kpi[[#This Row],[ExpectedQty]]))</f>
        <v>0.98039215686274506</v>
      </c>
      <c r="I707" s="2" t="str">
        <f>IF(tbl_kpi[[#This Row],[AccuracyPct]] &lt; 0.98, "Y", "N")</f>
        <v>N</v>
      </c>
    </row>
    <row r="708" spans="1:9">
      <c r="A708" s="2">
        <v>786</v>
      </c>
      <c r="B708" s="2">
        <v>60</v>
      </c>
      <c r="C708" s="2" t="str">
        <f>_xlfn.XLOOKUP(tbl_kpi[[#This Row],[LocationID]], tbl_location[LocationID], tbl_location[LocationName], "UNMAPPED_LOCATION")</f>
        <v>Final Assembly</v>
      </c>
      <c r="D708" s="2">
        <v>121</v>
      </c>
      <c r="E708" s="2">
        <v>124</v>
      </c>
      <c r="F708" s="2">
        <f>tbl_kpi[[#This Row],[OnHandQty]]</f>
        <v>121</v>
      </c>
      <c r="G708" s="2">
        <f>tbl_kpi[[#This Row],[CountedQty]]-tbl_kpi[[#This Row],[ExpectedQty]]</f>
        <v>3</v>
      </c>
      <c r="H708" s="2">
        <f>IF(tbl_kpi[[#This Row],[ExpectedQty]]=0, 1, MAX(0, 1 - ABS(tbl_kpi[[#This Row],[VarianceQty]]) / tbl_kpi[[#This Row],[ExpectedQty]]))</f>
        <v>0.97520661157024791</v>
      </c>
      <c r="I708" s="2" t="str">
        <f>IF(tbl_kpi[[#This Row],[AccuracyPct]] &lt; 0.98, "Y", "N")</f>
        <v>Y</v>
      </c>
    </row>
    <row r="709" spans="1:9">
      <c r="A709" s="2">
        <v>787</v>
      </c>
      <c r="B709" s="2">
        <v>7</v>
      </c>
      <c r="C709" s="2" t="str">
        <f>_xlfn.XLOOKUP(tbl_kpi[[#This Row],[LocationID]], tbl_location[LocationID], tbl_location[LocationName], "UNMAPPED_LOCATION")</f>
        <v>Finished Goods Storage</v>
      </c>
      <c r="D709" s="2">
        <v>32</v>
      </c>
      <c r="E709" s="2">
        <v>32</v>
      </c>
      <c r="F709" s="2">
        <f>tbl_kpi[[#This Row],[OnHandQty]]</f>
        <v>32</v>
      </c>
      <c r="G709" s="2">
        <f>tbl_kpi[[#This Row],[CountedQty]]-tbl_kpi[[#This Row],[ExpectedQty]]</f>
        <v>0</v>
      </c>
      <c r="H709" s="2">
        <f>IF(tbl_kpi[[#This Row],[ExpectedQty]]=0, 1, MAX(0, 1 - ABS(tbl_kpi[[#This Row],[VarianceQty]]) / tbl_kpi[[#This Row],[ExpectedQty]]))</f>
        <v>1</v>
      </c>
      <c r="I709" s="2" t="str">
        <f>IF(tbl_kpi[[#This Row],[AccuracyPct]] &lt; 0.98, "Y", "N")</f>
        <v>N</v>
      </c>
    </row>
    <row r="710" spans="1:9">
      <c r="A710" s="2">
        <v>787</v>
      </c>
      <c r="B710" s="2">
        <v>60</v>
      </c>
      <c r="C710" s="2" t="str">
        <f>_xlfn.XLOOKUP(tbl_kpi[[#This Row],[LocationID]], tbl_location[LocationID], tbl_location[LocationName], "UNMAPPED_LOCATION")</f>
        <v>Final Assembly</v>
      </c>
      <c r="D710" s="2">
        <v>108</v>
      </c>
      <c r="E710" s="2">
        <v>109</v>
      </c>
      <c r="F710" s="2">
        <f>tbl_kpi[[#This Row],[OnHandQty]]</f>
        <v>108</v>
      </c>
      <c r="G710" s="2">
        <f>tbl_kpi[[#This Row],[CountedQty]]-tbl_kpi[[#This Row],[ExpectedQty]]</f>
        <v>1</v>
      </c>
      <c r="H710" s="2">
        <f>IF(tbl_kpi[[#This Row],[ExpectedQty]]=0, 1, MAX(0, 1 - ABS(tbl_kpi[[#This Row],[VarianceQty]]) / tbl_kpi[[#This Row],[ExpectedQty]]))</f>
        <v>0.9907407407407407</v>
      </c>
      <c r="I710" s="2" t="str">
        <f>IF(tbl_kpi[[#This Row],[AccuracyPct]] &lt; 0.98, "Y", "N")</f>
        <v>N</v>
      </c>
    </row>
    <row r="711" spans="1:9">
      <c r="A711" s="2">
        <v>788</v>
      </c>
      <c r="B711" s="2">
        <v>7</v>
      </c>
      <c r="C711" s="2" t="str">
        <f>_xlfn.XLOOKUP(tbl_kpi[[#This Row],[LocationID]], tbl_location[LocationID], tbl_location[LocationName], "UNMAPPED_LOCATION")</f>
        <v>Finished Goods Storage</v>
      </c>
      <c r="D711" s="2">
        <v>52</v>
      </c>
      <c r="E711" s="2">
        <v>53</v>
      </c>
      <c r="F711" s="2">
        <f>tbl_kpi[[#This Row],[OnHandQty]]</f>
        <v>52</v>
      </c>
      <c r="G711" s="2">
        <f>tbl_kpi[[#This Row],[CountedQty]]-tbl_kpi[[#This Row],[ExpectedQty]]</f>
        <v>1</v>
      </c>
      <c r="H711" s="2">
        <f>IF(tbl_kpi[[#This Row],[ExpectedQty]]=0, 1, MAX(0, 1 - ABS(tbl_kpi[[#This Row],[VarianceQty]]) / tbl_kpi[[#This Row],[ExpectedQty]]))</f>
        <v>0.98076923076923073</v>
      </c>
      <c r="I711" s="2" t="str">
        <f>IF(tbl_kpi[[#This Row],[AccuracyPct]] &lt; 0.98, "Y", "N")</f>
        <v>N</v>
      </c>
    </row>
    <row r="712" spans="1:9">
      <c r="A712" s="2">
        <v>788</v>
      </c>
      <c r="B712" s="2">
        <v>60</v>
      </c>
      <c r="C712" s="2" t="str">
        <f>_xlfn.XLOOKUP(tbl_kpi[[#This Row],[LocationID]], tbl_location[LocationID], tbl_location[LocationName], "UNMAPPED_LOCATION")</f>
        <v>Final Assembly</v>
      </c>
      <c r="D712" s="2">
        <v>76</v>
      </c>
      <c r="E712" s="2">
        <v>76</v>
      </c>
      <c r="F712" s="2">
        <f>tbl_kpi[[#This Row],[OnHandQty]]</f>
        <v>76</v>
      </c>
      <c r="G712" s="2">
        <f>tbl_kpi[[#This Row],[CountedQty]]-tbl_kpi[[#This Row],[ExpectedQty]]</f>
        <v>0</v>
      </c>
      <c r="H712" s="2">
        <f>IF(tbl_kpi[[#This Row],[ExpectedQty]]=0, 1, MAX(0, 1 - ABS(tbl_kpi[[#This Row],[VarianceQty]]) / tbl_kpi[[#This Row],[ExpectedQty]]))</f>
        <v>1</v>
      </c>
      <c r="I712" s="2" t="str">
        <f>IF(tbl_kpi[[#This Row],[AccuracyPct]] &lt; 0.98, "Y", "N")</f>
        <v>N</v>
      </c>
    </row>
    <row r="713" spans="1:9">
      <c r="A713" s="2">
        <v>789</v>
      </c>
      <c r="B713" s="2">
        <v>7</v>
      </c>
      <c r="C713" s="2" t="str">
        <f>_xlfn.XLOOKUP(tbl_kpi[[#This Row],[LocationID]], tbl_location[LocationID], tbl_location[LocationName], "UNMAPPED_LOCATION")</f>
        <v>Finished Goods Storage</v>
      </c>
      <c r="D713" s="2">
        <v>112</v>
      </c>
      <c r="E713" s="2">
        <v>115</v>
      </c>
      <c r="F713" s="2">
        <f>tbl_kpi[[#This Row],[OnHandQty]]</f>
        <v>112</v>
      </c>
      <c r="G713" s="2">
        <f>tbl_kpi[[#This Row],[CountedQty]]-tbl_kpi[[#This Row],[ExpectedQty]]</f>
        <v>3</v>
      </c>
      <c r="H713" s="2">
        <f>IF(tbl_kpi[[#This Row],[ExpectedQty]]=0, 1, MAX(0, 1 - ABS(tbl_kpi[[#This Row],[VarianceQty]]) / tbl_kpi[[#This Row],[ExpectedQty]]))</f>
        <v>0.9732142857142857</v>
      </c>
      <c r="I713" s="2" t="str">
        <f>IF(tbl_kpi[[#This Row],[AccuracyPct]] &lt; 0.98, "Y", "N")</f>
        <v>Y</v>
      </c>
    </row>
    <row r="714" spans="1:9">
      <c r="A714" s="2">
        <v>789</v>
      </c>
      <c r="B714" s="2">
        <v>60</v>
      </c>
      <c r="C714" s="2" t="str">
        <f>_xlfn.XLOOKUP(tbl_kpi[[#This Row],[LocationID]], tbl_location[LocationID], tbl_location[LocationName], "UNMAPPED_LOCATION")</f>
        <v>Final Assembly</v>
      </c>
      <c r="D714" s="2">
        <v>51</v>
      </c>
      <c r="E714" s="2">
        <v>52</v>
      </c>
      <c r="F714" s="2">
        <f>tbl_kpi[[#This Row],[OnHandQty]]</f>
        <v>51</v>
      </c>
      <c r="G714" s="2">
        <f>tbl_kpi[[#This Row],[CountedQty]]-tbl_kpi[[#This Row],[ExpectedQty]]</f>
        <v>1</v>
      </c>
      <c r="H714" s="2">
        <f>IF(tbl_kpi[[#This Row],[ExpectedQty]]=0, 1, MAX(0, 1 - ABS(tbl_kpi[[#This Row],[VarianceQty]]) / tbl_kpi[[#This Row],[ExpectedQty]]))</f>
        <v>0.98039215686274506</v>
      </c>
      <c r="I714" s="2" t="str">
        <f>IF(tbl_kpi[[#This Row],[AccuracyPct]] &lt; 0.98, "Y", "N")</f>
        <v>N</v>
      </c>
    </row>
    <row r="715" spans="1:9">
      <c r="A715" s="2">
        <v>790</v>
      </c>
      <c r="B715" s="2">
        <v>7</v>
      </c>
      <c r="C715" s="2" t="str">
        <f>_xlfn.XLOOKUP(tbl_kpi[[#This Row],[LocationID]], tbl_location[LocationID], tbl_location[LocationName], "UNMAPPED_LOCATION")</f>
        <v>Finished Goods Storage</v>
      </c>
      <c r="D715" s="2">
        <v>99</v>
      </c>
      <c r="E715" s="2">
        <v>97</v>
      </c>
      <c r="F715" s="2">
        <f>tbl_kpi[[#This Row],[OnHandQty]]</f>
        <v>99</v>
      </c>
      <c r="G715" s="2">
        <f>tbl_kpi[[#This Row],[CountedQty]]-tbl_kpi[[#This Row],[ExpectedQty]]</f>
        <v>-2</v>
      </c>
      <c r="H715" s="2">
        <f>IF(tbl_kpi[[#This Row],[ExpectedQty]]=0, 1, MAX(0, 1 - ABS(tbl_kpi[[#This Row],[VarianceQty]]) / tbl_kpi[[#This Row],[ExpectedQty]]))</f>
        <v>0.97979797979797978</v>
      </c>
      <c r="I715" s="2" t="str">
        <f>IF(tbl_kpi[[#This Row],[AccuracyPct]] &lt; 0.98, "Y", "N")</f>
        <v>Y</v>
      </c>
    </row>
    <row r="716" spans="1:9">
      <c r="A716" s="2">
        <v>790</v>
      </c>
      <c r="B716" s="2">
        <v>60</v>
      </c>
      <c r="C716" s="2" t="str">
        <f>_xlfn.XLOOKUP(tbl_kpi[[#This Row],[LocationID]], tbl_location[LocationID], tbl_location[LocationName], "UNMAPPED_LOCATION")</f>
        <v>Final Assembly</v>
      </c>
      <c r="D716" s="2">
        <v>86</v>
      </c>
      <c r="E716" s="2">
        <v>88</v>
      </c>
      <c r="F716" s="2">
        <f>tbl_kpi[[#This Row],[OnHandQty]]</f>
        <v>86</v>
      </c>
      <c r="G716" s="2">
        <f>tbl_kpi[[#This Row],[CountedQty]]-tbl_kpi[[#This Row],[ExpectedQty]]</f>
        <v>2</v>
      </c>
      <c r="H716" s="2">
        <f>IF(tbl_kpi[[#This Row],[ExpectedQty]]=0, 1, MAX(0, 1 - ABS(tbl_kpi[[#This Row],[VarianceQty]]) / tbl_kpi[[#This Row],[ExpectedQty]]))</f>
        <v>0.97674418604651159</v>
      </c>
      <c r="I716" s="2" t="str">
        <f>IF(tbl_kpi[[#This Row],[AccuracyPct]] &lt; 0.98, "Y", "N")</f>
        <v>Y</v>
      </c>
    </row>
    <row r="717" spans="1:9">
      <c r="A717" s="2">
        <v>791</v>
      </c>
      <c r="B717" s="2">
        <v>7</v>
      </c>
      <c r="C717" s="2" t="str">
        <f>_xlfn.XLOOKUP(tbl_kpi[[#This Row],[LocationID]], tbl_location[LocationID], tbl_location[LocationName], "UNMAPPED_LOCATION")</f>
        <v>Finished Goods Storage</v>
      </c>
      <c r="D717" s="2">
        <v>67</v>
      </c>
      <c r="E717" s="2">
        <v>65</v>
      </c>
      <c r="F717" s="2">
        <f>tbl_kpi[[#This Row],[OnHandQty]]</f>
        <v>67</v>
      </c>
      <c r="G717" s="2">
        <f>tbl_kpi[[#This Row],[CountedQty]]-tbl_kpi[[#This Row],[ExpectedQty]]</f>
        <v>-2</v>
      </c>
      <c r="H717" s="2">
        <f>IF(tbl_kpi[[#This Row],[ExpectedQty]]=0, 1, MAX(0, 1 - ABS(tbl_kpi[[#This Row],[VarianceQty]]) / tbl_kpi[[#This Row],[ExpectedQty]]))</f>
        <v>0.97014925373134331</v>
      </c>
      <c r="I717" s="2" t="str">
        <f>IF(tbl_kpi[[#This Row],[AccuracyPct]] &lt; 0.98, "Y", "N")</f>
        <v>Y</v>
      </c>
    </row>
    <row r="718" spans="1:9">
      <c r="A718" s="2">
        <v>791</v>
      </c>
      <c r="B718" s="2">
        <v>60</v>
      </c>
      <c r="C718" s="2" t="str">
        <f>_xlfn.XLOOKUP(tbl_kpi[[#This Row],[LocationID]], tbl_location[LocationID], tbl_location[LocationName], "UNMAPPED_LOCATION")</f>
        <v>Final Assembly</v>
      </c>
      <c r="D718" s="2">
        <v>81</v>
      </c>
      <c r="E718" s="2">
        <v>83</v>
      </c>
      <c r="F718" s="2">
        <f>tbl_kpi[[#This Row],[OnHandQty]]</f>
        <v>81</v>
      </c>
      <c r="G718" s="2">
        <f>tbl_kpi[[#This Row],[CountedQty]]-tbl_kpi[[#This Row],[ExpectedQty]]</f>
        <v>2</v>
      </c>
      <c r="H718" s="2">
        <f>IF(tbl_kpi[[#This Row],[ExpectedQty]]=0, 1, MAX(0, 1 - ABS(tbl_kpi[[#This Row],[VarianceQty]]) / tbl_kpi[[#This Row],[ExpectedQty]]))</f>
        <v>0.97530864197530864</v>
      </c>
      <c r="I718" s="2" t="str">
        <f>IF(tbl_kpi[[#This Row],[AccuracyPct]] &lt; 0.98, "Y", "N")</f>
        <v>Y</v>
      </c>
    </row>
    <row r="719" spans="1:9">
      <c r="A719" s="2">
        <v>792</v>
      </c>
      <c r="B719" s="2">
        <v>7</v>
      </c>
      <c r="C719" s="2" t="str">
        <f>_xlfn.XLOOKUP(tbl_kpi[[#This Row],[LocationID]], tbl_location[LocationID], tbl_location[LocationName], "UNMAPPED_LOCATION")</f>
        <v>Finished Goods Storage</v>
      </c>
      <c r="D719" s="2">
        <v>104</v>
      </c>
      <c r="E719" s="2">
        <v>103</v>
      </c>
      <c r="F719" s="2">
        <f>tbl_kpi[[#This Row],[OnHandQty]]</f>
        <v>104</v>
      </c>
      <c r="G719" s="2">
        <f>tbl_kpi[[#This Row],[CountedQty]]-tbl_kpi[[#This Row],[ExpectedQty]]</f>
        <v>-1</v>
      </c>
      <c r="H719" s="2">
        <f>IF(tbl_kpi[[#This Row],[ExpectedQty]]=0, 1, MAX(0, 1 - ABS(tbl_kpi[[#This Row],[VarianceQty]]) / tbl_kpi[[#This Row],[ExpectedQty]]))</f>
        <v>0.99038461538461542</v>
      </c>
      <c r="I719" s="2" t="str">
        <f>IF(tbl_kpi[[#This Row],[AccuracyPct]] &lt; 0.98, "Y", "N")</f>
        <v>N</v>
      </c>
    </row>
    <row r="720" spans="1:9">
      <c r="A720" s="2">
        <v>792</v>
      </c>
      <c r="B720" s="2">
        <v>60</v>
      </c>
      <c r="C720" s="2" t="str">
        <f>_xlfn.XLOOKUP(tbl_kpi[[#This Row],[LocationID]], tbl_location[LocationID], tbl_location[LocationName], "UNMAPPED_LOCATION")</f>
        <v>Final Assembly</v>
      </c>
      <c r="D720" s="2">
        <v>123</v>
      </c>
      <c r="E720" s="2">
        <v>124</v>
      </c>
      <c r="F720" s="2">
        <f>tbl_kpi[[#This Row],[OnHandQty]]</f>
        <v>123</v>
      </c>
      <c r="G720" s="2">
        <f>tbl_kpi[[#This Row],[CountedQty]]-tbl_kpi[[#This Row],[ExpectedQty]]</f>
        <v>1</v>
      </c>
      <c r="H720" s="2">
        <f>IF(tbl_kpi[[#This Row],[ExpectedQty]]=0, 1, MAX(0, 1 - ABS(tbl_kpi[[#This Row],[VarianceQty]]) / tbl_kpi[[#This Row],[ExpectedQty]]))</f>
        <v>0.99186991869918695</v>
      </c>
      <c r="I720" s="2" t="str">
        <f>IF(tbl_kpi[[#This Row],[AccuracyPct]] &lt; 0.98, "Y", "N")</f>
        <v>N</v>
      </c>
    </row>
    <row r="721" spans="1:9">
      <c r="A721" s="2">
        <v>793</v>
      </c>
      <c r="B721" s="2">
        <v>7</v>
      </c>
      <c r="C721" s="2" t="str">
        <f>_xlfn.XLOOKUP(tbl_kpi[[#This Row],[LocationID]], tbl_location[LocationID], tbl_location[LocationName], "UNMAPPED_LOCATION")</f>
        <v>Finished Goods Storage</v>
      </c>
      <c r="D721" s="2">
        <v>56</v>
      </c>
      <c r="E721" s="2">
        <v>55</v>
      </c>
      <c r="F721" s="2">
        <f>tbl_kpi[[#This Row],[OnHandQty]]</f>
        <v>56</v>
      </c>
      <c r="G721" s="2">
        <f>tbl_kpi[[#This Row],[CountedQty]]-tbl_kpi[[#This Row],[ExpectedQty]]</f>
        <v>-1</v>
      </c>
      <c r="H721" s="2">
        <f>IF(tbl_kpi[[#This Row],[ExpectedQty]]=0, 1, MAX(0, 1 - ABS(tbl_kpi[[#This Row],[VarianceQty]]) / tbl_kpi[[#This Row],[ExpectedQty]]))</f>
        <v>0.9821428571428571</v>
      </c>
      <c r="I721" s="2" t="str">
        <f>IF(tbl_kpi[[#This Row],[AccuracyPct]] &lt; 0.98, "Y", "N")</f>
        <v>N</v>
      </c>
    </row>
    <row r="722" spans="1:9">
      <c r="A722" s="2">
        <v>793</v>
      </c>
      <c r="B722" s="2">
        <v>60</v>
      </c>
      <c r="C722" s="2" t="str">
        <f>_xlfn.XLOOKUP(tbl_kpi[[#This Row],[LocationID]], tbl_location[LocationID], tbl_location[LocationName], "UNMAPPED_LOCATION")</f>
        <v>Final Assembly</v>
      </c>
      <c r="D722" s="2">
        <v>78</v>
      </c>
      <c r="E722" s="2">
        <v>78</v>
      </c>
      <c r="F722" s="2">
        <f>tbl_kpi[[#This Row],[OnHandQty]]</f>
        <v>78</v>
      </c>
      <c r="G722" s="2">
        <f>tbl_kpi[[#This Row],[CountedQty]]-tbl_kpi[[#This Row],[ExpectedQty]]</f>
        <v>0</v>
      </c>
      <c r="H722" s="2">
        <f>IF(tbl_kpi[[#This Row],[ExpectedQty]]=0, 1, MAX(0, 1 - ABS(tbl_kpi[[#This Row],[VarianceQty]]) / tbl_kpi[[#This Row],[ExpectedQty]]))</f>
        <v>1</v>
      </c>
      <c r="I722" s="2" t="str">
        <f>IF(tbl_kpi[[#This Row],[AccuracyPct]] &lt; 0.98, "Y", "N")</f>
        <v>N</v>
      </c>
    </row>
    <row r="723" spans="1:9">
      <c r="A723" s="2">
        <v>794</v>
      </c>
      <c r="B723" s="2">
        <v>7</v>
      </c>
      <c r="C723" s="2" t="str">
        <f>_xlfn.XLOOKUP(tbl_kpi[[#This Row],[LocationID]], tbl_location[LocationID], tbl_location[LocationName], "UNMAPPED_LOCATION")</f>
        <v>Finished Goods Storage</v>
      </c>
      <c r="D723" s="2">
        <v>116</v>
      </c>
      <c r="E723" s="2">
        <v>117</v>
      </c>
      <c r="F723" s="2">
        <f>tbl_kpi[[#This Row],[OnHandQty]]</f>
        <v>116</v>
      </c>
      <c r="G723" s="2">
        <f>tbl_kpi[[#This Row],[CountedQty]]-tbl_kpi[[#This Row],[ExpectedQty]]</f>
        <v>1</v>
      </c>
      <c r="H723" s="2">
        <f>IF(tbl_kpi[[#This Row],[ExpectedQty]]=0, 1, MAX(0, 1 - ABS(tbl_kpi[[#This Row],[VarianceQty]]) / tbl_kpi[[#This Row],[ExpectedQty]]))</f>
        <v>0.99137931034482762</v>
      </c>
      <c r="I723" s="2" t="str">
        <f>IF(tbl_kpi[[#This Row],[AccuracyPct]] &lt; 0.98, "Y", "N")</f>
        <v>N</v>
      </c>
    </row>
    <row r="724" spans="1:9">
      <c r="A724" s="2">
        <v>794</v>
      </c>
      <c r="B724" s="2">
        <v>60</v>
      </c>
      <c r="C724" s="2" t="str">
        <f>_xlfn.XLOOKUP(tbl_kpi[[#This Row],[LocationID]], tbl_location[LocationID], tbl_location[LocationName], "UNMAPPED_LOCATION")</f>
        <v>Final Assembly</v>
      </c>
      <c r="D724" s="2">
        <v>49</v>
      </c>
      <c r="E724" s="2">
        <v>50</v>
      </c>
      <c r="F724" s="2">
        <f>tbl_kpi[[#This Row],[OnHandQty]]</f>
        <v>49</v>
      </c>
      <c r="G724" s="2">
        <f>tbl_kpi[[#This Row],[CountedQty]]-tbl_kpi[[#This Row],[ExpectedQty]]</f>
        <v>1</v>
      </c>
      <c r="H724" s="2">
        <f>IF(tbl_kpi[[#This Row],[ExpectedQty]]=0, 1, MAX(0, 1 - ABS(tbl_kpi[[#This Row],[VarianceQty]]) / tbl_kpi[[#This Row],[ExpectedQty]]))</f>
        <v>0.97959183673469385</v>
      </c>
      <c r="I724" s="2" t="str">
        <f>IF(tbl_kpi[[#This Row],[AccuracyPct]] &lt; 0.98, "Y", "N")</f>
        <v>Y</v>
      </c>
    </row>
    <row r="725" spans="1:9">
      <c r="A725" s="2">
        <v>795</v>
      </c>
      <c r="B725" s="2">
        <v>7</v>
      </c>
      <c r="C725" s="2" t="str">
        <f>_xlfn.XLOOKUP(tbl_kpi[[#This Row],[LocationID]], tbl_location[LocationID], tbl_location[LocationName], "UNMAPPED_LOCATION")</f>
        <v>Finished Goods Storage</v>
      </c>
      <c r="D725" s="2">
        <v>100</v>
      </c>
      <c r="E725" s="2">
        <v>97</v>
      </c>
      <c r="F725" s="2">
        <f>tbl_kpi[[#This Row],[OnHandQty]]</f>
        <v>100</v>
      </c>
      <c r="G725" s="2">
        <f>tbl_kpi[[#This Row],[CountedQty]]-tbl_kpi[[#This Row],[ExpectedQty]]</f>
        <v>-3</v>
      </c>
      <c r="H725" s="2">
        <f>IF(tbl_kpi[[#This Row],[ExpectedQty]]=0, 1, MAX(0, 1 - ABS(tbl_kpi[[#This Row],[VarianceQty]]) / tbl_kpi[[#This Row],[ExpectedQty]]))</f>
        <v>0.97</v>
      </c>
      <c r="I725" s="2" t="str">
        <f>IF(tbl_kpi[[#This Row],[AccuracyPct]] &lt; 0.98, "Y", "N")</f>
        <v>Y</v>
      </c>
    </row>
    <row r="726" spans="1:9">
      <c r="A726" s="2">
        <v>795</v>
      </c>
      <c r="B726" s="2">
        <v>60</v>
      </c>
      <c r="C726" s="2" t="str">
        <f>_xlfn.XLOOKUP(tbl_kpi[[#This Row],[LocationID]], tbl_location[LocationID], tbl_location[LocationName], "UNMAPPED_LOCATION")</f>
        <v>Final Assembly</v>
      </c>
      <c r="D726" s="2">
        <v>88</v>
      </c>
      <c r="E726" s="2">
        <v>90</v>
      </c>
      <c r="F726" s="2">
        <f>tbl_kpi[[#This Row],[OnHandQty]]</f>
        <v>88</v>
      </c>
      <c r="G726" s="2">
        <f>tbl_kpi[[#This Row],[CountedQty]]-tbl_kpi[[#This Row],[ExpectedQty]]</f>
        <v>2</v>
      </c>
      <c r="H726" s="2">
        <f>IF(tbl_kpi[[#This Row],[ExpectedQty]]=0, 1, MAX(0, 1 - ABS(tbl_kpi[[#This Row],[VarianceQty]]) / tbl_kpi[[#This Row],[ExpectedQty]]))</f>
        <v>0.97727272727272729</v>
      </c>
      <c r="I726" s="2" t="str">
        <f>IF(tbl_kpi[[#This Row],[AccuracyPct]] &lt; 0.98, "Y", "N")</f>
        <v>Y</v>
      </c>
    </row>
    <row r="727" spans="1:9">
      <c r="A727" s="2">
        <v>796</v>
      </c>
      <c r="B727" s="2">
        <v>7</v>
      </c>
      <c r="C727" s="2" t="str">
        <f>_xlfn.XLOOKUP(tbl_kpi[[#This Row],[LocationID]], tbl_location[LocationID], tbl_location[LocationName], "UNMAPPED_LOCATION")</f>
        <v>Finished Goods Storage</v>
      </c>
      <c r="D727" s="2">
        <v>65</v>
      </c>
      <c r="E727" s="2">
        <v>67</v>
      </c>
      <c r="F727" s="2">
        <f>tbl_kpi[[#This Row],[OnHandQty]]</f>
        <v>65</v>
      </c>
      <c r="G727" s="2">
        <f>tbl_kpi[[#This Row],[CountedQty]]-tbl_kpi[[#This Row],[ExpectedQty]]</f>
        <v>2</v>
      </c>
      <c r="H727" s="2">
        <f>IF(tbl_kpi[[#This Row],[ExpectedQty]]=0, 1, MAX(0, 1 - ABS(tbl_kpi[[#This Row],[VarianceQty]]) / tbl_kpi[[#This Row],[ExpectedQty]]))</f>
        <v>0.96923076923076923</v>
      </c>
      <c r="I727" s="2" t="str">
        <f>IF(tbl_kpi[[#This Row],[AccuracyPct]] &lt; 0.98, "Y", "N")</f>
        <v>Y</v>
      </c>
    </row>
    <row r="728" spans="1:9">
      <c r="A728" s="2">
        <v>796</v>
      </c>
      <c r="B728" s="2">
        <v>60</v>
      </c>
      <c r="C728" s="2" t="str">
        <f>_xlfn.XLOOKUP(tbl_kpi[[#This Row],[LocationID]], tbl_location[LocationID], tbl_location[LocationName], "UNMAPPED_LOCATION")</f>
        <v>Final Assembly</v>
      </c>
      <c r="D728" s="2">
        <v>83</v>
      </c>
      <c r="E728" s="2">
        <v>85</v>
      </c>
      <c r="F728" s="2">
        <f>tbl_kpi[[#This Row],[OnHandQty]]</f>
        <v>83</v>
      </c>
      <c r="G728" s="2">
        <f>tbl_kpi[[#This Row],[CountedQty]]-tbl_kpi[[#This Row],[ExpectedQty]]</f>
        <v>2</v>
      </c>
      <c r="H728" s="2">
        <f>IF(tbl_kpi[[#This Row],[ExpectedQty]]=0, 1, MAX(0, 1 - ABS(tbl_kpi[[#This Row],[VarianceQty]]) / tbl_kpi[[#This Row],[ExpectedQty]]))</f>
        <v>0.97590361445783136</v>
      </c>
      <c r="I728" s="2" t="str">
        <f>IF(tbl_kpi[[#This Row],[AccuracyPct]] &lt; 0.98, "Y", "N")</f>
        <v>Y</v>
      </c>
    </row>
    <row r="729" spans="1:9">
      <c r="A729" s="2">
        <v>797</v>
      </c>
      <c r="B729" s="2">
        <v>7</v>
      </c>
      <c r="C729" s="2" t="str">
        <f>_xlfn.XLOOKUP(tbl_kpi[[#This Row],[LocationID]], tbl_location[LocationID], tbl_location[LocationName], "UNMAPPED_LOCATION")</f>
        <v>Finished Goods Storage</v>
      </c>
      <c r="D729" s="2">
        <v>67</v>
      </c>
      <c r="E729" s="2">
        <v>68</v>
      </c>
      <c r="F729" s="2">
        <f>tbl_kpi[[#This Row],[OnHandQty]]</f>
        <v>67</v>
      </c>
      <c r="G729" s="2">
        <f>tbl_kpi[[#This Row],[CountedQty]]-tbl_kpi[[#This Row],[ExpectedQty]]</f>
        <v>1</v>
      </c>
      <c r="H729" s="2">
        <f>IF(tbl_kpi[[#This Row],[ExpectedQty]]=0, 1, MAX(0, 1 - ABS(tbl_kpi[[#This Row],[VarianceQty]]) / tbl_kpi[[#This Row],[ExpectedQty]]))</f>
        <v>0.9850746268656716</v>
      </c>
      <c r="I729" s="2" t="str">
        <f>IF(tbl_kpi[[#This Row],[AccuracyPct]] &lt; 0.98, "Y", "N")</f>
        <v>N</v>
      </c>
    </row>
    <row r="730" spans="1:9">
      <c r="A730" s="2">
        <v>797</v>
      </c>
      <c r="B730" s="2">
        <v>60</v>
      </c>
      <c r="C730" s="2" t="str">
        <f>_xlfn.XLOOKUP(tbl_kpi[[#This Row],[LocationID]], tbl_location[LocationID], tbl_location[LocationName], "UNMAPPED_LOCATION")</f>
        <v>Final Assembly</v>
      </c>
      <c r="D730" s="2">
        <v>81</v>
      </c>
      <c r="E730" s="2">
        <v>80</v>
      </c>
      <c r="F730" s="2">
        <f>tbl_kpi[[#This Row],[OnHandQty]]</f>
        <v>81</v>
      </c>
      <c r="G730" s="2">
        <f>tbl_kpi[[#This Row],[CountedQty]]-tbl_kpi[[#This Row],[ExpectedQty]]</f>
        <v>-1</v>
      </c>
      <c r="H730" s="2">
        <f>IF(tbl_kpi[[#This Row],[ExpectedQty]]=0, 1, MAX(0, 1 - ABS(tbl_kpi[[#This Row],[VarianceQty]]) / tbl_kpi[[#This Row],[ExpectedQty]]))</f>
        <v>0.98765432098765427</v>
      </c>
      <c r="I730" s="2" t="str">
        <f>IF(tbl_kpi[[#This Row],[AccuracyPct]] &lt; 0.98, "Y", "N")</f>
        <v>N</v>
      </c>
    </row>
    <row r="731" spans="1:9">
      <c r="A731" s="2">
        <v>798</v>
      </c>
      <c r="B731" s="2">
        <v>7</v>
      </c>
      <c r="C731" s="2" t="str">
        <f>_xlfn.XLOOKUP(tbl_kpi[[#This Row],[LocationID]], tbl_location[LocationID], tbl_location[LocationName], "UNMAPPED_LOCATION")</f>
        <v>Finished Goods Storage</v>
      </c>
      <c r="D731" s="2">
        <v>73</v>
      </c>
      <c r="E731" s="2">
        <v>72</v>
      </c>
      <c r="F731" s="2">
        <f>tbl_kpi[[#This Row],[OnHandQty]]</f>
        <v>73</v>
      </c>
      <c r="G731" s="2">
        <f>tbl_kpi[[#This Row],[CountedQty]]-tbl_kpi[[#This Row],[ExpectedQty]]</f>
        <v>-1</v>
      </c>
      <c r="H731" s="2">
        <f>IF(tbl_kpi[[#This Row],[ExpectedQty]]=0, 1, MAX(0, 1 - ABS(tbl_kpi[[#This Row],[VarianceQty]]) / tbl_kpi[[#This Row],[ExpectedQty]]))</f>
        <v>0.98630136986301364</v>
      </c>
      <c r="I731" s="2" t="str">
        <f>IF(tbl_kpi[[#This Row],[AccuracyPct]] &lt; 0.98, "Y", "N")</f>
        <v>N</v>
      </c>
    </row>
    <row r="732" spans="1:9">
      <c r="A732" s="2">
        <v>798</v>
      </c>
      <c r="B732" s="2">
        <v>60</v>
      </c>
      <c r="C732" s="2" t="str">
        <f>_xlfn.XLOOKUP(tbl_kpi[[#This Row],[LocationID]], tbl_location[LocationID], tbl_location[LocationName], "UNMAPPED_LOCATION")</f>
        <v>Final Assembly</v>
      </c>
      <c r="D732" s="2">
        <v>60</v>
      </c>
      <c r="E732" s="2">
        <v>60</v>
      </c>
      <c r="F732" s="2">
        <f>tbl_kpi[[#This Row],[OnHandQty]]</f>
        <v>60</v>
      </c>
      <c r="G732" s="2">
        <f>tbl_kpi[[#This Row],[CountedQty]]-tbl_kpi[[#This Row],[ExpectedQty]]</f>
        <v>0</v>
      </c>
      <c r="H732" s="2">
        <f>IF(tbl_kpi[[#This Row],[ExpectedQty]]=0, 1, MAX(0, 1 - ABS(tbl_kpi[[#This Row],[VarianceQty]]) / tbl_kpi[[#This Row],[ExpectedQty]]))</f>
        <v>1</v>
      </c>
      <c r="I732" s="2" t="str">
        <f>IF(tbl_kpi[[#This Row],[AccuracyPct]] &lt; 0.98, "Y", "N")</f>
        <v>N</v>
      </c>
    </row>
    <row r="733" spans="1:9">
      <c r="A733" s="2">
        <v>799</v>
      </c>
      <c r="B733" s="2">
        <v>7</v>
      </c>
      <c r="C733" s="2" t="str">
        <f>_xlfn.XLOOKUP(tbl_kpi[[#This Row],[LocationID]], tbl_location[LocationID], tbl_location[LocationName], "UNMAPPED_LOCATION")</f>
        <v>Finished Goods Storage</v>
      </c>
      <c r="D733" s="2">
        <v>104</v>
      </c>
      <c r="E733" s="2">
        <v>104</v>
      </c>
      <c r="F733" s="2">
        <f>tbl_kpi[[#This Row],[OnHandQty]]</f>
        <v>104</v>
      </c>
      <c r="G733" s="2">
        <f>tbl_kpi[[#This Row],[CountedQty]]-tbl_kpi[[#This Row],[ExpectedQty]]</f>
        <v>0</v>
      </c>
      <c r="H733" s="2">
        <f>IF(tbl_kpi[[#This Row],[ExpectedQty]]=0, 1, MAX(0, 1 - ABS(tbl_kpi[[#This Row],[VarianceQty]]) / tbl_kpi[[#This Row],[ExpectedQty]]))</f>
        <v>1</v>
      </c>
      <c r="I733" s="2" t="str">
        <f>IF(tbl_kpi[[#This Row],[AccuracyPct]] &lt; 0.98, "Y", "N")</f>
        <v>N</v>
      </c>
    </row>
    <row r="734" spans="1:9">
      <c r="A734" s="2">
        <v>799</v>
      </c>
      <c r="B734" s="2">
        <v>60</v>
      </c>
      <c r="C734" s="2" t="str">
        <f>_xlfn.XLOOKUP(tbl_kpi[[#This Row],[LocationID]], tbl_location[LocationID], tbl_location[LocationName], "UNMAPPED_LOCATION")</f>
        <v>Final Assembly</v>
      </c>
      <c r="D734" s="2">
        <v>123</v>
      </c>
      <c r="E734" s="2">
        <v>121</v>
      </c>
      <c r="F734" s="2">
        <f>tbl_kpi[[#This Row],[OnHandQty]]</f>
        <v>123</v>
      </c>
      <c r="G734" s="2">
        <f>tbl_kpi[[#This Row],[CountedQty]]-tbl_kpi[[#This Row],[ExpectedQty]]</f>
        <v>-2</v>
      </c>
      <c r="H734" s="2">
        <f>IF(tbl_kpi[[#This Row],[ExpectedQty]]=0, 1, MAX(0, 1 - ABS(tbl_kpi[[#This Row],[VarianceQty]]) / tbl_kpi[[#This Row],[ExpectedQty]]))</f>
        <v>0.98373983739837401</v>
      </c>
      <c r="I734" s="2" t="str">
        <f>IF(tbl_kpi[[#This Row],[AccuracyPct]] &lt; 0.98, "Y", "N")</f>
        <v>N</v>
      </c>
    </row>
    <row r="735" spans="1:9">
      <c r="A735" s="2">
        <v>800</v>
      </c>
      <c r="B735" s="2">
        <v>7</v>
      </c>
      <c r="C735" s="2" t="str">
        <f>_xlfn.XLOOKUP(tbl_kpi[[#This Row],[LocationID]], tbl_location[LocationID], tbl_location[LocationName], "UNMAPPED_LOCATION")</f>
        <v>Finished Goods Storage</v>
      </c>
      <c r="D735" s="2">
        <v>30</v>
      </c>
      <c r="E735" s="2">
        <v>30</v>
      </c>
      <c r="F735" s="2">
        <f>tbl_kpi[[#This Row],[OnHandQty]]</f>
        <v>30</v>
      </c>
      <c r="G735" s="2">
        <f>tbl_kpi[[#This Row],[CountedQty]]-tbl_kpi[[#This Row],[ExpectedQty]]</f>
        <v>0</v>
      </c>
      <c r="H735" s="2">
        <f>IF(tbl_kpi[[#This Row],[ExpectedQty]]=0, 1, MAX(0, 1 - ABS(tbl_kpi[[#This Row],[VarianceQty]]) / tbl_kpi[[#This Row],[ExpectedQty]]))</f>
        <v>1</v>
      </c>
      <c r="I735" s="2" t="str">
        <f>IF(tbl_kpi[[#This Row],[AccuracyPct]] &lt; 0.98, "Y", "N")</f>
        <v>N</v>
      </c>
    </row>
    <row r="736" spans="1:9">
      <c r="A736" s="2">
        <v>800</v>
      </c>
      <c r="B736" s="2">
        <v>60</v>
      </c>
      <c r="C736" s="2" t="str">
        <f>_xlfn.XLOOKUP(tbl_kpi[[#This Row],[LocationID]], tbl_location[LocationID], tbl_location[LocationName], "UNMAPPED_LOCATION")</f>
        <v>Final Assembly</v>
      </c>
      <c r="D736" s="2">
        <v>99</v>
      </c>
      <c r="E736" s="2">
        <v>102</v>
      </c>
      <c r="F736" s="2">
        <f>tbl_kpi[[#This Row],[OnHandQty]]</f>
        <v>99</v>
      </c>
      <c r="G736" s="2">
        <f>tbl_kpi[[#This Row],[CountedQty]]-tbl_kpi[[#This Row],[ExpectedQty]]</f>
        <v>3</v>
      </c>
      <c r="H736" s="2">
        <f>IF(tbl_kpi[[#This Row],[ExpectedQty]]=0, 1, MAX(0, 1 - ABS(tbl_kpi[[#This Row],[VarianceQty]]) / tbl_kpi[[#This Row],[ExpectedQty]]))</f>
        <v>0.96969696969696972</v>
      </c>
      <c r="I736" s="2" t="str">
        <f>IF(tbl_kpi[[#This Row],[AccuracyPct]] &lt; 0.98, "Y", "N")</f>
        <v>Y</v>
      </c>
    </row>
    <row r="737" spans="1:9">
      <c r="A737" s="2">
        <v>801</v>
      </c>
      <c r="B737" s="2">
        <v>7</v>
      </c>
      <c r="C737" s="2" t="str">
        <f>_xlfn.XLOOKUP(tbl_kpi[[#This Row],[LocationID]], tbl_location[LocationID], tbl_location[LocationName], "UNMAPPED_LOCATION")</f>
        <v>Finished Goods Storage</v>
      </c>
      <c r="D737" s="2">
        <v>56</v>
      </c>
      <c r="E737" s="2">
        <v>56</v>
      </c>
      <c r="F737" s="2">
        <f>tbl_kpi[[#This Row],[OnHandQty]]</f>
        <v>56</v>
      </c>
      <c r="G737" s="2">
        <f>tbl_kpi[[#This Row],[CountedQty]]-tbl_kpi[[#This Row],[ExpectedQty]]</f>
        <v>0</v>
      </c>
      <c r="H737" s="2">
        <f>IF(tbl_kpi[[#This Row],[ExpectedQty]]=0, 1, MAX(0, 1 - ABS(tbl_kpi[[#This Row],[VarianceQty]]) / tbl_kpi[[#This Row],[ExpectedQty]]))</f>
        <v>1</v>
      </c>
      <c r="I737" s="2" t="str">
        <f>IF(tbl_kpi[[#This Row],[AccuracyPct]] &lt; 0.98, "Y", "N")</f>
        <v>N</v>
      </c>
    </row>
    <row r="738" spans="1:9">
      <c r="A738" s="2">
        <v>801</v>
      </c>
      <c r="B738" s="2">
        <v>60</v>
      </c>
      <c r="C738" s="2" t="str">
        <f>_xlfn.XLOOKUP(tbl_kpi[[#This Row],[LocationID]], tbl_location[LocationID], tbl_location[LocationName], "UNMAPPED_LOCATION")</f>
        <v>Final Assembly</v>
      </c>
      <c r="D738" s="2">
        <v>78</v>
      </c>
      <c r="E738" s="2">
        <v>78</v>
      </c>
      <c r="F738" s="2">
        <f>tbl_kpi[[#This Row],[OnHandQty]]</f>
        <v>78</v>
      </c>
      <c r="G738" s="2">
        <f>tbl_kpi[[#This Row],[CountedQty]]-tbl_kpi[[#This Row],[ExpectedQty]]</f>
        <v>0</v>
      </c>
      <c r="H738" s="2">
        <f>IF(tbl_kpi[[#This Row],[ExpectedQty]]=0, 1, MAX(0, 1 - ABS(tbl_kpi[[#This Row],[VarianceQty]]) / tbl_kpi[[#This Row],[ExpectedQty]]))</f>
        <v>1</v>
      </c>
      <c r="I738" s="2" t="str">
        <f>IF(tbl_kpi[[#This Row],[AccuracyPct]] &lt; 0.98, "Y", "N")</f>
        <v>N</v>
      </c>
    </row>
    <row r="739" spans="1:9">
      <c r="A739" s="2">
        <v>802</v>
      </c>
      <c r="B739" s="2">
        <v>5</v>
      </c>
      <c r="C739" s="2" t="str">
        <f>_xlfn.XLOOKUP(tbl_kpi[[#This Row],[LocationID]], tbl_location[LocationID], tbl_location[LocationName], "UNMAPPED_LOCATION")</f>
        <v>Metal Storage</v>
      </c>
      <c r="D739" s="2">
        <v>350</v>
      </c>
      <c r="E739" s="2">
        <v>343</v>
      </c>
      <c r="F739" s="2">
        <f>tbl_kpi[[#This Row],[OnHandQty]]</f>
        <v>350</v>
      </c>
      <c r="G739" s="2">
        <f>tbl_kpi[[#This Row],[CountedQty]]-tbl_kpi[[#This Row],[ExpectedQty]]</f>
        <v>-7</v>
      </c>
      <c r="H739" s="2">
        <f>IF(tbl_kpi[[#This Row],[ExpectedQty]]=0, 1, MAX(0, 1 - ABS(tbl_kpi[[#This Row],[VarianceQty]]) / tbl_kpi[[#This Row],[ExpectedQty]]))</f>
        <v>0.98</v>
      </c>
      <c r="I739" s="2" t="str">
        <f>IF(tbl_kpi[[#This Row],[AccuracyPct]] &lt; 0.98, "Y", "N")</f>
        <v>N</v>
      </c>
    </row>
    <row r="740" spans="1:9">
      <c r="A740" s="2">
        <v>802</v>
      </c>
      <c r="B740" s="2">
        <v>10</v>
      </c>
      <c r="C740" s="2" t="str">
        <f>_xlfn.XLOOKUP(tbl_kpi[[#This Row],[LocationID]], tbl_location[LocationID], tbl_location[LocationName], "UNMAPPED_LOCATION")</f>
        <v>Frame Forming</v>
      </c>
      <c r="D740" s="2">
        <v>240</v>
      </c>
      <c r="E740" s="2">
        <v>237</v>
      </c>
      <c r="F740" s="2">
        <f>tbl_kpi[[#This Row],[OnHandQty]]</f>
        <v>240</v>
      </c>
      <c r="G740" s="2">
        <f>tbl_kpi[[#This Row],[CountedQty]]-tbl_kpi[[#This Row],[ExpectedQty]]</f>
        <v>-3</v>
      </c>
      <c r="H740" s="2">
        <f>IF(tbl_kpi[[#This Row],[ExpectedQty]]=0, 1, MAX(0, 1 - ABS(tbl_kpi[[#This Row],[VarianceQty]]) / tbl_kpi[[#This Row],[ExpectedQty]]))</f>
        <v>0.98750000000000004</v>
      </c>
      <c r="I740" s="2" t="str">
        <f>IF(tbl_kpi[[#This Row],[AccuracyPct]] &lt; 0.98, "Y", "N")</f>
        <v>N</v>
      </c>
    </row>
    <row r="741" spans="1:9">
      <c r="A741" s="2">
        <v>802</v>
      </c>
      <c r="B741" s="2">
        <v>50</v>
      </c>
      <c r="C741" s="2" t="str">
        <f>_xlfn.XLOOKUP(tbl_kpi[[#This Row],[LocationID]], tbl_location[LocationID], tbl_location[LocationName], "UNMAPPED_LOCATION")</f>
        <v>Subassembly</v>
      </c>
      <c r="D741" s="2">
        <v>273</v>
      </c>
      <c r="E741" s="2">
        <v>271</v>
      </c>
      <c r="F741" s="2">
        <f>tbl_kpi[[#This Row],[OnHandQty]]</f>
        <v>273</v>
      </c>
      <c r="G741" s="2">
        <f>tbl_kpi[[#This Row],[CountedQty]]-tbl_kpi[[#This Row],[ExpectedQty]]</f>
        <v>-2</v>
      </c>
      <c r="H741" s="2">
        <f>IF(tbl_kpi[[#This Row],[ExpectedQty]]=0, 1, MAX(0, 1 - ABS(tbl_kpi[[#This Row],[VarianceQty]]) / tbl_kpi[[#This Row],[ExpectedQty]]))</f>
        <v>0.9926739926739927</v>
      </c>
      <c r="I741" s="2" t="str">
        <f>IF(tbl_kpi[[#This Row],[AccuracyPct]] &lt; 0.98, "Y", "N")</f>
        <v>N</v>
      </c>
    </row>
    <row r="742" spans="1:9">
      <c r="A742" s="2">
        <v>803</v>
      </c>
      <c r="B742" s="2">
        <v>5</v>
      </c>
      <c r="C742" s="2" t="str">
        <f>_xlfn.XLOOKUP(tbl_kpi[[#This Row],[LocationID]], tbl_location[LocationID], tbl_location[LocationName], "UNMAPPED_LOCATION")</f>
        <v>Metal Storage</v>
      </c>
      <c r="D742" s="2">
        <v>356</v>
      </c>
      <c r="E742" s="2">
        <v>355</v>
      </c>
      <c r="F742" s="2">
        <f>tbl_kpi[[#This Row],[OnHandQty]]</f>
        <v>356</v>
      </c>
      <c r="G742" s="2">
        <f>tbl_kpi[[#This Row],[CountedQty]]-tbl_kpi[[#This Row],[ExpectedQty]]</f>
        <v>-1</v>
      </c>
      <c r="H742" s="2">
        <f>IF(tbl_kpi[[#This Row],[ExpectedQty]]=0, 1, MAX(0, 1 - ABS(tbl_kpi[[#This Row],[VarianceQty]]) / tbl_kpi[[#This Row],[ExpectedQty]]))</f>
        <v>0.9971910112359551</v>
      </c>
      <c r="I742" s="2" t="str">
        <f>IF(tbl_kpi[[#This Row],[AccuracyPct]] &lt; 0.98, "Y", "N")</f>
        <v>N</v>
      </c>
    </row>
    <row r="743" spans="1:9">
      <c r="A743" s="2">
        <v>803</v>
      </c>
      <c r="B743" s="2">
        <v>10</v>
      </c>
      <c r="C743" s="2" t="str">
        <f>_xlfn.XLOOKUP(tbl_kpi[[#This Row],[LocationID]], tbl_location[LocationID], tbl_location[LocationName], "UNMAPPED_LOCATION")</f>
        <v>Frame Forming</v>
      </c>
      <c r="D743" s="2">
        <v>246</v>
      </c>
      <c r="E743" s="2">
        <v>248</v>
      </c>
      <c r="F743" s="2">
        <f>tbl_kpi[[#This Row],[OnHandQty]]</f>
        <v>246</v>
      </c>
      <c r="G743" s="2">
        <f>tbl_kpi[[#This Row],[CountedQty]]-tbl_kpi[[#This Row],[ExpectedQty]]</f>
        <v>2</v>
      </c>
      <c r="H743" s="2">
        <f>IF(tbl_kpi[[#This Row],[ExpectedQty]]=0, 1, MAX(0, 1 - ABS(tbl_kpi[[#This Row],[VarianceQty]]) / tbl_kpi[[#This Row],[ExpectedQty]]))</f>
        <v>0.99186991869918695</v>
      </c>
      <c r="I743" s="2" t="str">
        <f>IF(tbl_kpi[[#This Row],[AccuracyPct]] &lt; 0.98, "Y", "N")</f>
        <v>N</v>
      </c>
    </row>
    <row r="744" spans="1:9">
      <c r="A744" s="2">
        <v>803</v>
      </c>
      <c r="B744" s="2">
        <v>50</v>
      </c>
      <c r="C744" s="2" t="str">
        <f>_xlfn.XLOOKUP(tbl_kpi[[#This Row],[LocationID]], tbl_location[LocationID], tbl_location[LocationName], "UNMAPPED_LOCATION")</f>
        <v>Subassembly</v>
      </c>
      <c r="D744" s="2">
        <v>280</v>
      </c>
      <c r="E744" s="2">
        <v>280</v>
      </c>
      <c r="F744" s="2">
        <f>tbl_kpi[[#This Row],[OnHandQty]]</f>
        <v>280</v>
      </c>
      <c r="G744" s="2">
        <f>tbl_kpi[[#This Row],[CountedQty]]-tbl_kpi[[#This Row],[ExpectedQty]]</f>
        <v>0</v>
      </c>
      <c r="H744" s="2">
        <f>IF(tbl_kpi[[#This Row],[ExpectedQty]]=0, 1, MAX(0, 1 - ABS(tbl_kpi[[#This Row],[VarianceQty]]) / tbl_kpi[[#This Row],[ExpectedQty]]))</f>
        <v>1</v>
      </c>
      <c r="I744" s="2" t="str">
        <f>IF(tbl_kpi[[#This Row],[AccuracyPct]] &lt; 0.98, "Y", "N")</f>
        <v>N</v>
      </c>
    </row>
    <row r="745" spans="1:9">
      <c r="A745" s="2">
        <v>804</v>
      </c>
      <c r="B745" s="2">
        <v>5</v>
      </c>
      <c r="C745" s="2" t="str">
        <f>_xlfn.XLOOKUP(tbl_kpi[[#This Row],[LocationID]], tbl_location[LocationID], tbl_location[LocationName], "UNMAPPED_LOCATION")</f>
        <v>Metal Storage</v>
      </c>
      <c r="D745" s="2">
        <v>363</v>
      </c>
      <c r="E745" s="2">
        <v>370</v>
      </c>
      <c r="F745" s="2">
        <f>tbl_kpi[[#This Row],[OnHandQty]]</f>
        <v>363</v>
      </c>
      <c r="G745" s="2">
        <f>tbl_kpi[[#This Row],[CountedQty]]-tbl_kpi[[#This Row],[ExpectedQty]]</f>
        <v>7</v>
      </c>
      <c r="H745" s="2">
        <f>IF(tbl_kpi[[#This Row],[ExpectedQty]]=0, 1, MAX(0, 1 - ABS(tbl_kpi[[#This Row],[VarianceQty]]) / tbl_kpi[[#This Row],[ExpectedQty]]))</f>
        <v>0.9807162534435262</v>
      </c>
      <c r="I745" s="2" t="str">
        <f>IF(tbl_kpi[[#This Row],[AccuracyPct]] &lt; 0.98, "Y", "N")</f>
        <v>N</v>
      </c>
    </row>
    <row r="746" spans="1:9">
      <c r="A746" s="2">
        <v>804</v>
      </c>
      <c r="B746" s="2">
        <v>10</v>
      </c>
      <c r="C746" s="2" t="str">
        <f>_xlfn.XLOOKUP(tbl_kpi[[#This Row],[LocationID]], tbl_location[LocationID], tbl_location[LocationName], "UNMAPPED_LOCATION")</f>
        <v>Frame Forming</v>
      </c>
      <c r="D746" s="2">
        <v>252</v>
      </c>
      <c r="E746" s="2">
        <v>249</v>
      </c>
      <c r="F746" s="2">
        <f>tbl_kpi[[#This Row],[OnHandQty]]</f>
        <v>252</v>
      </c>
      <c r="G746" s="2">
        <f>tbl_kpi[[#This Row],[CountedQty]]-tbl_kpi[[#This Row],[ExpectedQty]]</f>
        <v>-3</v>
      </c>
      <c r="H746" s="2">
        <f>IF(tbl_kpi[[#This Row],[ExpectedQty]]=0, 1, MAX(0, 1 - ABS(tbl_kpi[[#This Row],[VarianceQty]]) / tbl_kpi[[#This Row],[ExpectedQty]]))</f>
        <v>0.98809523809523814</v>
      </c>
      <c r="I746" s="2" t="str">
        <f>IF(tbl_kpi[[#This Row],[AccuracyPct]] &lt; 0.98, "Y", "N")</f>
        <v>N</v>
      </c>
    </row>
    <row r="747" spans="1:9">
      <c r="A747" s="2">
        <v>804</v>
      </c>
      <c r="B747" s="2">
        <v>50</v>
      </c>
      <c r="C747" s="2" t="str">
        <f>_xlfn.XLOOKUP(tbl_kpi[[#This Row],[LocationID]], tbl_location[LocationID], tbl_location[LocationName], "UNMAPPED_LOCATION")</f>
        <v>Subassembly</v>
      </c>
      <c r="D747" s="2">
        <v>286</v>
      </c>
      <c r="E747" s="2">
        <v>286</v>
      </c>
      <c r="F747" s="2">
        <f>tbl_kpi[[#This Row],[OnHandQty]]</f>
        <v>286</v>
      </c>
      <c r="G747" s="2">
        <f>tbl_kpi[[#This Row],[CountedQty]]-tbl_kpi[[#This Row],[ExpectedQty]]</f>
        <v>0</v>
      </c>
      <c r="H747" s="2">
        <f>IF(tbl_kpi[[#This Row],[ExpectedQty]]=0, 1, MAX(0, 1 - ABS(tbl_kpi[[#This Row],[VarianceQty]]) / tbl_kpi[[#This Row],[ExpectedQty]]))</f>
        <v>1</v>
      </c>
      <c r="I747" s="2" t="str">
        <f>IF(tbl_kpi[[#This Row],[AccuracyPct]] &lt; 0.98, "Y", "N")</f>
        <v>N</v>
      </c>
    </row>
    <row r="748" spans="1:9">
      <c r="A748" s="2">
        <v>805</v>
      </c>
      <c r="B748" s="2">
        <v>1</v>
      </c>
      <c r="C748" s="2" t="str">
        <f>_xlfn.XLOOKUP(tbl_kpi[[#This Row],[LocationID]], tbl_location[LocationID], tbl_location[LocationName], "UNMAPPED_LOCATION")</f>
        <v>Tool Crib</v>
      </c>
      <c r="D748" s="2">
        <v>284</v>
      </c>
      <c r="E748" s="2">
        <v>283</v>
      </c>
      <c r="F748" s="2">
        <f>tbl_kpi[[#This Row],[OnHandQty]]</f>
        <v>284</v>
      </c>
      <c r="G748" s="2">
        <f>tbl_kpi[[#This Row],[CountedQty]]-tbl_kpi[[#This Row],[ExpectedQty]]</f>
        <v>-1</v>
      </c>
      <c r="H748" s="2">
        <f>IF(tbl_kpi[[#This Row],[ExpectedQty]]=0, 1, MAX(0, 1 - ABS(tbl_kpi[[#This Row],[VarianceQty]]) / tbl_kpi[[#This Row],[ExpectedQty]]))</f>
        <v>0.99647887323943662</v>
      </c>
      <c r="I748" s="2" t="str">
        <f>IF(tbl_kpi[[#This Row],[AccuracyPct]] &lt; 0.98, "Y", "N")</f>
        <v>N</v>
      </c>
    </row>
    <row r="749" spans="1:9">
      <c r="A749" s="2">
        <v>805</v>
      </c>
      <c r="B749" s="2">
        <v>6</v>
      </c>
      <c r="C749" s="2" t="str">
        <f>_xlfn.XLOOKUP(tbl_kpi[[#This Row],[LocationID]], tbl_location[LocationID], tbl_location[LocationName], "UNMAPPED_LOCATION")</f>
        <v>Miscellaneous Storage</v>
      </c>
      <c r="D749" s="2">
        <v>265</v>
      </c>
      <c r="E749" s="2">
        <v>266</v>
      </c>
      <c r="F749" s="2">
        <f>tbl_kpi[[#This Row],[OnHandQty]]</f>
        <v>265</v>
      </c>
      <c r="G749" s="2">
        <f>tbl_kpi[[#This Row],[CountedQty]]-tbl_kpi[[#This Row],[ExpectedQty]]</f>
        <v>1</v>
      </c>
      <c r="H749" s="2">
        <f>IF(tbl_kpi[[#This Row],[ExpectedQty]]=0, 1, MAX(0, 1 - ABS(tbl_kpi[[#This Row],[VarianceQty]]) / tbl_kpi[[#This Row],[ExpectedQty]]))</f>
        <v>0.99622641509433962</v>
      </c>
      <c r="I749" s="2" t="str">
        <f>IF(tbl_kpi[[#This Row],[AccuracyPct]] &lt; 0.98, "Y", "N")</f>
        <v>N</v>
      </c>
    </row>
    <row r="750" spans="1:9">
      <c r="A750" s="2">
        <v>805</v>
      </c>
      <c r="B750" s="2">
        <v>50</v>
      </c>
      <c r="C750" s="2" t="str">
        <f>_xlfn.XLOOKUP(tbl_kpi[[#This Row],[LocationID]], tbl_location[LocationID], tbl_location[LocationName], "UNMAPPED_LOCATION")</f>
        <v>Subassembly</v>
      </c>
      <c r="D750" s="2">
        <v>212</v>
      </c>
      <c r="E750" s="2">
        <v>211</v>
      </c>
      <c r="F750" s="2">
        <f>tbl_kpi[[#This Row],[OnHandQty]]</f>
        <v>212</v>
      </c>
      <c r="G750" s="2">
        <f>tbl_kpi[[#This Row],[CountedQty]]-tbl_kpi[[#This Row],[ExpectedQty]]</f>
        <v>-1</v>
      </c>
      <c r="H750" s="2">
        <f>IF(tbl_kpi[[#This Row],[ExpectedQty]]=0, 1, MAX(0, 1 - ABS(tbl_kpi[[#This Row],[VarianceQty]]) / tbl_kpi[[#This Row],[ExpectedQty]]))</f>
        <v>0.99528301886792447</v>
      </c>
      <c r="I750" s="2" t="str">
        <f>IF(tbl_kpi[[#This Row],[AccuracyPct]] &lt; 0.98, "Y", "N")</f>
        <v>N</v>
      </c>
    </row>
    <row r="751" spans="1:9">
      <c r="A751" s="2">
        <v>806</v>
      </c>
      <c r="B751" s="2">
        <v>1</v>
      </c>
      <c r="C751" s="2" t="str">
        <f>_xlfn.XLOOKUP(tbl_kpi[[#This Row],[LocationID]], tbl_location[LocationID], tbl_location[LocationName], "UNMAPPED_LOCATION")</f>
        <v>Tool Crib</v>
      </c>
      <c r="D751" s="2">
        <v>288</v>
      </c>
      <c r="E751" s="2">
        <v>282</v>
      </c>
      <c r="F751" s="2">
        <f>tbl_kpi[[#This Row],[OnHandQty]]</f>
        <v>288</v>
      </c>
      <c r="G751" s="2">
        <f>tbl_kpi[[#This Row],[CountedQty]]-tbl_kpi[[#This Row],[ExpectedQty]]</f>
        <v>-6</v>
      </c>
      <c r="H751" s="2">
        <f>IF(tbl_kpi[[#This Row],[ExpectedQty]]=0, 1, MAX(0, 1 - ABS(tbl_kpi[[#This Row],[VarianceQty]]) / tbl_kpi[[#This Row],[ExpectedQty]]))</f>
        <v>0.97916666666666663</v>
      </c>
      <c r="I751" s="2" t="str">
        <f>IF(tbl_kpi[[#This Row],[AccuracyPct]] &lt; 0.98, "Y", "N")</f>
        <v>Y</v>
      </c>
    </row>
    <row r="752" spans="1:9">
      <c r="A752" s="2">
        <v>806</v>
      </c>
      <c r="B752" s="2">
        <v>6</v>
      </c>
      <c r="C752" s="2" t="str">
        <f>_xlfn.XLOOKUP(tbl_kpi[[#This Row],[LocationID]], tbl_location[LocationID], tbl_location[LocationName], "UNMAPPED_LOCATION")</f>
        <v>Miscellaneous Storage</v>
      </c>
      <c r="D752" s="2">
        <v>268</v>
      </c>
      <c r="E752" s="2">
        <v>274</v>
      </c>
      <c r="F752" s="2">
        <f>tbl_kpi[[#This Row],[OnHandQty]]</f>
        <v>268</v>
      </c>
      <c r="G752" s="2">
        <f>tbl_kpi[[#This Row],[CountedQty]]-tbl_kpi[[#This Row],[ExpectedQty]]</f>
        <v>6</v>
      </c>
      <c r="H752" s="2">
        <f>IF(tbl_kpi[[#This Row],[ExpectedQty]]=0, 1, MAX(0, 1 - ABS(tbl_kpi[[#This Row],[VarianceQty]]) / tbl_kpi[[#This Row],[ExpectedQty]]))</f>
        <v>0.97761194029850751</v>
      </c>
      <c r="I752" s="2" t="str">
        <f>IF(tbl_kpi[[#This Row],[AccuracyPct]] &lt; 0.98, "Y", "N")</f>
        <v>Y</v>
      </c>
    </row>
    <row r="753" spans="1:9">
      <c r="A753" s="2">
        <v>806</v>
      </c>
      <c r="B753" s="2">
        <v>50</v>
      </c>
      <c r="C753" s="2" t="str">
        <f>_xlfn.XLOOKUP(tbl_kpi[[#This Row],[LocationID]], tbl_location[LocationID], tbl_location[LocationName], "UNMAPPED_LOCATION")</f>
        <v>Subassembly</v>
      </c>
      <c r="D753" s="2">
        <v>216</v>
      </c>
      <c r="E753" s="2">
        <v>218</v>
      </c>
      <c r="F753" s="2">
        <f>tbl_kpi[[#This Row],[OnHandQty]]</f>
        <v>216</v>
      </c>
      <c r="G753" s="2">
        <f>tbl_kpi[[#This Row],[CountedQty]]-tbl_kpi[[#This Row],[ExpectedQty]]</f>
        <v>2</v>
      </c>
      <c r="H753" s="2">
        <f>IF(tbl_kpi[[#This Row],[ExpectedQty]]=0, 1, MAX(0, 1 - ABS(tbl_kpi[[#This Row],[VarianceQty]]) / tbl_kpi[[#This Row],[ExpectedQty]]))</f>
        <v>0.9907407407407407</v>
      </c>
      <c r="I753" s="2" t="str">
        <f>IF(tbl_kpi[[#This Row],[AccuracyPct]] &lt; 0.98, "Y", "N")</f>
        <v>N</v>
      </c>
    </row>
    <row r="754" spans="1:9">
      <c r="A754" s="2">
        <v>807</v>
      </c>
      <c r="B754" s="2">
        <v>1</v>
      </c>
      <c r="C754" s="2" t="str">
        <f>_xlfn.XLOOKUP(tbl_kpi[[#This Row],[LocationID]], tbl_location[LocationID], tbl_location[LocationName], "UNMAPPED_LOCATION")</f>
        <v>Tool Crib</v>
      </c>
      <c r="D754" s="2">
        <v>291</v>
      </c>
      <c r="E754" s="2">
        <v>294</v>
      </c>
      <c r="F754" s="2">
        <f>tbl_kpi[[#This Row],[OnHandQty]]</f>
        <v>291</v>
      </c>
      <c r="G754" s="2">
        <f>tbl_kpi[[#This Row],[CountedQty]]-tbl_kpi[[#This Row],[ExpectedQty]]</f>
        <v>3</v>
      </c>
      <c r="H754" s="2">
        <f>IF(tbl_kpi[[#This Row],[ExpectedQty]]=0, 1, MAX(0, 1 - ABS(tbl_kpi[[#This Row],[VarianceQty]]) / tbl_kpi[[#This Row],[ExpectedQty]]))</f>
        <v>0.98969072164948457</v>
      </c>
      <c r="I754" s="2" t="str">
        <f>IF(tbl_kpi[[#This Row],[AccuracyPct]] &lt; 0.98, "Y", "N")</f>
        <v>N</v>
      </c>
    </row>
    <row r="755" spans="1:9">
      <c r="A755" s="2">
        <v>807</v>
      </c>
      <c r="B755" s="2">
        <v>6</v>
      </c>
      <c r="C755" s="2" t="str">
        <f>_xlfn.XLOOKUP(tbl_kpi[[#This Row],[LocationID]], tbl_location[LocationID], tbl_location[LocationName], "UNMAPPED_LOCATION")</f>
        <v>Miscellaneous Storage</v>
      </c>
      <c r="D755" s="2">
        <v>272</v>
      </c>
      <c r="E755" s="2">
        <v>279</v>
      </c>
      <c r="F755" s="2">
        <f>tbl_kpi[[#This Row],[OnHandQty]]</f>
        <v>272</v>
      </c>
      <c r="G755" s="2">
        <f>tbl_kpi[[#This Row],[CountedQty]]-tbl_kpi[[#This Row],[ExpectedQty]]</f>
        <v>7</v>
      </c>
      <c r="H755" s="2">
        <f>IF(tbl_kpi[[#This Row],[ExpectedQty]]=0, 1, MAX(0, 1 - ABS(tbl_kpi[[#This Row],[VarianceQty]]) / tbl_kpi[[#This Row],[ExpectedQty]]))</f>
        <v>0.97426470588235292</v>
      </c>
      <c r="I755" s="2" t="str">
        <f>IF(tbl_kpi[[#This Row],[AccuracyPct]] &lt; 0.98, "Y", "N")</f>
        <v>Y</v>
      </c>
    </row>
    <row r="756" spans="1:9">
      <c r="A756" s="2">
        <v>807</v>
      </c>
      <c r="B756" s="2">
        <v>50</v>
      </c>
      <c r="C756" s="2" t="str">
        <f>_xlfn.XLOOKUP(tbl_kpi[[#This Row],[LocationID]], tbl_location[LocationID], tbl_location[LocationName], "UNMAPPED_LOCATION")</f>
        <v>Subassembly</v>
      </c>
      <c r="D756" s="2">
        <v>219</v>
      </c>
      <c r="E756" s="2">
        <v>218</v>
      </c>
      <c r="F756" s="2">
        <f>tbl_kpi[[#This Row],[OnHandQty]]</f>
        <v>219</v>
      </c>
      <c r="G756" s="2">
        <f>tbl_kpi[[#This Row],[CountedQty]]-tbl_kpi[[#This Row],[ExpectedQty]]</f>
        <v>-1</v>
      </c>
      <c r="H756" s="2">
        <f>IF(tbl_kpi[[#This Row],[ExpectedQty]]=0, 1, MAX(0, 1 - ABS(tbl_kpi[[#This Row],[VarianceQty]]) / tbl_kpi[[#This Row],[ExpectedQty]]))</f>
        <v>0.99543378995433796</v>
      </c>
      <c r="I756" s="2" t="str">
        <f>IF(tbl_kpi[[#This Row],[AccuracyPct]] &lt; 0.98, "Y", "N")</f>
        <v>N</v>
      </c>
    </row>
    <row r="757" spans="1:9">
      <c r="A757" s="2">
        <v>808</v>
      </c>
      <c r="B757" s="2">
        <v>10</v>
      </c>
      <c r="C757" s="2" t="str">
        <f>_xlfn.XLOOKUP(tbl_kpi[[#This Row],[LocationID]], tbl_location[LocationID], tbl_location[LocationName], "UNMAPPED_LOCATION")</f>
        <v>Frame Forming</v>
      </c>
      <c r="D757" s="2">
        <v>267</v>
      </c>
      <c r="E757" s="2">
        <v>267</v>
      </c>
      <c r="F757" s="2">
        <f>tbl_kpi[[#This Row],[OnHandQty]]</f>
        <v>267</v>
      </c>
      <c r="G757" s="2">
        <f>tbl_kpi[[#This Row],[CountedQty]]-tbl_kpi[[#This Row],[ExpectedQty]]</f>
        <v>0</v>
      </c>
      <c r="H757" s="2">
        <f>IF(tbl_kpi[[#This Row],[ExpectedQty]]=0, 1, MAX(0, 1 - ABS(tbl_kpi[[#This Row],[VarianceQty]]) / tbl_kpi[[#This Row],[ExpectedQty]]))</f>
        <v>1</v>
      </c>
      <c r="I757" s="2" t="str">
        <f>IF(tbl_kpi[[#This Row],[AccuracyPct]] &lt; 0.98, "Y", "N")</f>
        <v>N</v>
      </c>
    </row>
    <row r="758" spans="1:9">
      <c r="A758" s="2">
        <v>808</v>
      </c>
      <c r="B758" s="2">
        <v>20</v>
      </c>
      <c r="C758" s="2" t="str">
        <f>_xlfn.XLOOKUP(tbl_kpi[[#This Row],[LocationID]], tbl_location[LocationID], tbl_location[LocationName], "UNMAPPED_LOCATION")</f>
        <v>Frame Welding</v>
      </c>
      <c r="D758" s="2">
        <v>276</v>
      </c>
      <c r="E758" s="2">
        <v>277</v>
      </c>
      <c r="F758" s="2">
        <f>tbl_kpi[[#This Row],[OnHandQty]]</f>
        <v>276</v>
      </c>
      <c r="G758" s="2">
        <f>tbl_kpi[[#This Row],[CountedQty]]-tbl_kpi[[#This Row],[ExpectedQty]]</f>
        <v>1</v>
      </c>
      <c r="H758" s="2">
        <f>IF(tbl_kpi[[#This Row],[ExpectedQty]]=0, 1, MAX(0, 1 - ABS(tbl_kpi[[#This Row],[VarianceQty]]) / tbl_kpi[[#This Row],[ExpectedQty]]))</f>
        <v>0.99637681159420288</v>
      </c>
      <c r="I758" s="2" t="str">
        <f>IF(tbl_kpi[[#This Row],[AccuracyPct]] &lt; 0.98, "Y", "N")</f>
        <v>N</v>
      </c>
    </row>
    <row r="759" spans="1:9">
      <c r="A759" s="2">
        <v>808</v>
      </c>
      <c r="B759" s="2">
        <v>50</v>
      </c>
      <c r="C759" s="2" t="str">
        <f>_xlfn.XLOOKUP(tbl_kpi[[#This Row],[LocationID]], tbl_location[LocationID], tbl_location[LocationName], "UNMAPPED_LOCATION")</f>
        <v>Subassembly</v>
      </c>
      <c r="D759" s="2">
        <v>316</v>
      </c>
      <c r="E759" s="2">
        <v>317</v>
      </c>
      <c r="F759" s="2">
        <f>tbl_kpi[[#This Row],[OnHandQty]]</f>
        <v>316</v>
      </c>
      <c r="G759" s="2">
        <f>tbl_kpi[[#This Row],[CountedQty]]-tbl_kpi[[#This Row],[ExpectedQty]]</f>
        <v>1</v>
      </c>
      <c r="H759" s="2">
        <f>IF(tbl_kpi[[#This Row],[ExpectedQty]]=0, 1, MAX(0, 1 - ABS(tbl_kpi[[#This Row],[VarianceQty]]) / tbl_kpi[[#This Row],[ExpectedQty]]))</f>
        <v>0.99683544303797467</v>
      </c>
      <c r="I759" s="2" t="str">
        <f>IF(tbl_kpi[[#This Row],[AccuracyPct]] &lt; 0.98, "Y", "N")</f>
        <v>N</v>
      </c>
    </row>
    <row r="760" spans="1:9">
      <c r="A760" s="2">
        <v>809</v>
      </c>
      <c r="B760" s="2">
        <v>10</v>
      </c>
      <c r="C760" s="2" t="str">
        <f>_xlfn.XLOOKUP(tbl_kpi[[#This Row],[LocationID]], tbl_location[LocationID], tbl_location[LocationName], "UNMAPPED_LOCATION")</f>
        <v>Frame Forming</v>
      </c>
      <c r="D760" s="2">
        <v>264</v>
      </c>
      <c r="E760" s="2">
        <v>269</v>
      </c>
      <c r="F760" s="2">
        <f>tbl_kpi[[#This Row],[OnHandQty]]</f>
        <v>264</v>
      </c>
      <c r="G760" s="2">
        <f>tbl_kpi[[#This Row],[CountedQty]]-tbl_kpi[[#This Row],[ExpectedQty]]</f>
        <v>5</v>
      </c>
      <c r="H760" s="2">
        <f>IF(tbl_kpi[[#This Row],[ExpectedQty]]=0, 1, MAX(0, 1 - ABS(tbl_kpi[[#This Row],[VarianceQty]]) / tbl_kpi[[#This Row],[ExpectedQty]]))</f>
        <v>0.98106060606060608</v>
      </c>
      <c r="I760" s="2" t="str">
        <f>IF(tbl_kpi[[#This Row],[AccuracyPct]] &lt; 0.98, "Y", "N")</f>
        <v>N</v>
      </c>
    </row>
    <row r="761" spans="1:9">
      <c r="A761" s="2">
        <v>809</v>
      </c>
      <c r="B761" s="2">
        <v>20</v>
      </c>
      <c r="C761" s="2" t="str">
        <f>_xlfn.XLOOKUP(tbl_kpi[[#This Row],[LocationID]], tbl_location[LocationID], tbl_location[LocationName], "UNMAPPED_LOCATION")</f>
        <v>Frame Welding</v>
      </c>
      <c r="D761" s="2">
        <v>273</v>
      </c>
      <c r="E761" s="2">
        <v>266</v>
      </c>
      <c r="F761" s="2">
        <f>tbl_kpi[[#This Row],[OnHandQty]]</f>
        <v>273</v>
      </c>
      <c r="G761" s="2">
        <f>tbl_kpi[[#This Row],[CountedQty]]-tbl_kpi[[#This Row],[ExpectedQty]]</f>
        <v>-7</v>
      </c>
      <c r="H761" s="2">
        <f>IF(tbl_kpi[[#This Row],[ExpectedQty]]=0, 1, MAX(0, 1 - ABS(tbl_kpi[[#This Row],[VarianceQty]]) / tbl_kpi[[#This Row],[ExpectedQty]]))</f>
        <v>0.97435897435897434</v>
      </c>
      <c r="I761" s="2" t="str">
        <f>IF(tbl_kpi[[#This Row],[AccuracyPct]] &lt; 0.98, "Y", "N")</f>
        <v>Y</v>
      </c>
    </row>
    <row r="762" spans="1:9">
      <c r="A762" s="2">
        <v>809</v>
      </c>
      <c r="B762" s="2">
        <v>50</v>
      </c>
      <c r="C762" s="2" t="str">
        <f>_xlfn.XLOOKUP(tbl_kpi[[#This Row],[LocationID]], tbl_location[LocationID], tbl_location[LocationName], "UNMAPPED_LOCATION")</f>
        <v>Subassembly</v>
      </c>
      <c r="D762" s="2">
        <v>313</v>
      </c>
      <c r="E762" s="2">
        <v>307</v>
      </c>
      <c r="F762" s="2">
        <f>tbl_kpi[[#This Row],[OnHandQty]]</f>
        <v>313</v>
      </c>
      <c r="G762" s="2">
        <f>tbl_kpi[[#This Row],[CountedQty]]-tbl_kpi[[#This Row],[ExpectedQty]]</f>
        <v>-6</v>
      </c>
      <c r="H762" s="2">
        <f>IF(tbl_kpi[[#This Row],[ExpectedQty]]=0, 1, MAX(0, 1 - ABS(tbl_kpi[[#This Row],[VarianceQty]]) / tbl_kpi[[#This Row],[ExpectedQty]]))</f>
        <v>0.98083067092651754</v>
      </c>
      <c r="I762" s="2" t="str">
        <f>IF(tbl_kpi[[#This Row],[AccuracyPct]] &lt; 0.98, "Y", "N")</f>
        <v>N</v>
      </c>
    </row>
    <row r="763" spans="1:9">
      <c r="A763" s="2">
        <v>810</v>
      </c>
      <c r="B763" s="2">
        <v>10</v>
      </c>
      <c r="C763" s="2" t="str">
        <f>_xlfn.XLOOKUP(tbl_kpi[[#This Row],[LocationID]], tbl_location[LocationID], tbl_location[LocationName], "UNMAPPED_LOCATION")</f>
        <v>Frame Forming</v>
      </c>
      <c r="D763" s="2">
        <v>260</v>
      </c>
      <c r="E763" s="2">
        <v>258</v>
      </c>
      <c r="F763" s="2">
        <f>tbl_kpi[[#This Row],[OnHandQty]]</f>
        <v>260</v>
      </c>
      <c r="G763" s="2">
        <f>tbl_kpi[[#This Row],[CountedQty]]-tbl_kpi[[#This Row],[ExpectedQty]]</f>
        <v>-2</v>
      </c>
      <c r="H763" s="2">
        <f>IF(tbl_kpi[[#This Row],[ExpectedQty]]=0, 1, MAX(0, 1 - ABS(tbl_kpi[[#This Row],[VarianceQty]]) / tbl_kpi[[#This Row],[ExpectedQty]]))</f>
        <v>0.99230769230769234</v>
      </c>
      <c r="I763" s="2" t="str">
        <f>IF(tbl_kpi[[#This Row],[AccuracyPct]] &lt; 0.98, "Y", "N")</f>
        <v>N</v>
      </c>
    </row>
    <row r="764" spans="1:9">
      <c r="A764" s="2">
        <v>810</v>
      </c>
      <c r="B764" s="2">
        <v>20</v>
      </c>
      <c r="C764" s="2" t="str">
        <f>_xlfn.XLOOKUP(tbl_kpi[[#This Row],[LocationID]], tbl_location[LocationID], tbl_location[LocationName], "UNMAPPED_LOCATION")</f>
        <v>Frame Welding</v>
      </c>
      <c r="D764" s="2">
        <v>270</v>
      </c>
      <c r="E764" s="2">
        <v>271</v>
      </c>
      <c r="F764" s="2">
        <f>tbl_kpi[[#This Row],[OnHandQty]]</f>
        <v>270</v>
      </c>
      <c r="G764" s="2">
        <f>tbl_kpi[[#This Row],[CountedQty]]-tbl_kpi[[#This Row],[ExpectedQty]]</f>
        <v>1</v>
      </c>
      <c r="H764" s="2">
        <f>IF(tbl_kpi[[#This Row],[ExpectedQty]]=0, 1, MAX(0, 1 - ABS(tbl_kpi[[#This Row],[VarianceQty]]) / tbl_kpi[[#This Row],[ExpectedQty]]))</f>
        <v>0.99629629629629635</v>
      </c>
      <c r="I764" s="2" t="str">
        <f>IF(tbl_kpi[[#This Row],[AccuracyPct]] &lt; 0.98, "Y", "N")</f>
        <v>N</v>
      </c>
    </row>
    <row r="765" spans="1:9">
      <c r="A765" s="2">
        <v>810</v>
      </c>
      <c r="B765" s="2">
        <v>50</v>
      </c>
      <c r="C765" s="2" t="str">
        <f>_xlfn.XLOOKUP(tbl_kpi[[#This Row],[LocationID]], tbl_location[LocationID], tbl_location[LocationName], "UNMAPPED_LOCATION")</f>
        <v>Subassembly</v>
      </c>
      <c r="D765" s="2">
        <v>310</v>
      </c>
      <c r="E765" s="2">
        <v>305</v>
      </c>
      <c r="F765" s="2">
        <f>tbl_kpi[[#This Row],[OnHandQty]]</f>
        <v>310</v>
      </c>
      <c r="G765" s="2">
        <f>tbl_kpi[[#This Row],[CountedQty]]-tbl_kpi[[#This Row],[ExpectedQty]]</f>
        <v>-5</v>
      </c>
      <c r="H765" s="2">
        <f>IF(tbl_kpi[[#This Row],[ExpectedQty]]=0, 1, MAX(0, 1 - ABS(tbl_kpi[[#This Row],[VarianceQty]]) / tbl_kpi[[#This Row],[ExpectedQty]]))</f>
        <v>0.9838709677419355</v>
      </c>
      <c r="I765" s="2" t="str">
        <f>IF(tbl_kpi[[#This Row],[AccuracyPct]] &lt; 0.98, "Y", "N")</f>
        <v>N</v>
      </c>
    </row>
    <row r="766" spans="1:9">
      <c r="A766" s="2">
        <v>811</v>
      </c>
      <c r="B766" s="2">
        <v>10</v>
      </c>
      <c r="C766" s="2" t="str">
        <f>_xlfn.XLOOKUP(tbl_kpi[[#This Row],[LocationID]], tbl_location[LocationID], tbl_location[LocationName], "UNMAPPED_LOCATION")</f>
        <v>Frame Forming</v>
      </c>
      <c r="D766" s="2">
        <v>257</v>
      </c>
      <c r="E766" s="2">
        <v>261</v>
      </c>
      <c r="F766" s="2">
        <f>tbl_kpi[[#This Row],[OnHandQty]]</f>
        <v>257</v>
      </c>
      <c r="G766" s="2">
        <f>tbl_kpi[[#This Row],[CountedQty]]-tbl_kpi[[#This Row],[ExpectedQty]]</f>
        <v>4</v>
      </c>
      <c r="H766" s="2">
        <f>IF(tbl_kpi[[#This Row],[ExpectedQty]]=0, 1, MAX(0, 1 - ABS(tbl_kpi[[#This Row],[VarianceQty]]) / tbl_kpi[[#This Row],[ExpectedQty]]))</f>
        <v>0.98443579766536971</v>
      </c>
      <c r="I766" s="2" t="str">
        <f>IF(tbl_kpi[[#This Row],[AccuracyPct]] &lt; 0.98, "Y", "N")</f>
        <v>N</v>
      </c>
    </row>
    <row r="767" spans="1:9">
      <c r="A767" s="2">
        <v>811</v>
      </c>
      <c r="B767" s="2">
        <v>20</v>
      </c>
      <c r="C767" s="2" t="str">
        <f>_xlfn.XLOOKUP(tbl_kpi[[#This Row],[LocationID]], tbl_location[LocationID], tbl_location[LocationName], "UNMAPPED_LOCATION")</f>
        <v>Frame Welding</v>
      </c>
      <c r="D767" s="2">
        <v>267</v>
      </c>
      <c r="E767" s="2">
        <v>270</v>
      </c>
      <c r="F767" s="2">
        <f>tbl_kpi[[#This Row],[OnHandQty]]</f>
        <v>267</v>
      </c>
      <c r="G767" s="2">
        <f>tbl_kpi[[#This Row],[CountedQty]]-tbl_kpi[[#This Row],[ExpectedQty]]</f>
        <v>3</v>
      </c>
      <c r="H767" s="2">
        <f>IF(tbl_kpi[[#This Row],[ExpectedQty]]=0, 1, MAX(0, 1 - ABS(tbl_kpi[[#This Row],[VarianceQty]]) / tbl_kpi[[#This Row],[ExpectedQty]]))</f>
        <v>0.9887640449438202</v>
      </c>
      <c r="I767" s="2" t="str">
        <f>IF(tbl_kpi[[#This Row],[AccuracyPct]] &lt; 0.98, "Y", "N")</f>
        <v>N</v>
      </c>
    </row>
    <row r="768" spans="1:9">
      <c r="A768" s="2">
        <v>811</v>
      </c>
      <c r="B768" s="2">
        <v>50</v>
      </c>
      <c r="C768" s="2" t="str">
        <f>_xlfn.XLOOKUP(tbl_kpi[[#This Row],[LocationID]], tbl_location[LocationID], tbl_location[LocationName], "UNMAPPED_LOCATION")</f>
        <v>Subassembly</v>
      </c>
      <c r="D768" s="2">
        <v>307</v>
      </c>
      <c r="E768" s="2">
        <v>305</v>
      </c>
      <c r="F768" s="2">
        <f>tbl_kpi[[#This Row],[OnHandQty]]</f>
        <v>307</v>
      </c>
      <c r="G768" s="2">
        <f>tbl_kpi[[#This Row],[CountedQty]]-tbl_kpi[[#This Row],[ExpectedQty]]</f>
        <v>-2</v>
      </c>
      <c r="H768" s="2">
        <f>IF(tbl_kpi[[#This Row],[ExpectedQty]]=0, 1, MAX(0, 1 - ABS(tbl_kpi[[#This Row],[VarianceQty]]) / tbl_kpi[[#This Row],[ExpectedQty]]))</f>
        <v>0.99348534201954397</v>
      </c>
      <c r="I768" s="2" t="str">
        <f>IF(tbl_kpi[[#This Row],[AccuracyPct]] &lt; 0.98, "Y", "N")</f>
        <v>N</v>
      </c>
    </row>
    <row r="769" spans="1:9">
      <c r="A769" s="2">
        <v>812</v>
      </c>
      <c r="B769" s="2">
        <v>10</v>
      </c>
      <c r="C769" s="2" t="str">
        <f>_xlfn.XLOOKUP(tbl_kpi[[#This Row],[LocationID]], tbl_location[LocationID], tbl_location[LocationName], "UNMAPPED_LOCATION")</f>
        <v>Frame Forming</v>
      </c>
      <c r="D769" s="2">
        <v>254</v>
      </c>
      <c r="E769" s="2">
        <v>255</v>
      </c>
      <c r="F769" s="2">
        <f>tbl_kpi[[#This Row],[OnHandQty]]</f>
        <v>254</v>
      </c>
      <c r="G769" s="2">
        <f>tbl_kpi[[#This Row],[CountedQty]]-tbl_kpi[[#This Row],[ExpectedQty]]</f>
        <v>1</v>
      </c>
      <c r="H769" s="2">
        <f>IF(tbl_kpi[[#This Row],[ExpectedQty]]=0, 1, MAX(0, 1 - ABS(tbl_kpi[[#This Row],[VarianceQty]]) / tbl_kpi[[#This Row],[ExpectedQty]]))</f>
        <v>0.99606299212598426</v>
      </c>
      <c r="I769" s="2" t="str">
        <f>IF(tbl_kpi[[#This Row],[AccuracyPct]] &lt; 0.98, "Y", "N")</f>
        <v>N</v>
      </c>
    </row>
    <row r="770" spans="1:9">
      <c r="A770" s="2">
        <v>812</v>
      </c>
      <c r="B770" s="2">
        <v>20</v>
      </c>
      <c r="C770" s="2" t="str">
        <f>_xlfn.XLOOKUP(tbl_kpi[[#This Row],[LocationID]], tbl_location[LocationID], tbl_location[LocationName], "UNMAPPED_LOCATION")</f>
        <v>Frame Welding</v>
      </c>
      <c r="D770" s="2">
        <v>264</v>
      </c>
      <c r="E770" s="2">
        <v>258</v>
      </c>
      <c r="F770" s="2">
        <f>tbl_kpi[[#This Row],[OnHandQty]]</f>
        <v>264</v>
      </c>
      <c r="G770" s="2">
        <f>tbl_kpi[[#This Row],[CountedQty]]-tbl_kpi[[#This Row],[ExpectedQty]]</f>
        <v>-6</v>
      </c>
      <c r="H770" s="2">
        <f>IF(tbl_kpi[[#This Row],[ExpectedQty]]=0, 1, MAX(0, 1 - ABS(tbl_kpi[[#This Row],[VarianceQty]]) / tbl_kpi[[#This Row],[ExpectedQty]]))</f>
        <v>0.97727272727272729</v>
      </c>
      <c r="I770" s="2" t="str">
        <f>IF(tbl_kpi[[#This Row],[AccuracyPct]] &lt; 0.98, "Y", "N")</f>
        <v>Y</v>
      </c>
    </row>
    <row r="771" spans="1:9">
      <c r="A771" s="2">
        <v>812</v>
      </c>
      <c r="B771" s="2">
        <v>50</v>
      </c>
      <c r="C771" s="2" t="str">
        <f>_xlfn.XLOOKUP(tbl_kpi[[#This Row],[LocationID]], tbl_location[LocationID], tbl_location[LocationName], "UNMAPPED_LOCATION")</f>
        <v>Subassembly</v>
      </c>
      <c r="D771" s="2">
        <v>304</v>
      </c>
      <c r="E771" s="2">
        <v>313</v>
      </c>
      <c r="F771" s="2">
        <f>tbl_kpi[[#This Row],[OnHandQty]]</f>
        <v>304</v>
      </c>
      <c r="G771" s="2">
        <f>tbl_kpi[[#This Row],[CountedQty]]-tbl_kpi[[#This Row],[ExpectedQty]]</f>
        <v>9</v>
      </c>
      <c r="H771" s="2">
        <f>IF(tbl_kpi[[#This Row],[ExpectedQty]]=0, 1, MAX(0, 1 - ABS(tbl_kpi[[#This Row],[VarianceQty]]) / tbl_kpi[[#This Row],[ExpectedQty]]))</f>
        <v>0.97039473684210531</v>
      </c>
      <c r="I771" s="2" t="str">
        <f>IF(tbl_kpi[[#This Row],[AccuracyPct]] &lt; 0.98, "Y", "N")</f>
        <v>Y</v>
      </c>
    </row>
    <row r="772" spans="1:9">
      <c r="A772" s="2">
        <v>813</v>
      </c>
      <c r="B772" s="2">
        <v>10</v>
      </c>
      <c r="C772" s="2" t="str">
        <f>_xlfn.XLOOKUP(tbl_kpi[[#This Row],[LocationID]], tbl_location[LocationID], tbl_location[LocationName], "UNMAPPED_LOCATION")</f>
        <v>Frame Forming</v>
      </c>
      <c r="D772" s="2">
        <v>251</v>
      </c>
      <c r="E772" s="2">
        <v>258</v>
      </c>
      <c r="F772" s="2">
        <f>tbl_kpi[[#This Row],[OnHandQty]]</f>
        <v>251</v>
      </c>
      <c r="G772" s="2">
        <f>tbl_kpi[[#This Row],[CountedQty]]-tbl_kpi[[#This Row],[ExpectedQty]]</f>
        <v>7</v>
      </c>
      <c r="H772" s="2">
        <f>IF(tbl_kpi[[#This Row],[ExpectedQty]]=0, 1, MAX(0, 1 - ABS(tbl_kpi[[#This Row],[VarianceQty]]) / tbl_kpi[[#This Row],[ExpectedQty]]))</f>
        <v>0.97211155378486058</v>
      </c>
      <c r="I772" s="2" t="str">
        <f>IF(tbl_kpi[[#This Row],[AccuracyPct]] &lt; 0.98, "Y", "N")</f>
        <v>Y</v>
      </c>
    </row>
    <row r="773" spans="1:9">
      <c r="A773" s="2">
        <v>813</v>
      </c>
      <c r="B773" s="2">
        <v>20</v>
      </c>
      <c r="C773" s="2" t="str">
        <f>_xlfn.XLOOKUP(tbl_kpi[[#This Row],[LocationID]], tbl_location[LocationID], tbl_location[LocationName], "UNMAPPED_LOCATION")</f>
        <v>Frame Welding</v>
      </c>
      <c r="D773" s="2">
        <v>260</v>
      </c>
      <c r="E773" s="2">
        <v>258</v>
      </c>
      <c r="F773" s="2">
        <f>tbl_kpi[[#This Row],[OnHandQty]]</f>
        <v>260</v>
      </c>
      <c r="G773" s="2">
        <f>tbl_kpi[[#This Row],[CountedQty]]-tbl_kpi[[#This Row],[ExpectedQty]]</f>
        <v>-2</v>
      </c>
      <c r="H773" s="2">
        <f>IF(tbl_kpi[[#This Row],[ExpectedQty]]=0, 1, MAX(0, 1 - ABS(tbl_kpi[[#This Row],[VarianceQty]]) / tbl_kpi[[#This Row],[ExpectedQty]]))</f>
        <v>0.99230769230769234</v>
      </c>
      <c r="I773" s="2" t="str">
        <f>IF(tbl_kpi[[#This Row],[AccuracyPct]] &lt; 0.98, "Y", "N")</f>
        <v>N</v>
      </c>
    </row>
    <row r="774" spans="1:9">
      <c r="A774" s="2">
        <v>813</v>
      </c>
      <c r="B774" s="2">
        <v>50</v>
      </c>
      <c r="C774" s="2" t="str">
        <f>_xlfn.XLOOKUP(tbl_kpi[[#This Row],[LocationID]], tbl_location[LocationID], tbl_location[LocationName], "UNMAPPED_LOCATION")</f>
        <v>Subassembly</v>
      </c>
      <c r="D774" s="2">
        <v>300</v>
      </c>
      <c r="E774" s="2">
        <v>294</v>
      </c>
      <c r="F774" s="2">
        <f>tbl_kpi[[#This Row],[OnHandQty]]</f>
        <v>300</v>
      </c>
      <c r="G774" s="2">
        <f>tbl_kpi[[#This Row],[CountedQty]]-tbl_kpi[[#This Row],[ExpectedQty]]</f>
        <v>-6</v>
      </c>
      <c r="H774" s="2">
        <f>IF(tbl_kpi[[#This Row],[ExpectedQty]]=0, 1, MAX(0, 1 - ABS(tbl_kpi[[#This Row],[VarianceQty]]) / tbl_kpi[[#This Row],[ExpectedQty]]))</f>
        <v>0.98</v>
      </c>
      <c r="I774" s="2" t="str">
        <f>IF(tbl_kpi[[#This Row],[AccuracyPct]] &lt; 0.98, "Y", "N")</f>
        <v>N</v>
      </c>
    </row>
    <row r="775" spans="1:9">
      <c r="A775" s="2">
        <v>814</v>
      </c>
      <c r="B775" s="2">
        <v>10</v>
      </c>
      <c r="C775" s="2" t="str">
        <f>_xlfn.XLOOKUP(tbl_kpi[[#This Row],[LocationID]], tbl_location[LocationID], tbl_location[LocationName], "UNMAPPED_LOCATION")</f>
        <v>Frame Forming</v>
      </c>
      <c r="D775" s="2">
        <v>110</v>
      </c>
      <c r="E775" s="2">
        <v>113</v>
      </c>
      <c r="F775" s="2">
        <f>tbl_kpi[[#This Row],[OnHandQty]]</f>
        <v>110</v>
      </c>
      <c r="G775" s="2">
        <f>tbl_kpi[[#This Row],[CountedQty]]-tbl_kpi[[#This Row],[ExpectedQty]]</f>
        <v>3</v>
      </c>
      <c r="H775" s="2">
        <f>IF(tbl_kpi[[#This Row],[ExpectedQty]]=0, 1, MAX(0, 1 - ABS(tbl_kpi[[#This Row],[VarianceQty]]) / tbl_kpi[[#This Row],[ExpectedQty]]))</f>
        <v>0.97272727272727277</v>
      </c>
      <c r="I775" s="2" t="str">
        <f>IF(tbl_kpi[[#This Row],[AccuracyPct]] &lt; 0.98, "Y", "N")</f>
        <v>Y</v>
      </c>
    </row>
    <row r="776" spans="1:9">
      <c r="A776" s="2">
        <v>814</v>
      </c>
      <c r="B776" s="2">
        <v>20</v>
      </c>
      <c r="C776" s="2" t="str">
        <f>_xlfn.XLOOKUP(tbl_kpi[[#This Row],[LocationID]], tbl_location[LocationID], tbl_location[LocationName], "UNMAPPED_LOCATION")</f>
        <v>Frame Welding</v>
      </c>
      <c r="D776" s="2">
        <v>150</v>
      </c>
      <c r="E776" s="2">
        <v>151</v>
      </c>
      <c r="F776" s="2">
        <f>tbl_kpi[[#This Row],[OnHandQty]]</f>
        <v>150</v>
      </c>
      <c r="G776" s="2">
        <f>tbl_kpi[[#This Row],[CountedQty]]-tbl_kpi[[#This Row],[ExpectedQty]]</f>
        <v>1</v>
      </c>
      <c r="H776" s="2">
        <f>IF(tbl_kpi[[#This Row],[ExpectedQty]]=0, 1, MAX(0, 1 - ABS(tbl_kpi[[#This Row],[VarianceQty]]) / tbl_kpi[[#This Row],[ExpectedQty]]))</f>
        <v>0.99333333333333329</v>
      </c>
      <c r="I776" s="2" t="str">
        <f>IF(tbl_kpi[[#This Row],[AccuracyPct]] &lt; 0.98, "Y", "N")</f>
        <v>N</v>
      </c>
    </row>
    <row r="777" spans="1:9">
      <c r="A777" s="2">
        <v>814</v>
      </c>
      <c r="B777" s="2">
        <v>30</v>
      </c>
      <c r="C777" s="2" t="str">
        <f>_xlfn.XLOOKUP(tbl_kpi[[#This Row],[LocationID]], tbl_location[LocationID], tbl_location[LocationName], "UNMAPPED_LOCATION")</f>
        <v>Debur and Polish</v>
      </c>
      <c r="D777" s="2">
        <v>137</v>
      </c>
      <c r="E777" s="2">
        <v>138</v>
      </c>
      <c r="F777" s="2">
        <f>tbl_kpi[[#This Row],[OnHandQty]]</f>
        <v>137</v>
      </c>
      <c r="G777" s="2">
        <f>tbl_kpi[[#This Row],[CountedQty]]-tbl_kpi[[#This Row],[ExpectedQty]]</f>
        <v>1</v>
      </c>
      <c r="H777" s="2">
        <f>IF(tbl_kpi[[#This Row],[ExpectedQty]]=0, 1, MAX(0, 1 - ABS(tbl_kpi[[#This Row],[VarianceQty]]) / tbl_kpi[[#This Row],[ExpectedQty]]))</f>
        <v>0.99270072992700731</v>
      </c>
      <c r="I777" s="2" t="str">
        <f>IF(tbl_kpi[[#This Row],[AccuracyPct]] &lt; 0.98, "Y", "N")</f>
        <v>N</v>
      </c>
    </row>
    <row r="778" spans="1:9">
      <c r="A778" s="2">
        <v>814</v>
      </c>
      <c r="B778" s="2">
        <v>40</v>
      </c>
      <c r="C778" s="2" t="str">
        <f>_xlfn.XLOOKUP(tbl_kpi[[#This Row],[LocationID]], tbl_location[LocationID], tbl_location[LocationName], "UNMAPPED_LOCATION")</f>
        <v>Paint</v>
      </c>
      <c r="D778" s="2">
        <v>96</v>
      </c>
      <c r="E778" s="2">
        <v>96</v>
      </c>
      <c r="F778" s="2">
        <f>tbl_kpi[[#This Row],[OnHandQty]]</f>
        <v>96</v>
      </c>
      <c r="G778" s="2">
        <f>tbl_kpi[[#This Row],[CountedQty]]-tbl_kpi[[#This Row],[ExpectedQty]]</f>
        <v>0</v>
      </c>
      <c r="H778" s="2">
        <f>IF(tbl_kpi[[#This Row],[ExpectedQty]]=0, 1, MAX(0, 1 - ABS(tbl_kpi[[#This Row],[VarianceQty]]) / tbl_kpi[[#This Row],[ExpectedQty]]))</f>
        <v>1</v>
      </c>
      <c r="I778" s="2" t="str">
        <f>IF(tbl_kpi[[#This Row],[AccuracyPct]] &lt; 0.98, "Y", "N")</f>
        <v>N</v>
      </c>
    </row>
    <row r="779" spans="1:9">
      <c r="A779" s="2">
        <v>814</v>
      </c>
      <c r="B779" s="2">
        <v>50</v>
      </c>
      <c r="C779" s="2" t="str">
        <f>_xlfn.XLOOKUP(tbl_kpi[[#This Row],[LocationID]], tbl_location[LocationID], tbl_location[LocationName], "UNMAPPED_LOCATION")</f>
        <v>Subassembly</v>
      </c>
      <c r="D779" s="2">
        <v>148</v>
      </c>
      <c r="E779" s="2">
        <v>149</v>
      </c>
      <c r="F779" s="2">
        <f>tbl_kpi[[#This Row],[OnHandQty]]</f>
        <v>148</v>
      </c>
      <c r="G779" s="2">
        <f>tbl_kpi[[#This Row],[CountedQty]]-tbl_kpi[[#This Row],[ExpectedQty]]</f>
        <v>1</v>
      </c>
      <c r="H779" s="2">
        <f>IF(tbl_kpi[[#This Row],[ExpectedQty]]=0, 1, MAX(0, 1 - ABS(tbl_kpi[[#This Row],[VarianceQty]]) / tbl_kpi[[#This Row],[ExpectedQty]]))</f>
        <v>0.9932432432432432</v>
      </c>
      <c r="I779" s="2" t="str">
        <f>IF(tbl_kpi[[#This Row],[AccuracyPct]] &lt; 0.98, "Y", "N")</f>
        <v>N</v>
      </c>
    </row>
    <row r="780" spans="1:9">
      <c r="A780" s="2">
        <v>814</v>
      </c>
      <c r="B780" s="2">
        <v>60</v>
      </c>
      <c r="C780" s="2" t="str">
        <f>_xlfn.XLOOKUP(tbl_kpi[[#This Row],[LocationID]], tbl_location[LocationID], tbl_location[LocationName], "UNMAPPED_LOCATION")</f>
        <v>Final Assembly</v>
      </c>
      <c r="D780" s="2">
        <v>126</v>
      </c>
      <c r="E780" s="2">
        <v>123</v>
      </c>
      <c r="F780" s="2">
        <f>tbl_kpi[[#This Row],[OnHandQty]]</f>
        <v>126</v>
      </c>
      <c r="G780" s="2">
        <f>tbl_kpi[[#This Row],[CountedQty]]-tbl_kpi[[#This Row],[ExpectedQty]]</f>
        <v>-3</v>
      </c>
      <c r="H780" s="2">
        <f>IF(tbl_kpi[[#This Row],[ExpectedQty]]=0, 1, MAX(0, 1 - ABS(tbl_kpi[[#This Row],[VarianceQty]]) / tbl_kpi[[#This Row],[ExpectedQty]]))</f>
        <v>0.97619047619047616</v>
      </c>
      <c r="I780" s="2" t="str">
        <f>IF(tbl_kpi[[#This Row],[AccuracyPct]] &lt; 0.98, "Y", "N")</f>
        <v>Y</v>
      </c>
    </row>
    <row r="781" spans="1:9">
      <c r="A781" s="2">
        <v>815</v>
      </c>
      <c r="B781" s="2">
        <v>5</v>
      </c>
      <c r="C781" s="2" t="str">
        <f>_xlfn.XLOOKUP(tbl_kpi[[#This Row],[LocationID]], tbl_location[LocationID], tbl_location[LocationName], "UNMAPPED_LOCATION")</f>
        <v>Metal Storage</v>
      </c>
      <c r="D781" s="2">
        <v>265</v>
      </c>
      <c r="E781" s="2">
        <v>264</v>
      </c>
      <c r="F781" s="2">
        <f>tbl_kpi[[#This Row],[OnHandQty]]</f>
        <v>265</v>
      </c>
      <c r="G781" s="2">
        <f>tbl_kpi[[#This Row],[CountedQty]]-tbl_kpi[[#This Row],[ExpectedQty]]</f>
        <v>-1</v>
      </c>
      <c r="H781" s="2">
        <f>IF(tbl_kpi[[#This Row],[ExpectedQty]]=0, 1, MAX(0, 1 - ABS(tbl_kpi[[#This Row],[VarianceQty]]) / tbl_kpi[[#This Row],[ExpectedQty]]))</f>
        <v>0.99622641509433962</v>
      </c>
      <c r="I781" s="2" t="str">
        <f>IF(tbl_kpi[[#This Row],[AccuracyPct]] &lt; 0.98, "Y", "N")</f>
        <v>N</v>
      </c>
    </row>
    <row r="782" spans="1:9">
      <c r="A782" s="2">
        <v>815</v>
      </c>
      <c r="B782" s="2">
        <v>50</v>
      </c>
      <c r="C782" s="2" t="str">
        <f>_xlfn.XLOOKUP(tbl_kpi[[#This Row],[LocationID]], tbl_location[LocationID], tbl_location[LocationName], "UNMAPPED_LOCATION")</f>
        <v>Subassembly</v>
      </c>
      <c r="D782" s="2">
        <v>457</v>
      </c>
      <c r="E782" s="2">
        <v>458</v>
      </c>
      <c r="F782" s="2">
        <f>tbl_kpi[[#This Row],[OnHandQty]]</f>
        <v>457</v>
      </c>
      <c r="G782" s="2">
        <f>tbl_kpi[[#This Row],[CountedQty]]-tbl_kpi[[#This Row],[ExpectedQty]]</f>
        <v>1</v>
      </c>
      <c r="H782" s="2">
        <f>IF(tbl_kpi[[#This Row],[ExpectedQty]]=0, 1, MAX(0, 1 - ABS(tbl_kpi[[#This Row],[VarianceQty]]) / tbl_kpi[[#This Row],[ExpectedQty]]))</f>
        <v>0.99781181619256021</v>
      </c>
      <c r="I782" s="2" t="str">
        <f>IF(tbl_kpi[[#This Row],[AccuracyPct]] &lt; 0.98, "Y", "N")</f>
        <v>N</v>
      </c>
    </row>
    <row r="783" spans="1:9">
      <c r="A783" s="2">
        <v>816</v>
      </c>
      <c r="B783" s="2">
        <v>5</v>
      </c>
      <c r="C783" s="2" t="str">
        <f>_xlfn.XLOOKUP(tbl_kpi[[#This Row],[LocationID]], tbl_location[LocationID], tbl_location[LocationName], "UNMAPPED_LOCATION")</f>
        <v>Metal Storage</v>
      </c>
      <c r="D783" s="2">
        <v>406</v>
      </c>
      <c r="E783" s="2">
        <v>400</v>
      </c>
      <c r="F783" s="2">
        <f>tbl_kpi[[#This Row],[OnHandQty]]</f>
        <v>406</v>
      </c>
      <c r="G783" s="2">
        <f>tbl_kpi[[#This Row],[CountedQty]]-tbl_kpi[[#This Row],[ExpectedQty]]</f>
        <v>-6</v>
      </c>
      <c r="H783" s="2">
        <f>IF(tbl_kpi[[#This Row],[ExpectedQty]]=0, 1, MAX(0, 1 - ABS(tbl_kpi[[#This Row],[VarianceQty]]) / tbl_kpi[[#This Row],[ExpectedQty]]))</f>
        <v>0.98522167487684731</v>
      </c>
      <c r="I783" s="2" t="str">
        <f>IF(tbl_kpi[[#This Row],[AccuracyPct]] &lt; 0.98, "Y", "N")</f>
        <v>N</v>
      </c>
    </row>
    <row r="784" spans="1:9">
      <c r="A784" s="2">
        <v>816</v>
      </c>
      <c r="B784" s="2">
        <v>50</v>
      </c>
      <c r="C784" s="2" t="str">
        <f>_xlfn.XLOOKUP(tbl_kpi[[#This Row],[LocationID]], tbl_location[LocationID], tbl_location[LocationName], "UNMAPPED_LOCATION")</f>
        <v>Subassembly</v>
      </c>
      <c r="D784" s="2">
        <v>412</v>
      </c>
      <c r="E784" s="2">
        <v>402</v>
      </c>
      <c r="F784" s="2">
        <f>tbl_kpi[[#This Row],[OnHandQty]]</f>
        <v>412</v>
      </c>
      <c r="G784" s="2">
        <f>tbl_kpi[[#This Row],[CountedQty]]-tbl_kpi[[#This Row],[ExpectedQty]]</f>
        <v>-10</v>
      </c>
      <c r="H784" s="2">
        <f>IF(tbl_kpi[[#This Row],[ExpectedQty]]=0, 1, MAX(0, 1 - ABS(tbl_kpi[[#This Row],[VarianceQty]]) / tbl_kpi[[#This Row],[ExpectedQty]]))</f>
        <v>0.97572815533980584</v>
      </c>
      <c r="I784" s="2" t="str">
        <f>IF(tbl_kpi[[#This Row],[AccuracyPct]] &lt; 0.98, "Y", "N")</f>
        <v>Y</v>
      </c>
    </row>
    <row r="785" spans="1:9">
      <c r="A785" s="2">
        <v>817</v>
      </c>
      <c r="B785" s="2">
        <v>5</v>
      </c>
      <c r="C785" s="2" t="str">
        <f>_xlfn.XLOOKUP(tbl_kpi[[#This Row],[LocationID]], tbl_location[LocationID], tbl_location[LocationName], "UNMAPPED_LOCATION")</f>
        <v>Metal Storage</v>
      </c>
      <c r="D785" s="2">
        <v>443</v>
      </c>
      <c r="E785" s="2">
        <v>430</v>
      </c>
      <c r="F785" s="2">
        <f>tbl_kpi[[#This Row],[OnHandQty]]</f>
        <v>443</v>
      </c>
      <c r="G785" s="2">
        <f>tbl_kpi[[#This Row],[CountedQty]]-tbl_kpi[[#This Row],[ExpectedQty]]</f>
        <v>-13</v>
      </c>
      <c r="H785" s="2">
        <f>IF(tbl_kpi[[#This Row],[ExpectedQty]]=0, 1, MAX(0, 1 - ABS(tbl_kpi[[#This Row],[VarianceQty]]) / tbl_kpi[[#This Row],[ExpectedQty]]))</f>
        <v>0.97065462753950338</v>
      </c>
      <c r="I785" s="2" t="str">
        <f>IF(tbl_kpi[[#This Row],[AccuracyPct]] &lt; 0.98, "Y", "N")</f>
        <v>Y</v>
      </c>
    </row>
    <row r="786" spans="1:9">
      <c r="A786" s="2">
        <v>817</v>
      </c>
      <c r="B786" s="2">
        <v>50</v>
      </c>
      <c r="C786" s="2" t="str">
        <f>_xlfn.XLOOKUP(tbl_kpi[[#This Row],[LocationID]], tbl_location[LocationID], tbl_location[LocationName], "UNMAPPED_LOCATION")</f>
        <v>Subassembly</v>
      </c>
      <c r="D786" s="2">
        <v>388</v>
      </c>
      <c r="E786" s="2">
        <v>386</v>
      </c>
      <c r="F786" s="2">
        <f>tbl_kpi[[#This Row],[OnHandQty]]</f>
        <v>388</v>
      </c>
      <c r="G786" s="2">
        <f>tbl_kpi[[#This Row],[CountedQty]]-tbl_kpi[[#This Row],[ExpectedQty]]</f>
        <v>-2</v>
      </c>
      <c r="H786" s="2">
        <f>IF(tbl_kpi[[#This Row],[ExpectedQty]]=0, 1, MAX(0, 1 - ABS(tbl_kpi[[#This Row],[VarianceQty]]) / tbl_kpi[[#This Row],[ExpectedQty]]))</f>
        <v>0.99484536082474229</v>
      </c>
      <c r="I786" s="2" t="str">
        <f>IF(tbl_kpi[[#This Row],[AccuracyPct]] &lt; 0.98, "Y", "N")</f>
        <v>N</v>
      </c>
    </row>
    <row r="787" spans="1:9">
      <c r="A787" s="2">
        <v>818</v>
      </c>
      <c r="B787" s="2">
        <v>5</v>
      </c>
      <c r="C787" s="2" t="str">
        <f>_xlfn.XLOOKUP(tbl_kpi[[#This Row],[LocationID]], tbl_location[LocationID], tbl_location[LocationName], "UNMAPPED_LOCATION")</f>
        <v>Metal Storage</v>
      </c>
      <c r="D787" s="2">
        <v>428</v>
      </c>
      <c r="E787" s="2">
        <v>424</v>
      </c>
      <c r="F787" s="2">
        <f>tbl_kpi[[#This Row],[OnHandQty]]</f>
        <v>428</v>
      </c>
      <c r="G787" s="2">
        <f>tbl_kpi[[#This Row],[CountedQty]]-tbl_kpi[[#This Row],[ExpectedQty]]</f>
        <v>-4</v>
      </c>
      <c r="H787" s="2">
        <f>IF(tbl_kpi[[#This Row],[ExpectedQty]]=0, 1, MAX(0, 1 - ABS(tbl_kpi[[#This Row],[VarianceQty]]) / tbl_kpi[[#This Row],[ExpectedQty]]))</f>
        <v>0.99065420560747663</v>
      </c>
      <c r="I787" s="2" t="str">
        <f>IF(tbl_kpi[[#This Row],[AccuracyPct]] &lt; 0.98, "Y", "N")</f>
        <v>N</v>
      </c>
    </row>
    <row r="788" spans="1:9">
      <c r="A788" s="2">
        <v>818</v>
      </c>
      <c r="B788" s="2">
        <v>50</v>
      </c>
      <c r="C788" s="2" t="str">
        <f>_xlfn.XLOOKUP(tbl_kpi[[#This Row],[LocationID]], tbl_location[LocationID], tbl_location[LocationName], "UNMAPPED_LOCATION")</f>
        <v>Subassembly</v>
      </c>
      <c r="D788" s="2">
        <v>460</v>
      </c>
      <c r="E788" s="2">
        <v>464</v>
      </c>
      <c r="F788" s="2">
        <f>tbl_kpi[[#This Row],[OnHandQty]]</f>
        <v>460</v>
      </c>
      <c r="G788" s="2">
        <f>tbl_kpi[[#This Row],[CountedQty]]-tbl_kpi[[#This Row],[ExpectedQty]]</f>
        <v>4</v>
      </c>
      <c r="H788" s="2">
        <f>IF(tbl_kpi[[#This Row],[ExpectedQty]]=0, 1, MAX(0, 1 - ABS(tbl_kpi[[#This Row],[VarianceQty]]) / tbl_kpi[[#This Row],[ExpectedQty]]))</f>
        <v>0.99130434782608701</v>
      </c>
      <c r="I788" s="2" t="str">
        <f>IF(tbl_kpi[[#This Row],[AccuracyPct]] &lt; 0.98, "Y", "N")</f>
        <v>N</v>
      </c>
    </row>
    <row r="789" spans="1:9">
      <c r="A789" s="2">
        <v>819</v>
      </c>
      <c r="B789" s="2">
        <v>5</v>
      </c>
      <c r="C789" s="2" t="str">
        <f>_xlfn.XLOOKUP(tbl_kpi[[#This Row],[LocationID]], tbl_location[LocationID], tbl_location[LocationName], "UNMAPPED_LOCATION")</f>
        <v>Metal Storage</v>
      </c>
      <c r="D789" s="2">
        <v>409</v>
      </c>
      <c r="E789" s="2">
        <v>420</v>
      </c>
      <c r="F789" s="2">
        <f>tbl_kpi[[#This Row],[OnHandQty]]</f>
        <v>409</v>
      </c>
      <c r="G789" s="2">
        <f>tbl_kpi[[#This Row],[CountedQty]]-tbl_kpi[[#This Row],[ExpectedQty]]</f>
        <v>11</v>
      </c>
      <c r="H789" s="2">
        <f>IF(tbl_kpi[[#This Row],[ExpectedQty]]=0, 1, MAX(0, 1 - ABS(tbl_kpi[[#This Row],[VarianceQty]]) / tbl_kpi[[#This Row],[ExpectedQty]]))</f>
        <v>0.97310513447432767</v>
      </c>
      <c r="I789" s="2" t="str">
        <f>IF(tbl_kpi[[#This Row],[AccuracyPct]] &lt; 0.98, "Y", "N")</f>
        <v>Y</v>
      </c>
    </row>
    <row r="790" spans="1:9">
      <c r="A790" s="2">
        <v>819</v>
      </c>
      <c r="B790" s="2">
        <v>50</v>
      </c>
      <c r="C790" s="2" t="str">
        <f>_xlfn.XLOOKUP(tbl_kpi[[#This Row],[LocationID]], tbl_location[LocationID], tbl_location[LocationName], "UNMAPPED_LOCATION")</f>
        <v>Subassembly</v>
      </c>
      <c r="D790" s="2">
        <v>384</v>
      </c>
      <c r="E790" s="2">
        <v>394</v>
      </c>
      <c r="F790" s="2">
        <f>tbl_kpi[[#This Row],[OnHandQty]]</f>
        <v>384</v>
      </c>
      <c r="G790" s="2">
        <f>tbl_kpi[[#This Row],[CountedQty]]-tbl_kpi[[#This Row],[ExpectedQty]]</f>
        <v>10</v>
      </c>
      <c r="H790" s="2">
        <f>IF(tbl_kpi[[#This Row],[ExpectedQty]]=0, 1, MAX(0, 1 - ABS(tbl_kpi[[#This Row],[VarianceQty]]) / tbl_kpi[[#This Row],[ExpectedQty]]))</f>
        <v>0.97395833333333337</v>
      </c>
      <c r="I790" s="2" t="str">
        <f>IF(tbl_kpi[[#This Row],[AccuracyPct]] &lt; 0.98, "Y", "N")</f>
        <v>Y</v>
      </c>
    </row>
    <row r="791" spans="1:9">
      <c r="A791" s="2">
        <v>820</v>
      </c>
      <c r="B791" s="2">
        <v>5</v>
      </c>
      <c r="C791" s="2" t="str">
        <f>_xlfn.XLOOKUP(tbl_kpi[[#This Row],[LocationID]], tbl_location[LocationID], tbl_location[LocationName], "UNMAPPED_LOCATION")</f>
        <v>Metal Storage</v>
      </c>
      <c r="D791" s="2">
        <v>446</v>
      </c>
      <c r="E791" s="2">
        <v>445</v>
      </c>
      <c r="F791" s="2">
        <f>tbl_kpi[[#This Row],[OnHandQty]]</f>
        <v>446</v>
      </c>
      <c r="G791" s="2">
        <f>tbl_kpi[[#This Row],[CountedQty]]-tbl_kpi[[#This Row],[ExpectedQty]]</f>
        <v>-1</v>
      </c>
      <c r="H791" s="2">
        <f>IF(tbl_kpi[[#This Row],[ExpectedQty]]=0, 1, MAX(0, 1 - ABS(tbl_kpi[[#This Row],[VarianceQty]]) / tbl_kpi[[#This Row],[ExpectedQty]]))</f>
        <v>0.99775784753363228</v>
      </c>
      <c r="I791" s="2" t="str">
        <f>IF(tbl_kpi[[#This Row],[AccuracyPct]] &lt; 0.98, "Y", "N")</f>
        <v>N</v>
      </c>
    </row>
    <row r="792" spans="1:9">
      <c r="A792" s="2">
        <v>820</v>
      </c>
      <c r="B792" s="2">
        <v>50</v>
      </c>
      <c r="C792" s="2" t="str">
        <f>_xlfn.XLOOKUP(tbl_kpi[[#This Row],[LocationID]], tbl_location[LocationID], tbl_location[LocationName], "UNMAPPED_LOCATION")</f>
        <v>Subassembly</v>
      </c>
      <c r="D792" s="2">
        <v>232</v>
      </c>
      <c r="E792" s="2">
        <v>230</v>
      </c>
      <c r="F792" s="2">
        <f>tbl_kpi[[#This Row],[OnHandQty]]</f>
        <v>232</v>
      </c>
      <c r="G792" s="2">
        <f>tbl_kpi[[#This Row],[CountedQty]]-tbl_kpi[[#This Row],[ExpectedQty]]</f>
        <v>-2</v>
      </c>
      <c r="H792" s="2">
        <f>IF(tbl_kpi[[#This Row],[ExpectedQty]]=0, 1, MAX(0, 1 - ABS(tbl_kpi[[#This Row],[VarianceQty]]) / tbl_kpi[[#This Row],[ExpectedQty]]))</f>
        <v>0.99137931034482762</v>
      </c>
      <c r="I792" s="2" t="str">
        <f>IF(tbl_kpi[[#This Row],[AccuracyPct]] &lt; 0.98, "Y", "N")</f>
        <v>N</v>
      </c>
    </row>
    <row r="793" spans="1:9">
      <c r="A793" s="2">
        <v>821</v>
      </c>
      <c r="B793" s="2">
        <v>5</v>
      </c>
      <c r="C793" s="2" t="str">
        <f>_xlfn.XLOOKUP(tbl_kpi[[#This Row],[LocationID]], tbl_location[LocationID], tbl_location[LocationName], "UNMAPPED_LOCATION")</f>
        <v>Metal Storage</v>
      </c>
      <c r="D793" s="2">
        <v>432</v>
      </c>
      <c r="E793" s="2">
        <v>441</v>
      </c>
      <c r="F793" s="2">
        <f>tbl_kpi[[#This Row],[OnHandQty]]</f>
        <v>432</v>
      </c>
      <c r="G793" s="2">
        <f>tbl_kpi[[#This Row],[CountedQty]]-tbl_kpi[[#This Row],[ExpectedQty]]</f>
        <v>9</v>
      </c>
      <c r="H793" s="2">
        <f>IF(tbl_kpi[[#This Row],[ExpectedQty]]=0, 1, MAX(0, 1 - ABS(tbl_kpi[[#This Row],[VarianceQty]]) / tbl_kpi[[#This Row],[ExpectedQty]]))</f>
        <v>0.97916666666666663</v>
      </c>
      <c r="I793" s="2" t="str">
        <f>IF(tbl_kpi[[#This Row],[AccuracyPct]] &lt; 0.98, "Y", "N")</f>
        <v>Y</v>
      </c>
    </row>
    <row r="794" spans="1:9">
      <c r="A794" s="2">
        <v>821</v>
      </c>
      <c r="B794" s="2">
        <v>50</v>
      </c>
      <c r="C794" s="2" t="str">
        <f>_xlfn.XLOOKUP(tbl_kpi[[#This Row],[LocationID]], tbl_location[LocationID], tbl_location[LocationName], "UNMAPPED_LOCATION")</f>
        <v>Subassembly</v>
      </c>
      <c r="D794" s="2">
        <v>304</v>
      </c>
      <c r="E794" s="2">
        <v>307</v>
      </c>
      <c r="F794" s="2">
        <f>tbl_kpi[[#This Row],[OnHandQty]]</f>
        <v>304</v>
      </c>
      <c r="G794" s="2">
        <f>tbl_kpi[[#This Row],[CountedQty]]-tbl_kpi[[#This Row],[ExpectedQty]]</f>
        <v>3</v>
      </c>
      <c r="H794" s="2">
        <f>IF(tbl_kpi[[#This Row],[ExpectedQty]]=0, 1, MAX(0, 1 - ABS(tbl_kpi[[#This Row],[VarianceQty]]) / tbl_kpi[[#This Row],[ExpectedQty]]))</f>
        <v>0.99013157894736847</v>
      </c>
      <c r="I794" s="2" t="str">
        <f>IF(tbl_kpi[[#This Row],[AccuracyPct]] &lt; 0.98, "Y", "N")</f>
        <v>N</v>
      </c>
    </row>
    <row r="795" spans="1:9">
      <c r="A795" s="2">
        <v>822</v>
      </c>
      <c r="B795" s="2">
        <v>10</v>
      </c>
      <c r="C795" s="2" t="str">
        <f>_xlfn.XLOOKUP(tbl_kpi[[#This Row],[LocationID]], tbl_location[LocationID], tbl_location[LocationName], "UNMAPPED_LOCATION")</f>
        <v>Frame Forming</v>
      </c>
      <c r="D795" s="2">
        <v>115</v>
      </c>
      <c r="E795" s="2">
        <v>113</v>
      </c>
      <c r="F795" s="2">
        <f>tbl_kpi[[#This Row],[OnHandQty]]</f>
        <v>115</v>
      </c>
      <c r="G795" s="2">
        <f>tbl_kpi[[#This Row],[CountedQty]]-tbl_kpi[[#This Row],[ExpectedQty]]</f>
        <v>-2</v>
      </c>
      <c r="H795" s="2">
        <f>IF(tbl_kpi[[#This Row],[ExpectedQty]]=0, 1, MAX(0, 1 - ABS(tbl_kpi[[#This Row],[VarianceQty]]) / tbl_kpi[[#This Row],[ExpectedQty]]))</f>
        <v>0.9826086956521739</v>
      </c>
      <c r="I795" s="2" t="str">
        <f>IF(tbl_kpi[[#This Row],[AccuracyPct]] &lt; 0.98, "Y", "N")</f>
        <v>N</v>
      </c>
    </row>
    <row r="796" spans="1:9">
      <c r="A796" s="2">
        <v>822</v>
      </c>
      <c r="B796" s="2">
        <v>20</v>
      </c>
      <c r="C796" s="2" t="str">
        <f>_xlfn.XLOOKUP(tbl_kpi[[#This Row],[LocationID]], tbl_location[LocationID], tbl_location[LocationName], "UNMAPPED_LOCATION")</f>
        <v>Frame Welding</v>
      </c>
      <c r="D796" s="2">
        <v>155</v>
      </c>
      <c r="E796" s="2">
        <v>155</v>
      </c>
      <c r="F796" s="2">
        <f>tbl_kpi[[#This Row],[OnHandQty]]</f>
        <v>155</v>
      </c>
      <c r="G796" s="2">
        <f>tbl_kpi[[#This Row],[CountedQty]]-tbl_kpi[[#This Row],[ExpectedQty]]</f>
        <v>0</v>
      </c>
      <c r="H796" s="2">
        <f>IF(tbl_kpi[[#This Row],[ExpectedQty]]=0, 1, MAX(0, 1 - ABS(tbl_kpi[[#This Row],[VarianceQty]]) / tbl_kpi[[#This Row],[ExpectedQty]]))</f>
        <v>1</v>
      </c>
      <c r="I796" s="2" t="str">
        <f>IF(tbl_kpi[[#This Row],[AccuracyPct]] &lt; 0.98, "Y", "N")</f>
        <v>N</v>
      </c>
    </row>
    <row r="797" spans="1:9">
      <c r="A797" s="2">
        <v>822</v>
      </c>
      <c r="B797" s="2">
        <v>30</v>
      </c>
      <c r="C797" s="2" t="str">
        <f>_xlfn.XLOOKUP(tbl_kpi[[#This Row],[LocationID]], tbl_location[LocationID], tbl_location[LocationName], "UNMAPPED_LOCATION")</f>
        <v>Debur and Polish</v>
      </c>
      <c r="D797" s="2">
        <v>142</v>
      </c>
      <c r="E797" s="2">
        <v>143</v>
      </c>
      <c r="F797" s="2">
        <f>tbl_kpi[[#This Row],[OnHandQty]]</f>
        <v>142</v>
      </c>
      <c r="G797" s="2">
        <f>tbl_kpi[[#This Row],[CountedQty]]-tbl_kpi[[#This Row],[ExpectedQty]]</f>
        <v>1</v>
      </c>
      <c r="H797" s="2">
        <f>IF(tbl_kpi[[#This Row],[ExpectedQty]]=0, 1, MAX(0, 1 - ABS(tbl_kpi[[#This Row],[VarianceQty]]) / tbl_kpi[[#This Row],[ExpectedQty]]))</f>
        <v>0.99295774647887325</v>
      </c>
      <c r="I797" s="2" t="str">
        <f>IF(tbl_kpi[[#This Row],[AccuracyPct]] &lt; 0.98, "Y", "N")</f>
        <v>N</v>
      </c>
    </row>
    <row r="798" spans="1:9">
      <c r="A798" s="2">
        <v>822</v>
      </c>
      <c r="B798" s="2">
        <v>40</v>
      </c>
      <c r="C798" s="2" t="str">
        <f>_xlfn.XLOOKUP(tbl_kpi[[#This Row],[LocationID]], tbl_location[LocationID], tbl_location[LocationName], "UNMAPPED_LOCATION")</f>
        <v>Paint</v>
      </c>
      <c r="D798" s="2">
        <v>100</v>
      </c>
      <c r="E798" s="2">
        <v>100</v>
      </c>
      <c r="F798" s="2">
        <f>tbl_kpi[[#This Row],[OnHandQty]]</f>
        <v>100</v>
      </c>
      <c r="G798" s="2">
        <f>tbl_kpi[[#This Row],[CountedQty]]-tbl_kpi[[#This Row],[ExpectedQty]]</f>
        <v>0</v>
      </c>
      <c r="H798" s="2">
        <f>IF(tbl_kpi[[#This Row],[ExpectedQty]]=0, 1, MAX(0, 1 - ABS(tbl_kpi[[#This Row],[VarianceQty]]) / tbl_kpi[[#This Row],[ExpectedQty]]))</f>
        <v>1</v>
      </c>
      <c r="I798" s="2" t="str">
        <f>IF(tbl_kpi[[#This Row],[AccuracyPct]] &lt; 0.98, "Y", "N")</f>
        <v>N</v>
      </c>
    </row>
    <row r="799" spans="1:9">
      <c r="A799" s="2">
        <v>822</v>
      </c>
      <c r="B799" s="2">
        <v>50</v>
      </c>
      <c r="C799" s="2" t="str">
        <f>_xlfn.XLOOKUP(tbl_kpi[[#This Row],[LocationID]], tbl_location[LocationID], tbl_location[LocationName], "UNMAPPED_LOCATION")</f>
        <v>Subassembly</v>
      </c>
      <c r="D799" s="2">
        <v>153</v>
      </c>
      <c r="E799" s="2">
        <v>151</v>
      </c>
      <c r="F799" s="2">
        <f>tbl_kpi[[#This Row],[OnHandQty]]</f>
        <v>153</v>
      </c>
      <c r="G799" s="2">
        <f>tbl_kpi[[#This Row],[CountedQty]]-tbl_kpi[[#This Row],[ExpectedQty]]</f>
        <v>-2</v>
      </c>
      <c r="H799" s="2">
        <f>IF(tbl_kpi[[#This Row],[ExpectedQty]]=0, 1, MAX(0, 1 - ABS(tbl_kpi[[#This Row],[VarianceQty]]) / tbl_kpi[[#This Row],[ExpectedQty]]))</f>
        <v>0.98692810457516345</v>
      </c>
      <c r="I799" s="2" t="str">
        <f>IF(tbl_kpi[[#This Row],[AccuracyPct]] &lt; 0.98, "Y", "N")</f>
        <v>N</v>
      </c>
    </row>
    <row r="800" spans="1:9">
      <c r="A800" s="2">
        <v>822</v>
      </c>
      <c r="B800" s="2">
        <v>60</v>
      </c>
      <c r="C800" s="2" t="str">
        <f>_xlfn.XLOOKUP(tbl_kpi[[#This Row],[LocationID]], tbl_location[LocationID], tbl_location[LocationName], "UNMAPPED_LOCATION")</f>
        <v>Final Assembly</v>
      </c>
      <c r="D800" s="2">
        <v>131</v>
      </c>
      <c r="E800" s="2">
        <v>128</v>
      </c>
      <c r="F800" s="2">
        <f>tbl_kpi[[#This Row],[OnHandQty]]</f>
        <v>131</v>
      </c>
      <c r="G800" s="2">
        <f>tbl_kpi[[#This Row],[CountedQty]]-tbl_kpi[[#This Row],[ExpectedQty]]</f>
        <v>-3</v>
      </c>
      <c r="H800" s="2">
        <f>IF(tbl_kpi[[#This Row],[ExpectedQty]]=0, 1, MAX(0, 1 - ABS(tbl_kpi[[#This Row],[VarianceQty]]) / tbl_kpi[[#This Row],[ExpectedQty]]))</f>
        <v>0.97709923664122134</v>
      </c>
      <c r="I800" s="2" t="str">
        <f>IF(tbl_kpi[[#This Row],[AccuracyPct]] &lt; 0.98, "Y", "N")</f>
        <v>Y</v>
      </c>
    </row>
    <row r="801" spans="1:9">
      <c r="A801" s="2">
        <v>823</v>
      </c>
      <c r="B801" s="2">
        <v>6</v>
      </c>
      <c r="C801" s="2" t="str">
        <f>_xlfn.XLOOKUP(tbl_kpi[[#This Row],[LocationID]], tbl_location[LocationID], tbl_location[LocationName], "UNMAPPED_LOCATION")</f>
        <v>Miscellaneous Storage</v>
      </c>
      <c r="D801" s="2">
        <v>425</v>
      </c>
      <c r="E801" s="2">
        <v>417</v>
      </c>
      <c r="F801" s="2">
        <f>tbl_kpi[[#This Row],[OnHandQty]]</f>
        <v>425</v>
      </c>
      <c r="G801" s="2">
        <f>tbl_kpi[[#This Row],[CountedQty]]-tbl_kpi[[#This Row],[ExpectedQty]]</f>
        <v>-8</v>
      </c>
      <c r="H801" s="2">
        <f>IF(tbl_kpi[[#This Row],[ExpectedQty]]=0, 1, MAX(0, 1 - ABS(tbl_kpi[[#This Row],[VarianceQty]]) / tbl_kpi[[#This Row],[ExpectedQty]]))</f>
        <v>0.98117647058823532</v>
      </c>
      <c r="I801" s="2" t="str">
        <f>IF(tbl_kpi[[#This Row],[AccuracyPct]] &lt; 0.98, "Y", "N")</f>
        <v>N</v>
      </c>
    </row>
    <row r="802" spans="1:9">
      <c r="A802" s="2">
        <v>823</v>
      </c>
      <c r="B802" s="2">
        <v>50</v>
      </c>
      <c r="C802" s="2" t="str">
        <f>_xlfn.XLOOKUP(tbl_kpi[[#This Row],[LocationID]], tbl_location[LocationID], tbl_location[LocationName], "UNMAPPED_LOCATION")</f>
        <v>Subassembly</v>
      </c>
      <c r="D802" s="2">
        <v>256</v>
      </c>
      <c r="E802" s="2">
        <v>252</v>
      </c>
      <c r="F802" s="2">
        <f>tbl_kpi[[#This Row],[OnHandQty]]</f>
        <v>256</v>
      </c>
      <c r="G802" s="2">
        <f>tbl_kpi[[#This Row],[CountedQty]]-tbl_kpi[[#This Row],[ExpectedQty]]</f>
        <v>-4</v>
      </c>
      <c r="H802" s="2">
        <f>IF(tbl_kpi[[#This Row],[ExpectedQty]]=0, 1, MAX(0, 1 - ABS(tbl_kpi[[#This Row],[VarianceQty]]) / tbl_kpi[[#This Row],[ExpectedQty]]))</f>
        <v>0.984375</v>
      </c>
      <c r="I802" s="2" t="str">
        <f>IF(tbl_kpi[[#This Row],[AccuracyPct]] &lt; 0.98, "Y", "N")</f>
        <v>N</v>
      </c>
    </row>
    <row r="803" spans="1:9">
      <c r="A803" s="2">
        <v>824</v>
      </c>
      <c r="B803" s="2">
        <v>6</v>
      </c>
      <c r="C803" s="2" t="str">
        <f>_xlfn.XLOOKUP(tbl_kpi[[#This Row],[LocationID]], tbl_location[LocationID], tbl_location[LocationName], "UNMAPPED_LOCATION")</f>
        <v>Miscellaneous Storage</v>
      </c>
      <c r="D803" s="2">
        <v>411</v>
      </c>
      <c r="E803" s="2">
        <v>416</v>
      </c>
      <c r="F803" s="2">
        <f>tbl_kpi[[#This Row],[OnHandQty]]</f>
        <v>411</v>
      </c>
      <c r="G803" s="2">
        <f>tbl_kpi[[#This Row],[CountedQty]]-tbl_kpi[[#This Row],[ExpectedQty]]</f>
        <v>5</v>
      </c>
      <c r="H803" s="2">
        <f>IF(tbl_kpi[[#This Row],[ExpectedQty]]=0, 1, MAX(0, 1 - ABS(tbl_kpi[[#This Row],[VarianceQty]]) / tbl_kpi[[#This Row],[ExpectedQty]]))</f>
        <v>0.98783454987834551</v>
      </c>
      <c r="I803" s="2" t="str">
        <f>IF(tbl_kpi[[#This Row],[AccuracyPct]] &lt; 0.98, "Y", "N")</f>
        <v>N</v>
      </c>
    </row>
    <row r="804" spans="1:9">
      <c r="A804" s="2">
        <v>824</v>
      </c>
      <c r="B804" s="2">
        <v>50</v>
      </c>
      <c r="C804" s="2" t="str">
        <f>_xlfn.XLOOKUP(tbl_kpi[[#This Row],[LocationID]], tbl_location[LocationID], tbl_location[LocationName], "UNMAPPED_LOCATION")</f>
        <v>Subassembly</v>
      </c>
      <c r="D804" s="2">
        <v>401</v>
      </c>
      <c r="E804" s="2">
        <v>409</v>
      </c>
      <c r="F804" s="2">
        <f>tbl_kpi[[#This Row],[OnHandQty]]</f>
        <v>401</v>
      </c>
      <c r="G804" s="2">
        <f>tbl_kpi[[#This Row],[CountedQty]]-tbl_kpi[[#This Row],[ExpectedQty]]</f>
        <v>8</v>
      </c>
      <c r="H804" s="2">
        <f>IF(tbl_kpi[[#This Row],[ExpectedQty]]=0, 1, MAX(0, 1 - ABS(tbl_kpi[[#This Row],[VarianceQty]]) / tbl_kpi[[#This Row],[ExpectedQty]]))</f>
        <v>0.98004987531172072</v>
      </c>
      <c r="I804" s="2" t="str">
        <f>IF(tbl_kpi[[#This Row],[AccuracyPct]] &lt; 0.98, "Y", "N")</f>
        <v>N</v>
      </c>
    </row>
    <row r="805" spans="1:9">
      <c r="A805" s="2">
        <v>825</v>
      </c>
      <c r="B805" s="2">
        <v>6</v>
      </c>
      <c r="C805" s="2" t="str">
        <f>_xlfn.XLOOKUP(tbl_kpi[[#This Row],[LocationID]], tbl_location[LocationID], tbl_location[LocationName], "UNMAPPED_LOCATION")</f>
        <v>Miscellaneous Storage</v>
      </c>
      <c r="D805" s="2">
        <v>396</v>
      </c>
      <c r="E805" s="2">
        <v>399</v>
      </c>
      <c r="F805" s="2">
        <f>tbl_kpi[[#This Row],[OnHandQty]]</f>
        <v>396</v>
      </c>
      <c r="G805" s="2">
        <f>tbl_kpi[[#This Row],[CountedQty]]-tbl_kpi[[#This Row],[ExpectedQty]]</f>
        <v>3</v>
      </c>
      <c r="H805" s="2">
        <f>IF(tbl_kpi[[#This Row],[ExpectedQty]]=0, 1, MAX(0, 1 - ABS(tbl_kpi[[#This Row],[VarianceQty]]) / tbl_kpi[[#This Row],[ExpectedQty]]))</f>
        <v>0.99242424242424243</v>
      </c>
      <c r="I805" s="2" t="str">
        <f>IF(tbl_kpi[[#This Row],[AccuracyPct]] &lt; 0.98, "Y", "N")</f>
        <v>N</v>
      </c>
    </row>
    <row r="806" spans="1:9">
      <c r="A806" s="2">
        <v>825</v>
      </c>
      <c r="B806" s="2">
        <v>50</v>
      </c>
      <c r="C806" s="2" t="str">
        <f>_xlfn.XLOOKUP(tbl_kpi[[#This Row],[LocationID]], tbl_location[LocationID], tbl_location[LocationName], "UNMAPPED_LOCATION")</f>
        <v>Subassembly</v>
      </c>
      <c r="D806" s="2">
        <v>387</v>
      </c>
      <c r="E806" s="2">
        <v>393</v>
      </c>
      <c r="F806" s="2">
        <f>tbl_kpi[[#This Row],[OnHandQty]]</f>
        <v>387</v>
      </c>
      <c r="G806" s="2">
        <f>tbl_kpi[[#This Row],[CountedQty]]-tbl_kpi[[#This Row],[ExpectedQty]]</f>
        <v>6</v>
      </c>
      <c r="H806" s="2">
        <f>IF(tbl_kpi[[#This Row],[ExpectedQty]]=0, 1, MAX(0, 1 - ABS(tbl_kpi[[#This Row],[VarianceQty]]) / tbl_kpi[[#This Row],[ExpectedQty]]))</f>
        <v>0.98449612403100772</v>
      </c>
      <c r="I806" s="2" t="str">
        <f>IF(tbl_kpi[[#This Row],[AccuracyPct]] &lt; 0.98, "Y", "N")</f>
        <v>N</v>
      </c>
    </row>
    <row r="807" spans="1:9">
      <c r="A807" s="2">
        <v>826</v>
      </c>
      <c r="B807" s="2">
        <v>6</v>
      </c>
      <c r="C807" s="2" t="str">
        <f>_xlfn.XLOOKUP(tbl_kpi[[#This Row],[LocationID]], tbl_location[LocationID], tbl_location[LocationName], "UNMAPPED_LOCATION")</f>
        <v>Miscellaneous Storage</v>
      </c>
      <c r="D807" s="2">
        <v>393</v>
      </c>
      <c r="E807" s="2">
        <v>393</v>
      </c>
      <c r="F807" s="2">
        <f>tbl_kpi[[#This Row],[OnHandQty]]</f>
        <v>393</v>
      </c>
      <c r="G807" s="2">
        <f>tbl_kpi[[#This Row],[CountedQty]]-tbl_kpi[[#This Row],[ExpectedQty]]</f>
        <v>0</v>
      </c>
      <c r="H807" s="2">
        <f>IF(tbl_kpi[[#This Row],[ExpectedQty]]=0, 1, MAX(0, 1 - ABS(tbl_kpi[[#This Row],[VarianceQty]]) / tbl_kpi[[#This Row],[ExpectedQty]]))</f>
        <v>1</v>
      </c>
      <c r="I807" s="2" t="str">
        <f>IF(tbl_kpi[[#This Row],[AccuracyPct]] &lt; 0.98, "Y", "N")</f>
        <v>N</v>
      </c>
    </row>
    <row r="808" spans="1:9">
      <c r="A808" s="2">
        <v>826</v>
      </c>
      <c r="B808" s="2">
        <v>50</v>
      </c>
      <c r="C808" s="2" t="str">
        <f>_xlfn.XLOOKUP(tbl_kpi[[#This Row],[LocationID]], tbl_location[LocationID], tbl_location[LocationName], "UNMAPPED_LOCATION")</f>
        <v>Subassembly</v>
      </c>
      <c r="D808" s="2">
        <v>406</v>
      </c>
      <c r="E808" s="2">
        <v>401</v>
      </c>
      <c r="F808" s="2">
        <f>tbl_kpi[[#This Row],[OnHandQty]]</f>
        <v>406</v>
      </c>
      <c r="G808" s="2">
        <f>tbl_kpi[[#This Row],[CountedQty]]-tbl_kpi[[#This Row],[ExpectedQty]]</f>
        <v>-5</v>
      </c>
      <c r="H808" s="2">
        <f>IF(tbl_kpi[[#This Row],[ExpectedQty]]=0, 1, MAX(0, 1 - ABS(tbl_kpi[[#This Row],[VarianceQty]]) / tbl_kpi[[#This Row],[ExpectedQty]]))</f>
        <v>0.98768472906403937</v>
      </c>
      <c r="I808" s="2" t="str">
        <f>IF(tbl_kpi[[#This Row],[AccuracyPct]] &lt; 0.98, "Y", "N")</f>
        <v>N</v>
      </c>
    </row>
    <row r="809" spans="1:9">
      <c r="A809" s="2">
        <v>827</v>
      </c>
      <c r="B809" s="2">
        <v>6</v>
      </c>
      <c r="C809" s="2" t="str">
        <f>_xlfn.XLOOKUP(tbl_kpi[[#This Row],[LocationID]], tbl_location[LocationID], tbl_location[LocationName], "UNMAPPED_LOCATION")</f>
        <v>Miscellaneous Storage</v>
      </c>
      <c r="D809" s="2">
        <v>412</v>
      </c>
      <c r="E809" s="2">
        <v>412</v>
      </c>
      <c r="F809" s="2">
        <f>tbl_kpi[[#This Row],[OnHandQty]]</f>
        <v>412</v>
      </c>
      <c r="G809" s="2">
        <f>tbl_kpi[[#This Row],[CountedQty]]-tbl_kpi[[#This Row],[ExpectedQty]]</f>
        <v>0</v>
      </c>
      <c r="H809" s="2">
        <f>IF(tbl_kpi[[#This Row],[ExpectedQty]]=0, 1, MAX(0, 1 - ABS(tbl_kpi[[#This Row],[VarianceQty]]) / tbl_kpi[[#This Row],[ExpectedQty]]))</f>
        <v>1</v>
      </c>
      <c r="I809" s="2" t="str">
        <f>IF(tbl_kpi[[#This Row],[AccuracyPct]] &lt; 0.98, "Y", "N")</f>
        <v>N</v>
      </c>
    </row>
    <row r="810" spans="1:9">
      <c r="A810" s="2">
        <v>827</v>
      </c>
      <c r="B810" s="2">
        <v>50</v>
      </c>
      <c r="C810" s="2" t="str">
        <f>_xlfn.XLOOKUP(tbl_kpi[[#This Row],[LocationID]], tbl_location[LocationID], tbl_location[LocationName], "UNMAPPED_LOCATION")</f>
        <v>Subassembly</v>
      </c>
      <c r="D810" s="2">
        <v>425</v>
      </c>
      <c r="E810" s="2">
        <v>434</v>
      </c>
      <c r="F810" s="2">
        <f>tbl_kpi[[#This Row],[OnHandQty]]</f>
        <v>425</v>
      </c>
      <c r="G810" s="2">
        <f>tbl_kpi[[#This Row],[CountedQty]]-tbl_kpi[[#This Row],[ExpectedQty]]</f>
        <v>9</v>
      </c>
      <c r="H810" s="2">
        <f>IF(tbl_kpi[[#This Row],[ExpectedQty]]=0, 1, MAX(0, 1 - ABS(tbl_kpi[[#This Row],[VarianceQty]]) / tbl_kpi[[#This Row],[ExpectedQty]]))</f>
        <v>0.97882352941176476</v>
      </c>
      <c r="I810" s="2" t="str">
        <f>IF(tbl_kpi[[#This Row],[AccuracyPct]] &lt; 0.98, "Y", "N")</f>
        <v>Y</v>
      </c>
    </row>
    <row r="811" spans="1:9">
      <c r="A811" s="2">
        <v>828</v>
      </c>
      <c r="B811" s="2">
        <v>6</v>
      </c>
      <c r="C811" s="2" t="str">
        <f>_xlfn.XLOOKUP(tbl_kpi[[#This Row],[LocationID]], tbl_location[LocationID], tbl_location[LocationName], "UNMAPPED_LOCATION")</f>
        <v>Miscellaneous Storage</v>
      </c>
      <c r="D811" s="2">
        <v>432</v>
      </c>
      <c r="E811" s="2">
        <v>428</v>
      </c>
      <c r="F811" s="2">
        <f>tbl_kpi[[#This Row],[OnHandQty]]</f>
        <v>432</v>
      </c>
      <c r="G811" s="2">
        <f>tbl_kpi[[#This Row],[CountedQty]]-tbl_kpi[[#This Row],[ExpectedQty]]</f>
        <v>-4</v>
      </c>
      <c r="H811" s="2">
        <f>IF(tbl_kpi[[#This Row],[ExpectedQty]]=0, 1, MAX(0, 1 - ABS(tbl_kpi[[#This Row],[VarianceQty]]) / tbl_kpi[[#This Row],[ExpectedQty]]))</f>
        <v>0.9907407407407407</v>
      </c>
      <c r="I811" s="2" t="str">
        <f>IF(tbl_kpi[[#This Row],[AccuracyPct]] &lt; 0.98, "Y", "N")</f>
        <v>N</v>
      </c>
    </row>
    <row r="812" spans="1:9">
      <c r="A812" s="2">
        <v>828</v>
      </c>
      <c r="B812" s="2">
        <v>50</v>
      </c>
      <c r="C812" s="2" t="str">
        <f>_xlfn.XLOOKUP(tbl_kpi[[#This Row],[LocationID]], tbl_location[LocationID], tbl_location[LocationName], "UNMAPPED_LOCATION")</f>
        <v>Subassembly</v>
      </c>
      <c r="D812" s="2">
        <v>284</v>
      </c>
      <c r="E812" s="2">
        <v>277</v>
      </c>
      <c r="F812" s="2">
        <f>tbl_kpi[[#This Row],[OnHandQty]]</f>
        <v>284</v>
      </c>
      <c r="G812" s="2">
        <f>tbl_kpi[[#This Row],[CountedQty]]-tbl_kpi[[#This Row],[ExpectedQty]]</f>
        <v>-7</v>
      </c>
      <c r="H812" s="2">
        <f>IF(tbl_kpi[[#This Row],[ExpectedQty]]=0, 1, MAX(0, 1 - ABS(tbl_kpi[[#This Row],[VarianceQty]]) / tbl_kpi[[#This Row],[ExpectedQty]]))</f>
        <v>0.97535211267605637</v>
      </c>
      <c r="I812" s="2" t="str">
        <f>IF(tbl_kpi[[#This Row],[AccuracyPct]] &lt; 0.98, "Y", "N")</f>
        <v>Y</v>
      </c>
    </row>
    <row r="813" spans="1:9">
      <c r="A813" s="2">
        <v>829</v>
      </c>
      <c r="B813" s="2">
        <v>6</v>
      </c>
      <c r="C813" s="2" t="str">
        <f>_xlfn.XLOOKUP(tbl_kpi[[#This Row],[LocationID]], tbl_location[LocationID], tbl_location[LocationName], "UNMAPPED_LOCATION")</f>
        <v>Miscellaneous Storage</v>
      </c>
      <c r="D813" s="2">
        <v>265</v>
      </c>
      <c r="E813" s="2">
        <v>267</v>
      </c>
      <c r="F813" s="2">
        <f>tbl_kpi[[#This Row],[OnHandQty]]</f>
        <v>265</v>
      </c>
      <c r="G813" s="2">
        <f>tbl_kpi[[#This Row],[CountedQty]]-tbl_kpi[[#This Row],[ExpectedQty]]</f>
        <v>2</v>
      </c>
      <c r="H813" s="2">
        <f>IF(tbl_kpi[[#This Row],[ExpectedQty]]=0, 1, MAX(0, 1 - ABS(tbl_kpi[[#This Row],[VarianceQty]]) / tbl_kpi[[#This Row],[ExpectedQty]]))</f>
        <v>0.99245283018867925</v>
      </c>
      <c r="I813" s="2" t="str">
        <f>IF(tbl_kpi[[#This Row],[AccuracyPct]] &lt; 0.98, "Y", "N")</f>
        <v>N</v>
      </c>
    </row>
    <row r="814" spans="1:9">
      <c r="A814" s="2">
        <v>829</v>
      </c>
      <c r="B814" s="2">
        <v>50</v>
      </c>
      <c r="C814" s="2" t="str">
        <f>_xlfn.XLOOKUP(tbl_kpi[[#This Row],[LocationID]], tbl_location[LocationID], tbl_location[LocationName], "UNMAPPED_LOCATION")</f>
        <v>Subassembly</v>
      </c>
      <c r="D814" s="2">
        <v>476</v>
      </c>
      <c r="E814" s="2">
        <v>479</v>
      </c>
      <c r="F814" s="2">
        <f>tbl_kpi[[#This Row],[OnHandQty]]</f>
        <v>476</v>
      </c>
      <c r="G814" s="2">
        <f>tbl_kpi[[#This Row],[CountedQty]]-tbl_kpi[[#This Row],[ExpectedQty]]</f>
        <v>3</v>
      </c>
      <c r="H814" s="2">
        <f>IF(tbl_kpi[[#This Row],[ExpectedQty]]=0, 1, MAX(0, 1 - ABS(tbl_kpi[[#This Row],[VarianceQty]]) / tbl_kpi[[#This Row],[ExpectedQty]]))</f>
        <v>0.99369747899159666</v>
      </c>
      <c r="I814" s="2" t="str">
        <f>IF(tbl_kpi[[#This Row],[AccuracyPct]] &lt; 0.98, "Y", "N")</f>
        <v>N</v>
      </c>
    </row>
    <row r="815" spans="1:9">
      <c r="A815" s="2">
        <v>841</v>
      </c>
      <c r="B815" s="2">
        <v>7</v>
      </c>
      <c r="C815" s="2" t="str">
        <f>_xlfn.XLOOKUP(tbl_kpi[[#This Row],[LocationID]], tbl_location[LocationID], tbl_location[LocationName], "UNMAPPED_LOCATION")</f>
        <v>Finished Goods Storage</v>
      </c>
      <c r="D815" s="2">
        <v>288</v>
      </c>
      <c r="E815" s="2">
        <v>281</v>
      </c>
      <c r="F815" s="2">
        <f>tbl_kpi[[#This Row],[OnHandQty]]</f>
        <v>288</v>
      </c>
      <c r="G815" s="2">
        <f>tbl_kpi[[#This Row],[CountedQty]]-tbl_kpi[[#This Row],[ExpectedQty]]</f>
        <v>-7</v>
      </c>
      <c r="H815" s="2">
        <f>IF(tbl_kpi[[#This Row],[ExpectedQty]]=0, 1, MAX(0, 1 - ABS(tbl_kpi[[#This Row],[VarianceQty]]) / tbl_kpi[[#This Row],[ExpectedQty]]))</f>
        <v>0.97569444444444442</v>
      </c>
      <c r="I815" s="2" t="str">
        <f>IF(tbl_kpi[[#This Row],[AccuracyPct]] &lt; 0.98, "Y", "N")</f>
        <v>Y</v>
      </c>
    </row>
    <row r="816" spans="1:9">
      <c r="A816" s="2">
        <v>842</v>
      </c>
      <c r="B816" s="2">
        <v>7</v>
      </c>
      <c r="C816" s="2" t="str">
        <f>_xlfn.XLOOKUP(tbl_kpi[[#This Row],[LocationID]], tbl_location[LocationID], tbl_location[LocationName], "UNMAPPED_LOCATION")</f>
        <v>Finished Goods Storage</v>
      </c>
      <c r="D816" s="2">
        <v>72</v>
      </c>
      <c r="E816" s="2">
        <v>74</v>
      </c>
      <c r="F816" s="2">
        <f>tbl_kpi[[#This Row],[OnHandQty]]</f>
        <v>72</v>
      </c>
      <c r="G816" s="2">
        <f>tbl_kpi[[#This Row],[CountedQty]]-tbl_kpi[[#This Row],[ExpectedQty]]</f>
        <v>2</v>
      </c>
      <c r="H816" s="2">
        <f>IF(tbl_kpi[[#This Row],[ExpectedQty]]=0, 1, MAX(0, 1 - ABS(tbl_kpi[[#This Row],[VarianceQty]]) / tbl_kpi[[#This Row],[ExpectedQty]]))</f>
        <v>0.97222222222222221</v>
      </c>
      <c r="I816" s="2" t="str">
        <f>IF(tbl_kpi[[#This Row],[AccuracyPct]] &lt; 0.98, "Y", "N")</f>
        <v>Y</v>
      </c>
    </row>
    <row r="817" spans="1:9">
      <c r="A817" s="2">
        <v>843</v>
      </c>
      <c r="B817" s="2">
        <v>7</v>
      </c>
      <c r="C817" s="2" t="str">
        <f>_xlfn.XLOOKUP(tbl_kpi[[#This Row],[LocationID]], tbl_location[LocationID], tbl_location[LocationName], "UNMAPPED_LOCATION")</f>
        <v>Finished Goods Storage</v>
      </c>
      <c r="D817" s="2">
        <v>252</v>
      </c>
      <c r="E817" s="2">
        <v>247</v>
      </c>
      <c r="F817" s="2">
        <f>tbl_kpi[[#This Row],[OnHandQty]]</f>
        <v>252</v>
      </c>
      <c r="G817" s="2">
        <f>tbl_kpi[[#This Row],[CountedQty]]-tbl_kpi[[#This Row],[ExpectedQty]]</f>
        <v>-5</v>
      </c>
      <c r="H817" s="2">
        <f>IF(tbl_kpi[[#This Row],[ExpectedQty]]=0, 1, MAX(0, 1 - ABS(tbl_kpi[[#This Row],[VarianceQty]]) / tbl_kpi[[#This Row],[ExpectedQty]]))</f>
        <v>0.98015873015873012</v>
      </c>
      <c r="I817" s="2" t="str">
        <f>IF(tbl_kpi[[#This Row],[AccuracyPct]] &lt; 0.98, "Y", "N")</f>
        <v>N</v>
      </c>
    </row>
    <row r="818" spans="1:9">
      <c r="A818" s="2">
        <v>844</v>
      </c>
      <c r="B818" s="2">
        <v>7</v>
      </c>
      <c r="C818" s="2" t="str">
        <f>_xlfn.XLOOKUP(tbl_kpi[[#This Row],[LocationID]], tbl_location[LocationID], tbl_location[LocationName], "UNMAPPED_LOCATION")</f>
        <v>Finished Goods Storage</v>
      </c>
      <c r="D818" s="2">
        <v>288</v>
      </c>
      <c r="E818" s="2">
        <v>296</v>
      </c>
      <c r="F818" s="2">
        <f>tbl_kpi[[#This Row],[OnHandQty]]</f>
        <v>288</v>
      </c>
      <c r="G818" s="2">
        <f>tbl_kpi[[#This Row],[CountedQty]]-tbl_kpi[[#This Row],[ExpectedQty]]</f>
        <v>8</v>
      </c>
      <c r="H818" s="2">
        <f>IF(tbl_kpi[[#This Row],[ExpectedQty]]=0, 1, MAX(0, 1 - ABS(tbl_kpi[[#This Row],[VarianceQty]]) / tbl_kpi[[#This Row],[ExpectedQty]]))</f>
        <v>0.97222222222222221</v>
      </c>
      <c r="I818" s="2" t="str">
        <f>IF(tbl_kpi[[#This Row],[AccuracyPct]] &lt; 0.98, "Y", "N")</f>
        <v>Y</v>
      </c>
    </row>
    <row r="819" spans="1:9">
      <c r="A819" s="2">
        <v>845</v>
      </c>
      <c r="B819" s="2">
        <v>7</v>
      </c>
      <c r="C819" s="2" t="str">
        <f>_xlfn.XLOOKUP(tbl_kpi[[#This Row],[LocationID]], tbl_location[LocationID], tbl_location[LocationName], "UNMAPPED_LOCATION")</f>
        <v>Finished Goods Storage</v>
      </c>
      <c r="D819" s="2">
        <v>324</v>
      </c>
      <c r="E819" s="2">
        <v>328</v>
      </c>
      <c r="F819" s="2">
        <f>tbl_kpi[[#This Row],[OnHandQty]]</f>
        <v>324</v>
      </c>
      <c r="G819" s="2">
        <f>tbl_kpi[[#This Row],[CountedQty]]-tbl_kpi[[#This Row],[ExpectedQty]]</f>
        <v>4</v>
      </c>
      <c r="H819" s="2">
        <f>IF(tbl_kpi[[#This Row],[ExpectedQty]]=0, 1, MAX(0, 1 - ABS(tbl_kpi[[#This Row],[VarianceQty]]) / tbl_kpi[[#This Row],[ExpectedQty]]))</f>
        <v>0.98765432098765427</v>
      </c>
      <c r="I819" s="2" t="str">
        <f>IF(tbl_kpi[[#This Row],[AccuracyPct]] &lt; 0.98, "Y", "N")</f>
        <v>N</v>
      </c>
    </row>
    <row r="820" spans="1:9">
      <c r="A820" s="2">
        <v>846</v>
      </c>
      <c r="B820" s="2">
        <v>7</v>
      </c>
      <c r="C820" s="2" t="str">
        <f>_xlfn.XLOOKUP(tbl_kpi[[#This Row],[LocationID]], tbl_location[LocationID], tbl_location[LocationName], "UNMAPPED_LOCATION")</f>
        <v>Finished Goods Storage</v>
      </c>
      <c r="D820" s="2">
        <v>144</v>
      </c>
      <c r="E820" s="2">
        <v>142</v>
      </c>
      <c r="F820" s="2">
        <f>tbl_kpi[[#This Row],[OnHandQty]]</f>
        <v>144</v>
      </c>
      <c r="G820" s="2">
        <f>tbl_kpi[[#This Row],[CountedQty]]-tbl_kpi[[#This Row],[ExpectedQty]]</f>
        <v>-2</v>
      </c>
      <c r="H820" s="2">
        <f>IF(tbl_kpi[[#This Row],[ExpectedQty]]=0, 1, MAX(0, 1 - ABS(tbl_kpi[[#This Row],[VarianceQty]]) / tbl_kpi[[#This Row],[ExpectedQty]]))</f>
        <v>0.98611111111111116</v>
      </c>
      <c r="I820" s="2" t="str">
        <f>IF(tbl_kpi[[#This Row],[AccuracyPct]] &lt; 0.98, "Y", "N")</f>
        <v>N</v>
      </c>
    </row>
    <row r="821" spans="1:9">
      <c r="A821" s="2">
        <v>847</v>
      </c>
      <c r="B821" s="2">
        <v>7</v>
      </c>
      <c r="C821" s="2" t="str">
        <f>_xlfn.XLOOKUP(tbl_kpi[[#This Row],[LocationID]], tbl_location[LocationID], tbl_location[LocationName], "UNMAPPED_LOCATION")</f>
        <v>Finished Goods Storage</v>
      </c>
      <c r="D821" s="2">
        <v>180</v>
      </c>
      <c r="E821" s="2">
        <v>182</v>
      </c>
      <c r="F821" s="2">
        <f>tbl_kpi[[#This Row],[OnHandQty]]</f>
        <v>180</v>
      </c>
      <c r="G821" s="2">
        <f>tbl_kpi[[#This Row],[CountedQty]]-tbl_kpi[[#This Row],[ExpectedQty]]</f>
        <v>2</v>
      </c>
      <c r="H821" s="2">
        <f>IF(tbl_kpi[[#This Row],[ExpectedQty]]=0, 1, MAX(0, 1 - ABS(tbl_kpi[[#This Row],[VarianceQty]]) / tbl_kpi[[#This Row],[ExpectedQty]]))</f>
        <v>0.98888888888888893</v>
      </c>
      <c r="I821" s="2" t="str">
        <f>IF(tbl_kpi[[#This Row],[AccuracyPct]] &lt; 0.98, "Y", "N")</f>
        <v>N</v>
      </c>
    </row>
    <row r="822" spans="1:9">
      <c r="A822" s="2">
        <v>848</v>
      </c>
      <c r="B822" s="2">
        <v>7</v>
      </c>
      <c r="C822" s="2" t="str">
        <f>_xlfn.XLOOKUP(tbl_kpi[[#This Row],[LocationID]], tbl_location[LocationID], tbl_location[LocationName], "UNMAPPED_LOCATION")</f>
        <v>Finished Goods Storage</v>
      </c>
      <c r="D822" s="2">
        <v>216</v>
      </c>
      <c r="E822" s="2">
        <v>214</v>
      </c>
      <c r="F822" s="2">
        <f>tbl_kpi[[#This Row],[OnHandQty]]</f>
        <v>216</v>
      </c>
      <c r="G822" s="2">
        <f>tbl_kpi[[#This Row],[CountedQty]]-tbl_kpi[[#This Row],[ExpectedQty]]</f>
        <v>-2</v>
      </c>
      <c r="H822" s="2">
        <f>IF(tbl_kpi[[#This Row],[ExpectedQty]]=0, 1, MAX(0, 1 - ABS(tbl_kpi[[#This Row],[VarianceQty]]) / tbl_kpi[[#This Row],[ExpectedQty]]))</f>
        <v>0.9907407407407407</v>
      </c>
      <c r="I822" s="2" t="str">
        <f>IF(tbl_kpi[[#This Row],[AccuracyPct]] &lt; 0.98, "Y", "N")</f>
        <v>N</v>
      </c>
    </row>
    <row r="823" spans="1:9">
      <c r="A823" s="2">
        <v>849</v>
      </c>
      <c r="B823" s="2">
        <v>7</v>
      </c>
      <c r="C823" s="2" t="str">
        <f>_xlfn.XLOOKUP(tbl_kpi[[#This Row],[LocationID]], tbl_location[LocationID], tbl_location[LocationName], "UNMAPPED_LOCATION")</f>
        <v>Finished Goods Storage</v>
      </c>
      <c r="D823" s="2">
        <v>108</v>
      </c>
      <c r="E823" s="2">
        <v>109</v>
      </c>
      <c r="F823" s="2">
        <f>tbl_kpi[[#This Row],[OnHandQty]]</f>
        <v>108</v>
      </c>
      <c r="G823" s="2">
        <f>tbl_kpi[[#This Row],[CountedQty]]-tbl_kpi[[#This Row],[ExpectedQty]]</f>
        <v>1</v>
      </c>
      <c r="H823" s="2">
        <f>IF(tbl_kpi[[#This Row],[ExpectedQty]]=0, 1, MAX(0, 1 - ABS(tbl_kpi[[#This Row],[VarianceQty]]) / tbl_kpi[[#This Row],[ExpectedQty]]))</f>
        <v>0.9907407407407407</v>
      </c>
      <c r="I823" s="2" t="str">
        <f>IF(tbl_kpi[[#This Row],[AccuracyPct]] &lt; 0.98, "Y", "N")</f>
        <v>N</v>
      </c>
    </row>
    <row r="824" spans="1:9">
      <c r="A824" s="2">
        <v>850</v>
      </c>
      <c r="B824" s="2">
        <v>7</v>
      </c>
      <c r="C824" s="2" t="str">
        <f>_xlfn.XLOOKUP(tbl_kpi[[#This Row],[LocationID]], tbl_location[LocationID], tbl_location[LocationName], "UNMAPPED_LOCATION")</f>
        <v>Finished Goods Storage</v>
      </c>
      <c r="D824" s="2">
        <v>144</v>
      </c>
      <c r="E824" s="2">
        <v>140</v>
      </c>
      <c r="F824" s="2">
        <f>tbl_kpi[[#This Row],[OnHandQty]]</f>
        <v>144</v>
      </c>
      <c r="G824" s="2">
        <f>tbl_kpi[[#This Row],[CountedQty]]-tbl_kpi[[#This Row],[ExpectedQty]]</f>
        <v>-4</v>
      </c>
      <c r="H824" s="2">
        <f>IF(tbl_kpi[[#This Row],[ExpectedQty]]=0, 1, MAX(0, 1 - ABS(tbl_kpi[[#This Row],[VarianceQty]]) / tbl_kpi[[#This Row],[ExpectedQty]]))</f>
        <v>0.97222222222222221</v>
      </c>
      <c r="I824" s="2" t="str">
        <f>IF(tbl_kpi[[#This Row],[AccuracyPct]] &lt; 0.98, "Y", "N")</f>
        <v>Y</v>
      </c>
    </row>
    <row r="825" spans="1:9">
      <c r="A825" s="2">
        <v>851</v>
      </c>
      <c r="B825" s="2">
        <v>7</v>
      </c>
      <c r="C825" s="2" t="str">
        <f>_xlfn.XLOOKUP(tbl_kpi[[#This Row],[LocationID]], tbl_location[LocationID], tbl_location[LocationName], "UNMAPPED_LOCATION")</f>
        <v>Finished Goods Storage</v>
      </c>
      <c r="D825" s="2">
        <v>180</v>
      </c>
      <c r="E825" s="2">
        <v>185</v>
      </c>
      <c r="F825" s="2">
        <f>tbl_kpi[[#This Row],[OnHandQty]]</f>
        <v>180</v>
      </c>
      <c r="G825" s="2">
        <f>tbl_kpi[[#This Row],[CountedQty]]-tbl_kpi[[#This Row],[ExpectedQty]]</f>
        <v>5</v>
      </c>
      <c r="H825" s="2">
        <f>IF(tbl_kpi[[#This Row],[ExpectedQty]]=0, 1, MAX(0, 1 - ABS(tbl_kpi[[#This Row],[VarianceQty]]) / tbl_kpi[[#This Row],[ExpectedQty]]))</f>
        <v>0.97222222222222221</v>
      </c>
      <c r="I825" s="2" t="str">
        <f>IF(tbl_kpi[[#This Row],[AccuracyPct]] &lt; 0.98, "Y", "N")</f>
        <v>Y</v>
      </c>
    </row>
    <row r="826" spans="1:9">
      <c r="A826" s="2">
        <v>852</v>
      </c>
      <c r="B826" s="2">
        <v>7</v>
      </c>
      <c r="C826" s="2" t="str">
        <f>_xlfn.XLOOKUP(tbl_kpi[[#This Row],[LocationID]], tbl_location[LocationID], tbl_location[LocationName], "UNMAPPED_LOCATION")</f>
        <v>Finished Goods Storage</v>
      </c>
      <c r="D826" s="2">
        <v>324</v>
      </c>
      <c r="E826" s="2">
        <v>315</v>
      </c>
      <c r="F826" s="2">
        <f>tbl_kpi[[#This Row],[OnHandQty]]</f>
        <v>324</v>
      </c>
      <c r="G826" s="2">
        <f>tbl_kpi[[#This Row],[CountedQty]]-tbl_kpi[[#This Row],[ExpectedQty]]</f>
        <v>-9</v>
      </c>
      <c r="H826" s="2">
        <f>IF(tbl_kpi[[#This Row],[ExpectedQty]]=0, 1, MAX(0, 1 - ABS(tbl_kpi[[#This Row],[VarianceQty]]) / tbl_kpi[[#This Row],[ExpectedQty]]))</f>
        <v>0.97222222222222221</v>
      </c>
      <c r="I826" s="2" t="str">
        <f>IF(tbl_kpi[[#This Row],[AccuracyPct]] &lt; 0.98, "Y", "N")</f>
        <v>Y</v>
      </c>
    </row>
    <row r="827" spans="1:9">
      <c r="A827" s="2">
        <v>853</v>
      </c>
      <c r="B827" s="2">
        <v>7</v>
      </c>
      <c r="C827" s="2" t="str">
        <f>_xlfn.XLOOKUP(tbl_kpi[[#This Row],[LocationID]], tbl_location[LocationID], tbl_location[LocationName], "UNMAPPED_LOCATION")</f>
        <v>Finished Goods Storage</v>
      </c>
      <c r="D827" s="2">
        <v>0</v>
      </c>
      <c r="E827" s="2">
        <v>0</v>
      </c>
      <c r="F827" s="2">
        <f>tbl_kpi[[#This Row],[OnHandQty]]</f>
        <v>0</v>
      </c>
      <c r="G827" s="2">
        <f>tbl_kpi[[#This Row],[CountedQty]]-tbl_kpi[[#This Row],[ExpectedQty]]</f>
        <v>0</v>
      </c>
      <c r="H827" s="2">
        <f>IF(tbl_kpi[[#This Row],[ExpectedQty]]=0, 1, MAX(0, 1 - ABS(tbl_kpi[[#This Row],[VarianceQty]]) / tbl_kpi[[#This Row],[ExpectedQty]]))</f>
        <v>1</v>
      </c>
      <c r="I827" s="2" t="str">
        <f>IF(tbl_kpi[[#This Row],[AccuracyPct]] &lt; 0.98, "Y", "N")</f>
        <v>N</v>
      </c>
    </row>
    <row r="828" spans="1:9">
      <c r="A828" s="2">
        <v>854</v>
      </c>
      <c r="B828" s="2">
        <v>7</v>
      </c>
      <c r="C828" s="2" t="str">
        <f>_xlfn.XLOOKUP(tbl_kpi[[#This Row],[LocationID]], tbl_location[LocationID], tbl_location[LocationName], "UNMAPPED_LOCATION")</f>
        <v>Finished Goods Storage</v>
      </c>
      <c r="D828" s="2">
        <v>36</v>
      </c>
      <c r="E828" s="2">
        <v>37</v>
      </c>
      <c r="F828" s="2">
        <f>tbl_kpi[[#This Row],[OnHandQty]]</f>
        <v>36</v>
      </c>
      <c r="G828" s="2">
        <f>tbl_kpi[[#This Row],[CountedQty]]-tbl_kpi[[#This Row],[ExpectedQty]]</f>
        <v>1</v>
      </c>
      <c r="H828" s="2">
        <f>IF(tbl_kpi[[#This Row],[ExpectedQty]]=0, 1, MAX(0, 1 - ABS(tbl_kpi[[#This Row],[VarianceQty]]) / tbl_kpi[[#This Row],[ExpectedQty]]))</f>
        <v>0.97222222222222221</v>
      </c>
      <c r="I828" s="2" t="str">
        <f>IF(tbl_kpi[[#This Row],[AccuracyPct]] &lt; 0.98, "Y", "N")</f>
        <v>Y</v>
      </c>
    </row>
    <row r="829" spans="1:9">
      <c r="A829" s="2">
        <v>855</v>
      </c>
      <c r="B829" s="2">
        <v>7</v>
      </c>
      <c r="C829" s="2" t="str">
        <f>_xlfn.XLOOKUP(tbl_kpi[[#This Row],[LocationID]], tbl_location[LocationID], tbl_location[LocationName], "UNMAPPED_LOCATION")</f>
        <v>Finished Goods Storage</v>
      </c>
      <c r="D829" s="2">
        <v>72</v>
      </c>
      <c r="E829" s="2">
        <v>74</v>
      </c>
      <c r="F829" s="2">
        <f>tbl_kpi[[#This Row],[OnHandQty]]</f>
        <v>72</v>
      </c>
      <c r="G829" s="2">
        <f>tbl_kpi[[#This Row],[CountedQty]]-tbl_kpi[[#This Row],[ExpectedQty]]</f>
        <v>2</v>
      </c>
      <c r="H829" s="2">
        <f>IF(tbl_kpi[[#This Row],[ExpectedQty]]=0, 1, MAX(0, 1 - ABS(tbl_kpi[[#This Row],[VarianceQty]]) / tbl_kpi[[#This Row],[ExpectedQty]]))</f>
        <v>0.97222222222222221</v>
      </c>
      <c r="I829" s="2" t="str">
        <f>IF(tbl_kpi[[#This Row],[AccuracyPct]] &lt; 0.98, "Y", "N")</f>
        <v>Y</v>
      </c>
    </row>
    <row r="830" spans="1:9">
      <c r="A830" s="2">
        <v>856</v>
      </c>
      <c r="B830" s="2">
        <v>7</v>
      </c>
      <c r="C830" s="2" t="str">
        <f>_xlfn.XLOOKUP(tbl_kpi[[#This Row],[LocationID]], tbl_location[LocationID], tbl_location[LocationName], "UNMAPPED_LOCATION")</f>
        <v>Finished Goods Storage</v>
      </c>
      <c r="D830" s="2">
        <v>108</v>
      </c>
      <c r="E830" s="2">
        <v>107</v>
      </c>
      <c r="F830" s="2">
        <f>tbl_kpi[[#This Row],[OnHandQty]]</f>
        <v>108</v>
      </c>
      <c r="G830" s="2">
        <f>tbl_kpi[[#This Row],[CountedQty]]-tbl_kpi[[#This Row],[ExpectedQty]]</f>
        <v>-1</v>
      </c>
      <c r="H830" s="2">
        <f>IF(tbl_kpi[[#This Row],[ExpectedQty]]=0, 1, MAX(0, 1 - ABS(tbl_kpi[[#This Row],[VarianceQty]]) / tbl_kpi[[#This Row],[ExpectedQty]]))</f>
        <v>0.9907407407407407</v>
      </c>
      <c r="I830" s="2" t="str">
        <f>IF(tbl_kpi[[#This Row],[AccuracyPct]] &lt; 0.98, "Y", "N")</f>
        <v>N</v>
      </c>
    </row>
    <row r="831" spans="1:9">
      <c r="A831" s="2">
        <v>857</v>
      </c>
      <c r="B831" s="2">
        <v>7</v>
      </c>
      <c r="C831" s="2" t="str">
        <f>_xlfn.XLOOKUP(tbl_kpi[[#This Row],[LocationID]], tbl_location[LocationID], tbl_location[LocationName], "UNMAPPED_LOCATION")</f>
        <v>Finished Goods Storage</v>
      </c>
      <c r="D831" s="2">
        <v>144</v>
      </c>
      <c r="E831" s="2">
        <v>146</v>
      </c>
      <c r="F831" s="2">
        <f>tbl_kpi[[#This Row],[OnHandQty]]</f>
        <v>144</v>
      </c>
      <c r="G831" s="2">
        <f>tbl_kpi[[#This Row],[CountedQty]]-tbl_kpi[[#This Row],[ExpectedQty]]</f>
        <v>2</v>
      </c>
      <c r="H831" s="2">
        <f>IF(tbl_kpi[[#This Row],[ExpectedQty]]=0, 1, MAX(0, 1 - ABS(tbl_kpi[[#This Row],[VarianceQty]]) / tbl_kpi[[#This Row],[ExpectedQty]]))</f>
        <v>0.98611111111111116</v>
      </c>
      <c r="I831" s="2" t="str">
        <f>IF(tbl_kpi[[#This Row],[AccuracyPct]] &lt; 0.98, "Y", "N")</f>
        <v>N</v>
      </c>
    </row>
    <row r="832" spans="1:9">
      <c r="A832" s="2">
        <v>858</v>
      </c>
      <c r="B832" s="2">
        <v>7</v>
      </c>
      <c r="C832" s="2" t="str">
        <f>_xlfn.XLOOKUP(tbl_kpi[[#This Row],[LocationID]], tbl_location[LocationID], tbl_location[LocationName], "UNMAPPED_LOCATION")</f>
        <v>Finished Goods Storage</v>
      </c>
      <c r="D832" s="2">
        <v>324</v>
      </c>
      <c r="E832" s="2">
        <v>321</v>
      </c>
      <c r="F832" s="2">
        <f>tbl_kpi[[#This Row],[OnHandQty]]</f>
        <v>324</v>
      </c>
      <c r="G832" s="2">
        <f>tbl_kpi[[#This Row],[CountedQty]]-tbl_kpi[[#This Row],[ExpectedQty]]</f>
        <v>-3</v>
      </c>
      <c r="H832" s="2">
        <f>IF(tbl_kpi[[#This Row],[ExpectedQty]]=0, 1, MAX(0, 1 - ABS(tbl_kpi[[#This Row],[VarianceQty]]) / tbl_kpi[[#This Row],[ExpectedQty]]))</f>
        <v>0.9907407407407407</v>
      </c>
      <c r="I832" s="2" t="str">
        <f>IF(tbl_kpi[[#This Row],[AccuracyPct]] &lt; 0.98, "Y", "N")</f>
        <v>N</v>
      </c>
    </row>
    <row r="833" spans="1:9">
      <c r="A833" s="2">
        <v>859</v>
      </c>
      <c r="B833" s="2">
        <v>7</v>
      </c>
      <c r="C833" s="2" t="str">
        <f>_xlfn.XLOOKUP(tbl_kpi[[#This Row],[LocationID]], tbl_location[LocationID], tbl_location[LocationName], "UNMAPPED_LOCATION")</f>
        <v>Finished Goods Storage</v>
      </c>
      <c r="D833" s="2">
        <v>0</v>
      </c>
      <c r="E833" s="2">
        <v>0</v>
      </c>
      <c r="F833" s="2">
        <f>tbl_kpi[[#This Row],[OnHandQty]]</f>
        <v>0</v>
      </c>
      <c r="G833" s="2">
        <f>tbl_kpi[[#This Row],[CountedQty]]-tbl_kpi[[#This Row],[ExpectedQty]]</f>
        <v>0</v>
      </c>
      <c r="H833" s="2">
        <f>IF(tbl_kpi[[#This Row],[ExpectedQty]]=0, 1, MAX(0, 1 - ABS(tbl_kpi[[#This Row],[VarianceQty]]) / tbl_kpi[[#This Row],[ExpectedQty]]))</f>
        <v>1</v>
      </c>
      <c r="I833" s="2" t="str">
        <f>IF(tbl_kpi[[#This Row],[AccuracyPct]] &lt; 0.98, "Y", "N")</f>
        <v>N</v>
      </c>
    </row>
    <row r="834" spans="1:9">
      <c r="A834" s="2">
        <v>860</v>
      </c>
      <c r="B834" s="2">
        <v>7</v>
      </c>
      <c r="C834" s="2" t="str">
        <f>_xlfn.XLOOKUP(tbl_kpi[[#This Row],[LocationID]], tbl_location[LocationID], tbl_location[LocationName], "UNMAPPED_LOCATION")</f>
        <v>Finished Goods Storage</v>
      </c>
      <c r="D834" s="2">
        <v>36</v>
      </c>
      <c r="E834" s="2">
        <v>36</v>
      </c>
      <c r="F834" s="2">
        <f>tbl_kpi[[#This Row],[OnHandQty]]</f>
        <v>36</v>
      </c>
      <c r="G834" s="2">
        <f>tbl_kpi[[#This Row],[CountedQty]]-tbl_kpi[[#This Row],[ExpectedQty]]</f>
        <v>0</v>
      </c>
      <c r="H834" s="2">
        <f>IF(tbl_kpi[[#This Row],[ExpectedQty]]=0, 1, MAX(0, 1 - ABS(tbl_kpi[[#This Row],[VarianceQty]]) / tbl_kpi[[#This Row],[ExpectedQty]]))</f>
        <v>1</v>
      </c>
      <c r="I834" s="2" t="str">
        <f>IF(tbl_kpi[[#This Row],[AccuracyPct]] &lt; 0.98, "Y", "N")</f>
        <v>N</v>
      </c>
    </row>
    <row r="835" spans="1:9">
      <c r="A835" s="2">
        <v>861</v>
      </c>
      <c r="B835" s="2">
        <v>7</v>
      </c>
      <c r="C835" s="2" t="str">
        <f>_xlfn.XLOOKUP(tbl_kpi[[#This Row],[LocationID]], tbl_location[LocationID], tbl_location[LocationName], "UNMAPPED_LOCATION")</f>
        <v>Finished Goods Storage</v>
      </c>
      <c r="D835" s="2">
        <v>72</v>
      </c>
      <c r="E835" s="2">
        <v>72</v>
      </c>
      <c r="F835" s="2">
        <f>tbl_kpi[[#This Row],[OnHandQty]]</f>
        <v>72</v>
      </c>
      <c r="G835" s="2">
        <f>tbl_kpi[[#This Row],[CountedQty]]-tbl_kpi[[#This Row],[ExpectedQty]]</f>
        <v>0</v>
      </c>
      <c r="H835" s="2">
        <f>IF(tbl_kpi[[#This Row],[ExpectedQty]]=0, 1, MAX(0, 1 - ABS(tbl_kpi[[#This Row],[VarianceQty]]) / tbl_kpi[[#This Row],[ExpectedQty]]))</f>
        <v>1</v>
      </c>
      <c r="I835" s="2" t="str">
        <f>IF(tbl_kpi[[#This Row],[AccuracyPct]] &lt; 0.98, "Y", "N")</f>
        <v>N</v>
      </c>
    </row>
    <row r="836" spans="1:9">
      <c r="A836" s="2">
        <v>862</v>
      </c>
      <c r="B836" s="2">
        <v>7</v>
      </c>
      <c r="C836" s="2" t="str">
        <f>_xlfn.XLOOKUP(tbl_kpi[[#This Row],[LocationID]], tbl_location[LocationID], tbl_location[LocationName], "UNMAPPED_LOCATION")</f>
        <v>Finished Goods Storage</v>
      </c>
      <c r="D836" s="2">
        <v>108</v>
      </c>
      <c r="E836" s="2">
        <v>108</v>
      </c>
      <c r="F836" s="2">
        <f>tbl_kpi[[#This Row],[OnHandQty]]</f>
        <v>108</v>
      </c>
      <c r="G836" s="2">
        <f>tbl_kpi[[#This Row],[CountedQty]]-tbl_kpi[[#This Row],[ExpectedQty]]</f>
        <v>0</v>
      </c>
      <c r="H836" s="2">
        <f>IF(tbl_kpi[[#This Row],[ExpectedQty]]=0, 1, MAX(0, 1 - ABS(tbl_kpi[[#This Row],[VarianceQty]]) / tbl_kpi[[#This Row],[ExpectedQty]]))</f>
        <v>1</v>
      </c>
      <c r="I836" s="2" t="str">
        <f>IF(tbl_kpi[[#This Row],[AccuracyPct]] &lt; 0.98, "Y", "N")</f>
        <v>N</v>
      </c>
    </row>
    <row r="837" spans="1:9">
      <c r="A837" s="2">
        <v>863</v>
      </c>
      <c r="B837" s="2">
        <v>7</v>
      </c>
      <c r="C837" s="2" t="str">
        <f>_xlfn.XLOOKUP(tbl_kpi[[#This Row],[LocationID]], tbl_location[LocationID], tbl_location[LocationName], "UNMAPPED_LOCATION")</f>
        <v>Finished Goods Storage</v>
      </c>
      <c r="D837" s="2">
        <v>144</v>
      </c>
      <c r="E837" s="2">
        <v>144</v>
      </c>
      <c r="F837" s="2">
        <f>tbl_kpi[[#This Row],[OnHandQty]]</f>
        <v>144</v>
      </c>
      <c r="G837" s="2">
        <f>tbl_kpi[[#This Row],[CountedQty]]-tbl_kpi[[#This Row],[ExpectedQty]]</f>
        <v>0</v>
      </c>
      <c r="H837" s="2">
        <f>IF(tbl_kpi[[#This Row],[ExpectedQty]]=0, 1, MAX(0, 1 - ABS(tbl_kpi[[#This Row],[VarianceQty]]) / tbl_kpi[[#This Row],[ExpectedQty]]))</f>
        <v>1</v>
      </c>
      <c r="I837" s="2" t="str">
        <f>IF(tbl_kpi[[#This Row],[AccuracyPct]] &lt; 0.98, "Y", "N")</f>
        <v>N</v>
      </c>
    </row>
    <row r="838" spans="1:9">
      <c r="A838" s="2">
        <v>864</v>
      </c>
      <c r="B838" s="2">
        <v>7</v>
      </c>
      <c r="C838" s="2" t="str">
        <f>_xlfn.XLOOKUP(tbl_kpi[[#This Row],[LocationID]], tbl_location[LocationID], tbl_location[LocationName], "UNMAPPED_LOCATION")</f>
        <v>Finished Goods Storage</v>
      </c>
      <c r="D838" s="2">
        <v>180</v>
      </c>
      <c r="E838" s="2">
        <v>183</v>
      </c>
      <c r="F838" s="2">
        <f>tbl_kpi[[#This Row],[OnHandQty]]</f>
        <v>180</v>
      </c>
      <c r="G838" s="2">
        <f>tbl_kpi[[#This Row],[CountedQty]]-tbl_kpi[[#This Row],[ExpectedQty]]</f>
        <v>3</v>
      </c>
      <c r="H838" s="2">
        <f>IF(tbl_kpi[[#This Row],[ExpectedQty]]=0, 1, MAX(0, 1 - ABS(tbl_kpi[[#This Row],[VarianceQty]]) / tbl_kpi[[#This Row],[ExpectedQty]]))</f>
        <v>0.98333333333333328</v>
      </c>
      <c r="I838" s="2" t="str">
        <f>IF(tbl_kpi[[#This Row],[AccuracyPct]] &lt; 0.98, "Y", "N")</f>
        <v>N</v>
      </c>
    </row>
    <row r="839" spans="1:9">
      <c r="A839" s="2">
        <v>865</v>
      </c>
      <c r="B839" s="2">
        <v>7</v>
      </c>
      <c r="C839" s="2" t="str">
        <f>_xlfn.XLOOKUP(tbl_kpi[[#This Row],[LocationID]], tbl_location[LocationID], tbl_location[LocationName], "UNMAPPED_LOCATION")</f>
        <v>Finished Goods Storage</v>
      </c>
      <c r="D839" s="2">
        <v>216</v>
      </c>
      <c r="E839" s="2">
        <v>219</v>
      </c>
      <c r="F839" s="2">
        <f>tbl_kpi[[#This Row],[OnHandQty]]</f>
        <v>216</v>
      </c>
      <c r="G839" s="2">
        <f>tbl_kpi[[#This Row],[CountedQty]]-tbl_kpi[[#This Row],[ExpectedQty]]</f>
        <v>3</v>
      </c>
      <c r="H839" s="2">
        <f>IF(tbl_kpi[[#This Row],[ExpectedQty]]=0, 1, MAX(0, 1 - ABS(tbl_kpi[[#This Row],[VarianceQty]]) / tbl_kpi[[#This Row],[ExpectedQty]]))</f>
        <v>0.98611111111111116</v>
      </c>
      <c r="I839" s="2" t="str">
        <f>IF(tbl_kpi[[#This Row],[AccuracyPct]] &lt; 0.98, "Y", "N")</f>
        <v>N</v>
      </c>
    </row>
    <row r="840" spans="1:9">
      <c r="A840" s="2">
        <v>866</v>
      </c>
      <c r="B840" s="2">
        <v>7</v>
      </c>
      <c r="C840" s="2" t="str">
        <f>_xlfn.XLOOKUP(tbl_kpi[[#This Row],[LocationID]], tbl_location[LocationID], tbl_location[LocationName], "UNMAPPED_LOCATION")</f>
        <v>Finished Goods Storage</v>
      </c>
      <c r="D840" s="2">
        <v>252</v>
      </c>
      <c r="E840" s="2">
        <v>256</v>
      </c>
      <c r="F840" s="2">
        <f>tbl_kpi[[#This Row],[OnHandQty]]</f>
        <v>252</v>
      </c>
      <c r="G840" s="2">
        <f>tbl_kpi[[#This Row],[CountedQty]]-tbl_kpi[[#This Row],[ExpectedQty]]</f>
        <v>4</v>
      </c>
      <c r="H840" s="2">
        <f>IF(tbl_kpi[[#This Row],[ExpectedQty]]=0, 1, MAX(0, 1 - ABS(tbl_kpi[[#This Row],[VarianceQty]]) / tbl_kpi[[#This Row],[ExpectedQty]]))</f>
        <v>0.98412698412698418</v>
      </c>
      <c r="I840" s="2" t="str">
        <f>IF(tbl_kpi[[#This Row],[AccuracyPct]] &lt; 0.98, "Y", "N")</f>
        <v>N</v>
      </c>
    </row>
    <row r="841" spans="1:9">
      <c r="A841" s="2">
        <v>867</v>
      </c>
      <c r="B841" s="2">
        <v>7</v>
      </c>
      <c r="C841" s="2" t="str">
        <f>_xlfn.XLOOKUP(tbl_kpi[[#This Row],[LocationID]], tbl_location[LocationID], tbl_location[LocationName], "UNMAPPED_LOCATION")</f>
        <v>Finished Goods Storage</v>
      </c>
      <c r="D841" s="2">
        <v>216</v>
      </c>
      <c r="E841" s="2">
        <v>220</v>
      </c>
      <c r="F841" s="2">
        <f>tbl_kpi[[#This Row],[OnHandQty]]</f>
        <v>216</v>
      </c>
      <c r="G841" s="2">
        <f>tbl_kpi[[#This Row],[CountedQty]]-tbl_kpi[[#This Row],[ExpectedQty]]</f>
        <v>4</v>
      </c>
      <c r="H841" s="2">
        <f>IF(tbl_kpi[[#This Row],[ExpectedQty]]=0, 1, MAX(0, 1 - ABS(tbl_kpi[[#This Row],[VarianceQty]]) / tbl_kpi[[#This Row],[ExpectedQty]]))</f>
        <v>0.98148148148148151</v>
      </c>
      <c r="I841" s="2" t="str">
        <f>IF(tbl_kpi[[#This Row],[AccuracyPct]] &lt; 0.98, "Y", "N")</f>
        <v>N</v>
      </c>
    </row>
    <row r="842" spans="1:9">
      <c r="A842" s="2">
        <v>868</v>
      </c>
      <c r="B842" s="2">
        <v>7</v>
      </c>
      <c r="C842" s="2" t="str">
        <f>_xlfn.XLOOKUP(tbl_kpi[[#This Row],[LocationID]], tbl_location[LocationID], tbl_location[LocationName], "UNMAPPED_LOCATION")</f>
        <v>Finished Goods Storage</v>
      </c>
      <c r="D842" s="2">
        <v>252</v>
      </c>
      <c r="E842" s="2">
        <v>247</v>
      </c>
      <c r="F842" s="2">
        <f>tbl_kpi[[#This Row],[OnHandQty]]</f>
        <v>252</v>
      </c>
      <c r="G842" s="2">
        <f>tbl_kpi[[#This Row],[CountedQty]]-tbl_kpi[[#This Row],[ExpectedQty]]</f>
        <v>-5</v>
      </c>
      <c r="H842" s="2">
        <f>IF(tbl_kpi[[#This Row],[ExpectedQty]]=0, 1, MAX(0, 1 - ABS(tbl_kpi[[#This Row],[VarianceQty]]) / tbl_kpi[[#This Row],[ExpectedQty]]))</f>
        <v>0.98015873015873012</v>
      </c>
      <c r="I842" s="2" t="str">
        <f>IF(tbl_kpi[[#This Row],[AccuracyPct]] &lt; 0.98, "Y", "N")</f>
        <v>N</v>
      </c>
    </row>
    <row r="843" spans="1:9">
      <c r="A843" s="2">
        <v>869</v>
      </c>
      <c r="B843" s="2">
        <v>7</v>
      </c>
      <c r="C843" s="2" t="str">
        <f>_xlfn.XLOOKUP(tbl_kpi[[#This Row],[LocationID]], tbl_location[LocationID], tbl_location[LocationName], "UNMAPPED_LOCATION")</f>
        <v>Finished Goods Storage</v>
      </c>
      <c r="D843" s="2">
        <v>288</v>
      </c>
      <c r="E843" s="2">
        <v>280</v>
      </c>
      <c r="F843" s="2">
        <f>tbl_kpi[[#This Row],[OnHandQty]]</f>
        <v>288</v>
      </c>
      <c r="G843" s="2">
        <f>tbl_kpi[[#This Row],[CountedQty]]-tbl_kpi[[#This Row],[ExpectedQty]]</f>
        <v>-8</v>
      </c>
      <c r="H843" s="2">
        <f>IF(tbl_kpi[[#This Row],[ExpectedQty]]=0, 1, MAX(0, 1 - ABS(tbl_kpi[[#This Row],[VarianceQty]]) / tbl_kpi[[#This Row],[ExpectedQty]]))</f>
        <v>0.97222222222222221</v>
      </c>
      <c r="I843" s="2" t="str">
        <f>IF(tbl_kpi[[#This Row],[AccuracyPct]] &lt; 0.98, "Y", "N")</f>
        <v>Y</v>
      </c>
    </row>
    <row r="844" spans="1:9">
      <c r="A844" s="2">
        <v>870</v>
      </c>
      <c r="B844" s="2">
        <v>7</v>
      </c>
      <c r="C844" s="2" t="str">
        <f>_xlfn.XLOOKUP(tbl_kpi[[#This Row],[LocationID]], tbl_location[LocationID], tbl_location[LocationName], "UNMAPPED_LOCATION")</f>
        <v>Finished Goods Storage</v>
      </c>
      <c r="D844" s="2">
        <v>252</v>
      </c>
      <c r="E844" s="2">
        <v>258</v>
      </c>
      <c r="F844" s="2">
        <f>tbl_kpi[[#This Row],[OnHandQty]]</f>
        <v>252</v>
      </c>
      <c r="G844" s="2">
        <f>tbl_kpi[[#This Row],[CountedQty]]-tbl_kpi[[#This Row],[ExpectedQty]]</f>
        <v>6</v>
      </c>
      <c r="H844" s="2">
        <f>IF(tbl_kpi[[#This Row],[ExpectedQty]]=0, 1, MAX(0, 1 - ABS(tbl_kpi[[#This Row],[VarianceQty]]) / tbl_kpi[[#This Row],[ExpectedQty]]))</f>
        <v>0.97619047619047616</v>
      </c>
      <c r="I844" s="2" t="str">
        <f>IF(tbl_kpi[[#This Row],[AccuracyPct]] &lt; 0.98, "Y", "N")</f>
        <v>Y</v>
      </c>
    </row>
    <row r="845" spans="1:9">
      <c r="A845" s="2">
        <v>871</v>
      </c>
      <c r="B845" s="2">
        <v>7</v>
      </c>
      <c r="C845" s="2" t="str">
        <f>_xlfn.XLOOKUP(tbl_kpi[[#This Row],[LocationID]], tbl_location[LocationID], tbl_location[LocationName], "UNMAPPED_LOCATION")</f>
        <v>Finished Goods Storage</v>
      </c>
      <c r="D845" s="2">
        <v>288</v>
      </c>
      <c r="E845" s="2">
        <v>296</v>
      </c>
      <c r="F845" s="2">
        <f>tbl_kpi[[#This Row],[OnHandQty]]</f>
        <v>288</v>
      </c>
      <c r="G845" s="2">
        <f>tbl_kpi[[#This Row],[CountedQty]]-tbl_kpi[[#This Row],[ExpectedQty]]</f>
        <v>8</v>
      </c>
      <c r="H845" s="2">
        <f>IF(tbl_kpi[[#This Row],[ExpectedQty]]=0, 1, MAX(0, 1 - ABS(tbl_kpi[[#This Row],[VarianceQty]]) / tbl_kpi[[#This Row],[ExpectedQty]]))</f>
        <v>0.97222222222222221</v>
      </c>
      <c r="I845" s="2" t="str">
        <f>IF(tbl_kpi[[#This Row],[AccuracyPct]] &lt; 0.98, "Y", "N")</f>
        <v>Y</v>
      </c>
    </row>
    <row r="846" spans="1:9">
      <c r="A846" s="2">
        <v>872</v>
      </c>
      <c r="B846" s="2">
        <v>7</v>
      </c>
      <c r="C846" s="2" t="str">
        <f>_xlfn.XLOOKUP(tbl_kpi[[#This Row],[LocationID]], tbl_location[LocationID], tbl_location[LocationName], "UNMAPPED_LOCATION")</f>
        <v>Finished Goods Storage</v>
      </c>
      <c r="D846" s="2">
        <v>324</v>
      </c>
      <c r="E846" s="2">
        <v>318</v>
      </c>
      <c r="F846" s="2">
        <f>tbl_kpi[[#This Row],[OnHandQty]]</f>
        <v>324</v>
      </c>
      <c r="G846" s="2">
        <f>tbl_kpi[[#This Row],[CountedQty]]-tbl_kpi[[#This Row],[ExpectedQty]]</f>
        <v>-6</v>
      </c>
      <c r="H846" s="2">
        <f>IF(tbl_kpi[[#This Row],[ExpectedQty]]=0, 1, MAX(0, 1 - ABS(tbl_kpi[[#This Row],[VarianceQty]]) / tbl_kpi[[#This Row],[ExpectedQty]]))</f>
        <v>0.98148148148148151</v>
      </c>
      <c r="I846" s="2" t="str">
        <f>IF(tbl_kpi[[#This Row],[AccuracyPct]] &lt; 0.98, "Y", "N")</f>
        <v>N</v>
      </c>
    </row>
    <row r="847" spans="1:9">
      <c r="A847" s="2">
        <v>873</v>
      </c>
      <c r="B847" s="2">
        <v>7</v>
      </c>
      <c r="C847" s="2" t="str">
        <f>_xlfn.XLOOKUP(tbl_kpi[[#This Row],[LocationID]], tbl_location[LocationID], tbl_location[LocationName], "UNMAPPED_LOCATION")</f>
        <v>Finished Goods Storage</v>
      </c>
      <c r="D847" s="2">
        <v>180</v>
      </c>
      <c r="E847" s="2">
        <v>180</v>
      </c>
      <c r="F847" s="2">
        <f>tbl_kpi[[#This Row],[OnHandQty]]</f>
        <v>180</v>
      </c>
      <c r="G847" s="2">
        <f>tbl_kpi[[#This Row],[CountedQty]]-tbl_kpi[[#This Row],[ExpectedQty]]</f>
        <v>0</v>
      </c>
      <c r="H847" s="2">
        <f>IF(tbl_kpi[[#This Row],[ExpectedQty]]=0, 1, MAX(0, 1 - ABS(tbl_kpi[[#This Row],[VarianceQty]]) / tbl_kpi[[#This Row],[ExpectedQty]]))</f>
        <v>1</v>
      </c>
      <c r="I847" s="2" t="str">
        <f>IF(tbl_kpi[[#This Row],[AccuracyPct]] &lt; 0.98, "Y", "N")</f>
        <v>N</v>
      </c>
    </row>
    <row r="848" spans="1:9">
      <c r="A848" s="2">
        <v>874</v>
      </c>
      <c r="B848" s="2">
        <v>7</v>
      </c>
      <c r="C848" s="2" t="str">
        <f>_xlfn.XLOOKUP(tbl_kpi[[#This Row],[LocationID]], tbl_location[LocationID], tbl_location[LocationName], "UNMAPPED_LOCATION")</f>
        <v>Finished Goods Storage</v>
      </c>
      <c r="D848" s="2">
        <v>252</v>
      </c>
      <c r="E848" s="2">
        <v>258</v>
      </c>
      <c r="F848" s="2">
        <f>tbl_kpi[[#This Row],[OnHandQty]]</f>
        <v>252</v>
      </c>
      <c r="G848" s="2">
        <f>tbl_kpi[[#This Row],[CountedQty]]-tbl_kpi[[#This Row],[ExpectedQty]]</f>
        <v>6</v>
      </c>
      <c r="H848" s="2">
        <f>IF(tbl_kpi[[#This Row],[ExpectedQty]]=0, 1, MAX(0, 1 - ABS(tbl_kpi[[#This Row],[VarianceQty]]) / tbl_kpi[[#This Row],[ExpectedQty]]))</f>
        <v>0.97619047619047616</v>
      </c>
      <c r="I848" s="2" t="str">
        <f>IF(tbl_kpi[[#This Row],[AccuracyPct]] &lt; 0.98, "Y", "N")</f>
        <v>Y</v>
      </c>
    </row>
    <row r="849" spans="1:9">
      <c r="A849" s="2">
        <v>875</v>
      </c>
      <c r="B849" s="2">
        <v>7</v>
      </c>
      <c r="C849" s="2" t="str">
        <f>_xlfn.XLOOKUP(tbl_kpi[[#This Row],[LocationID]], tbl_location[LocationID], tbl_location[LocationName], "UNMAPPED_LOCATION")</f>
        <v>Finished Goods Storage</v>
      </c>
      <c r="D849" s="2">
        <v>288</v>
      </c>
      <c r="E849" s="2">
        <v>285</v>
      </c>
      <c r="F849" s="2">
        <f>tbl_kpi[[#This Row],[OnHandQty]]</f>
        <v>288</v>
      </c>
      <c r="G849" s="2">
        <f>tbl_kpi[[#This Row],[CountedQty]]-tbl_kpi[[#This Row],[ExpectedQty]]</f>
        <v>-3</v>
      </c>
      <c r="H849" s="2">
        <f>IF(tbl_kpi[[#This Row],[ExpectedQty]]=0, 1, MAX(0, 1 - ABS(tbl_kpi[[#This Row],[VarianceQty]]) / tbl_kpi[[#This Row],[ExpectedQty]]))</f>
        <v>0.98958333333333337</v>
      </c>
      <c r="I849" s="2" t="str">
        <f>IF(tbl_kpi[[#This Row],[AccuracyPct]] &lt; 0.98, "Y", "N")</f>
        <v>N</v>
      </c>
    </row>
    <row r="850" spans="1:9">
      <c r="A850" s="2">
        <v>876</v>
      </c>
      <c r="B850" s="2">
        <v>7</v>
      </c>
      <c r="C850" s="2" t="str">
        <f>_xlfn.XLOOKUP(tbl_kpi[[#This Row],[LocationID]], tbl_location[LocationID], tbl_location[LocationName], "UNMAPPED_LOCATION")</f>
        <v>Finished Goods Storage</v>
      </c>
      <c r="D850" s="2">
        <v>0</v>
      </c>
      <c r="E850" s="2">
        <v>0</v>
      </c>
      <c r="F850" s="2">
        <f>tbl_kpi[[#This Row],[OnHandQty]]</f>
        <v>0</v>
      </c>
      <c r="G850" s="2">
        <f>tbl_kpi[[#This Row],[CountedQty]]-tbl_kpi[[#This Row],[ExpectedQty]]</f>
        <v>0</v>
      </c>
      <c r="H850" s="2">
        <f>IF(tbl_kpi[[#This Row],[ExpectedQty]]=0, 1, MAX(0, 1 - ABS(tbl_kpi[[#This Row],[VarianceQty]]) / tbl_kpi[[#This Row],[ExpectedQty]]))</f>
        <v>1</v>
      </c>
      <c r="I850" s="2" t="str">
        <f>IF(tbl_kpi[[#This Row],[AccuracyPct]] &lt; 0.98, "Y", "N")</f>
        <v>N</v>
      </c>
    </row>
    <row r="851" spans="1:9">
      <c r="A851" s="2">
        <v>877</v>
      </c>
      <c r="B851" s="2">
        <v>7</v>
      </c>
      <c r="C851" s="2" t="str">
        <f>_xlfn.XLOOKUP(tbl_kpi[[#This Row],[LocationID]], tbl_location[LocationID], tbl_location[LocationName], "UNMAPPED_LOCATION")</f>
        <v>Finished Goods Storage</v>
      </c>
      <c r="D851" s="2">
        <v>36</v>
      </c>
      <c r="E851" s="2">
        <v>36</v>
      </c>
      <c r="F851" s="2">
        <f>tbl_kpi[[#This Row],[OnHandQty]]</f>
        <v>36</v>
      </c>
      <c r="G851" s="2">
        <f>tbl_kpi[[#This Row],[CountedQty]]-tbl_kpi[[#This Row],[ExpectedQty]]</f>
        <v>0</v>
      </c>
      <c r="H851" s="2">
        <f>IF(tbl_kpi[[#This Row],[ExpectedQty]]=0, 1, MAX(0, 1 - ABS(tbl_kpi[[#This Row],[VarianceQty]]) / tbl_kpi[[#This Row],[ExpectedQty]]))</f>
        <v>1</v>
      </c>
      <c r="I851" s="2" t="str">
        <f>IF(tbl_kpi[[#This Row],[AccuracyPct]] &lt; 0.98, "Y", "N")</f>
        <v>N</v>
      </c>
    </row>
    <row r="852" spans="1:9">
      <c r="A852" s="2">
        <v>878</v>
      </c>
      <c r="B852" s="2">
        <v>7</v>
      </c>
      <c r="C852" s="2" t="str">
        <f>_xlfn.XLOOKUP(tbl_kpi[[#This Row],[LocationID]], tbl_location[LocationID], tbl_location[LocationName], "UNMAPPED_LOCATION")</f>
        <v>Finished Goods Storage</v>
      </c>
      <c r="D852" s="2">
        <v>108</v>
      </c>
      <c r="E852" s="2">
        <v>110</v>
      </c>
      <c r="F852" s="2">
        <f>tbl_kpi[[#This Row],[OnHandQty]]</f>
        <v>108</v>
      </c>
      <c r="G852" s="2">
        <f>tbl_kpi[[#This Row],[CountedQty]]-tbl_kpi[[#This Row],[ExpectedQty]]</f>
        <v>2</v>
      </c>
      <c r="H852" s="2">
        <f>IF(tbl_kpi[[#This Row],[ExpectedQty]]=0, 1, MAX(0, 1 - ABS(tbl_kpi[[#This Row],[VarianceQty]]) / tbl_kpi[[#This Row],[ExpectedQty]]))</f>
        <v>0.98148148148148151</v>
      </c>
      <c r="I852" s="2" t="str">
        <f>IF(tbl_kpi[[#This Row],[AccuracyPct]] &lt; 0.98, "Y", "N")</f>
        <v>N</v>
      </c>
    </row>
    <row r="853" spans="1:9">
      <c r="A853" s="2">
        <v>879</v>
      </c>
      <c r="B853" s="2">
        <v>7</v>
      </c>
      <c r="C853" s="2" t="str">
        <f>_xlfn.XLOOKUP(tbl_kpi[[#This Row],[LocationID]], tbl_location[LocationID], tbl_location[LocationName], "UNMAPPED_LOCATION")</f>
        <v>Finished Goods Storage</v>
      </c>
      <c r="D853" s="2">
        <v>144</v>
      </c>
      <c r="E853" s="2">
        <v>147</v>
      </c>
      <c r="F853" s="2">
        <f>tbl_kpi[[#This Row],[OnHandQty]]</f>
        <v>144</v>
      </c>
      <c r="G853" s="2">
        <f>tbl_kpi[[#This Row],[CountedQty]]-tbl_kpi[[#This Row],[ExpectedQty]]</f>
        <v>3</v>
      </c>
      <c r="H853" s="2">
        <f>IF(tbl_kpi[[#This Row],[ExpectedQty]]=0, 1, MAX(0, 1 - ABS(tbl_kpi[[#This Row],[VarianceQty]]) / tbl_kpi[[#This Row],[ExpectedQty]]))</f>
        <v>0.97916666666666663</v>
      </c>
      <c r="I853" s="2" t="str">
        <f>IF(tbl_kpi[[#This Row],[AccuracyPct]] &lt; 0.98, "Y", "N")</f>
        <v>Y</v>
      </c>
    </row>
    <row r="854" spans="1:9">
      <c r="A854" s="2">
        <v>880</v>
      </c>
      <c r="B854" s="2">
        <v>7</v>
      </c>
      <c r="C854" s="2" t="str">
        <f>_xlfn.XLOOKUP(tbl_kpi[[#This Row],[LocationID]], tbl_location[LocationID], tbl_location[LocationName], "UNMAPPED_LOCATION")</f>
        <v>Finished Goods Storage</v>
      </c>
      <c r="D854" s="2">
        <v>108</v>
      </c>
      <c r="E854" s="2">
        <v>107</v>
      </c>
      <c r="F854" s="2">
        <f>tbl_kpi[[#This Row],[OnHandQty]]</f>
        <v>108</v>
      </c>
      <c r="G854" s="2">
        <f>tbl_kpi[[#This Row],[CountedQty]]-tbl_kpi[[#This Row],[ExpectedQty]]</f>
        <v>-1</v>
      </c>
      <c r="H854" s="2">
        <f>IF(tbl_kpi[[#This Row],[ExpectedQty]]=0, 1, MAX(0, 1 - ABS(tbl_kpi[[#This Row],[VarianceQty]]) / tbl_kpi[[#This Row],[ExpectedQty]]))</f>
        <v>0.9907407407407407</v>
      </c>
      <c r="I854" s="2" t="str">
        <f>IF(tbl_kpi[[#This Row],[AccuracyPct]] &lt; 0.98, "Y", "N")</f>
        <v>N</v>
      </c>
    </row>
    <row r="855" spans="1:9">
      <c r="A855" s="2">
        <v>881</v>
      </c>
      <c r="B855" s="2">
        <v>7</v>
      </c>
      <c r="C855" s="2" t="str">
        <f>_xlfn.XLOOKUP(tbl_kpi[[#This Row],[LocationID]], tbl_location[LocationID], tbl_location[LocationName], "UNMAPPED_LOCATION")</f>
        <v>Finished Goods Storage</v>
      </c>
      <c r="D855" s="2">
        <v>324</v>
      </c>
      <c r="E855" s="2">
        <v>324</v>
      </c>
      <c r="F855" s="2">
        <f>tbl_kpi[[#This Row],[OnHandQty]]</f>
        <v>324</v>
      </c>
      <c r="G855" s="2">
        <f>tbl_kpi[[#This Row],[CountedQty]]-tbl_kpi[[#This Row],[ExpectedQty]]</f>
        <v>0</v>
      </c>
      <c r="H855" s="2">
        <f>IF(tbl_kpi[[#This Row],[ExpectedQty]]=0, 1, MAX(0, 1 - ABS(tbl_kpi[[#This Row],[VarianceQty]]) / tbl_kpi[[#This Row],[ExpectedQty]]))</f>
        <v>1</v>
      </c>
      <c r="I855" s="2" t="str">
        <f>IF(tbl_kpi[[#This Row],[AccuracyPct]] &lt; 0.98, "Y", "N")</f>
        <v>N</v>
      </c>
    </row>
    <row r="856" spans="1:9">
      <c r="A856" s="2">
        <v>882</v>
      </c>
      <c r="B856" s="2">
        <v>7</v>
      </c>
      <c r="C856" s="2" t="str">
        <f>_xlfn.XLOOKUP(tbl_kpi[[#This Row],[LocationID]], tbl_location[LocationID], tbl_location[LocationName], "UNMAPPED_LOCATION")</f>
        <v>Finished Goods Storage</v>
      </c>
      <c r="D856" s="2">
        <v>0</v>
      </c>
      <c r="E856" s="2">
        <v>0</v>
      </c>
      <c r="F856" s="2">
        <f>tbl_kpi[[#This Row],[OnHandQty]]</f>
        <v>0</v>
      </c>
      <c r="G856" s="2">
        <f>tbl_kpi[[#This Row],[CountedQty]]-tbl_kpi[[#This Row],[ExpectedQty]]</f>
        <v>0</v>
      </c>
      <c r="H856" s="2">
        <f>IF(tbl_kpi[[#This Row],[ExpectedQty]]=0, 1, MAX(0, 1 - ABS(tbl_kpi[[#This Row],[VarianceQty]]) / tbl_kpi[[#This Row],[ExpectedQty]]))</f>
        <v>1</v>
      </c>
      <c r="I856" s="2" t="str">
        <f>IF(tbl_kpi[[#This Row],[AccuracyPct]] &lt; 0.98, "Y", "N")</f>
        <v>N</v>
      </c>
    </row>
    <row r="857" spans="1:9">
      <c r="A857" s="2">
        <v>883</v>
      </c>
      <c r="B857" s="2">
        <v>7</v>
      </c>
      <c r="C857" s="2" t="str">
        <f>_xlfn.XLOOKUP(tbl_kpi[[#This Row],[LocationID]], tbl_location[LocationID], tbl_location[LocationName], "UNMAPPED_LOCATION")</f>
        <v>Finished Goods Storage</v>
      </c>
      <c r="D857" s="2">
        <v>36</v>
      </c>
      <c r="E857" s="2">
        <v>36</v>
      </c>
      <c r="F857" s="2">
        <f>tbl_kpi[[#This Row],[OnHandQty]]</f>
        <v>36</v>
      </c>
      <c r="G857" s="2">
        <f>tbl_kpi[[#This Row],[CountedQty]]-tbl_kpi[[#This Row],[ExpectedQty]]</f>
        <v>0</v>
      </c>
      <c r="H857" s="2">
        <f>IF(tbl_kpi[[#This Row],[ExpectedQty]]=0, 1, MAX(0, 1 - ABS(tbl_kpi[[#This Row],[VarianceQty]]) / tbl_kpi[[#This Row],[ExpectedQty]]))</f>
        <v>1</v>
      </c>
      <c r="I857" s="2" t="str">
        <f>IF(tbl_kpi[[#This Row],[AccuracyPct]] &lt; 0.98, "Y", "N")</f>
        <v>N</v>
      </c>
    </row>
    <row r="858" spans="1:9">
      <c r="A858" s="2">
        <v>884</v>
      </c>
      <c r="B858" s="2">
        <v>7</v>
      </c>
      <c r="C858" s="2" t="str">
        <f>_xlfn.XLOOKUP(tbl_kpi[[#This Row],[LocationID]], tbl_location[LocationID], tbl_location[LocationName], "UNMAPPED_LOCATION")</f>
        <v>Finished Goods Storage</v>
      </c>
      <c r="D858" s="2">
        <v>72</v>
      </c>
      <c r="E858" s="2">
        <v>72</v>
      </c>
      <c r="F858" s="2">
        <f>tbl_kpi[[#This Row],[OnHandQty]]</f>
        <v>72</v>
      </c>
      <c r="G858" s="2">
        <f>tbl_kpi[[#This Row],[CountedQty]]-tbl_kpi[[#This Row],[ExpectedQty]]</f>
        <v>0</v>
      </c>
      <c r="H858" s="2">
        <f>IF(tbl_kpi[[#This Row],[ExpectedQty]]=0, 1, MAX(0, 1 - ABS(tbl_kpi[[#This Row],[VarianceQty]]) / tbl_kpi[[#This Row],[ExpectedQty]]))</f>
        <v>1</v>
      </c>
      <c r="I858" s="2" t="str">
        <f>IF(tbl_kpi[[#This Row],[AccuracyPct]] &lt; 0.98, "Y", "N")</f>
        <v>N</v>
      </c>
    </row>
    <row r="859" spans="1:9">
      <c r="A859" s="2">
        <v>894</v>
      </c>
      <c r="B859" s="2">
        <v>1</v>
      </c>
      <c r="C859" s="2" t="str">
        <f>_xlfn.XLOOKUP(tbl_kpi[[#This Row],[LocationID]], tbl_location[LocationID], tbl_location[LocationName], "UNMAPPED_LOCATION")</f>
        <v>Tool Crib</v>
      </c>
      <c r="D859" s="2">
        <v>337</v>
      </c>
      <c r="E859" s="2">
        <v>339</v>
      </c>
      <c r="F859" s="2">
        <f>tbl_kpi[[#This Row],[OnHandQty]]</f>
        <v>337</v>
      </c>
      <c r="G859" s="2">
        <f>tbl_kpi[[#This Row],[CountedQty]]-tbl_kpi[[#This Row],[ExpectedQty]]</f>
        <v>2</v>
      </c>
      <c r="H859" s="2">
        <f>IF(tbl_kpi[[#This Row],[ExpectedQty]]=0, 1, MAX(0, 1 - ABS(tbl_kpi[[#This Row],[VarianceQty]]) / tbl_kpi[[#This Row],[ExpectedQty]]))</f>
        <v>0.99406528189910981</v>
      </c>
      <c r="I859" s="2" t="str">
        <f>IF(tbl_kpi[[#This Row],[AccuracyPct]] &lt; 0.98, "Y", "N")</f>
        <v>N</v>
      </c>
    </row>
    <row r="860" spans="1:9">
      <c r="A860" s="2">
        <v>894</v>
      </c>
      <c r="B860" s="2">
        <v>6</v>
      </c>
      <c r="C860" s="2" t="str">
        <f>_xlfn.XLOOKUP(tbl_kpi[[#This Row],[LocationID]], tbl_location[LocationID], tbl_location[LocationName], "UNMAPPED_LOCATION")</f>
        <v>Miscellaneous Storage</v>
      </c>
      <c r="D860" s="2">
        <v>355</v>
      </c>
      <c r="E860" s="2">
        <v>348</v>
      </c>
      <c r="F860" s="2">
        <f>tbl_kpi[[#This Row],[OnHandQty]]</f>
        <v>355</v>
      </c>
      <c r="G860" s="2">
        <f>tbl_kpi[[#This Row],[CountedQty]]-tbl_kpi[[#This Row],[ExpectedQty]]</f>
        <v>-7</v>
      </c>
      <c r="H860" s="2">
        <f>IF(tbl_kpi[[#This Row],[ExpectedQty]]=0, 1, MAX(0, 1 - ABS(tbl_kpi[[#This Row],[VarianceQty]]) / tbl_kpi[[#This Row],[ExpectedQty]]))</f>
        <v>0.9802816901408451</v>
      </c>
      <c r="I860" s="2" t="str">
        <f>IF(tbl_kpi[[#This Row],[AccuracyPct]] &lt; 0.98, "Y", "N")</f>
        <v>N</v>
      </c>
    </row>
    <row r="861" spans="1:9">
      <c r="A861" s="2">
        <v>894</v>
      </c>
      <c r="B861" s="2">
        <v>50</v>
      </c>
      <c r="C861" s="2" t="str">
        <f>_xlfn.XLOOKUP(tbl_kpi[[#This Row],[LocationID]], tbl_location[LocationID], tbl_location[LocationName], "UNMAPPED_LOCATION")</f>
        <v>Subassembly</v>
      </c>
      <c r="D861" s="2">
        <v>155</v>
      </c>
      <c r="E861" s="2">
        <v>155</v>
      </c>
      <c r="F861" s="2">
        <f>tbl_kpi[[#This Row],[OnHandQty]]</f>
        <v>155</v>
      </c>
      <c r="G861" s="2">
        <f>tbl_kpi[[#This Row],[CountedQty]]-tbl_kpi[[#This Row],[ExpectedQty]]</f>
        <v>0</v>
      </c>
      <c r="H861" s="2">
        <f>IF(tbl_kpi[[#This Row],[ExpectedQty]]=0, 1, MAX(0, 1 - ABS(tbl_kpi[[#This Row],[VarianceQty]]) / tbl_kpi[[#This Row],[ExpectedQty]]))</f>
        <v>1</v>
      </c>
      <c r="I861" s="2" t="str">
        <f>IF(tbl_kpi[[#This Row],[AccuracyPct]] &lt; 0.98, "Y", "N")</f>
        <v>N</v>
      </c>
    </row>
    <row r="862" spans="1:9">
      <c r="A862" s="2">
        <v>907</v>
      </c>
      <c r="B862" s="2">
        <v>1</v>
      </c>
      <c r="C862" s="2" t="str">
        <f>_xlfn.XLOOKUP(tbl_kpi[[#This Row],[LocationID]], tbl_location[LocationID], tbl_location[LocationName], "UNMAPPED_LOCATION")</f>
        <v>Tool Crib</v>
      </c>
      <c r="D862" s="2">
        <v>337</v>
      </c>
      <c r="E862" s="2">
        <v>340</v>
      </c>
      <c r="F862" s="2">
        <f>tbl_kpi[[#This Row],[OnHandQty]]</f>
        <v>337</v>
      </c>
      <c r="G862" s="2">
        <f>tbl_kpi[[#This Row],[CountedQty]]-tbl_kpi[[#This Row],[ExpectedQty]]</f>
        <v>3</v>
      </c>
      <c r="H862" s="2">
        <f>IF(tbl_kpi[[#This Row],[ExpectedQty]]=0, 1, MAX(0, 1 - ABS(tbl_kpi[[#This Row],[VarianceQty]]) / tbl_kpi[[#This Row],[ExpectedQty]]))</f>
        <v>0.99109792284866471</v>
      </c>
      <c r="I862" s="2" t="str">
        <f>IF(tbl_kpi[[#This Row],[AccuracyPct]] &lt; 0.98, "Y", "N")</f>
        <v>N</v>
      </c>
    </row>
    <row r="863" spans="1:9">
      <c r="A863" s="2">
        <v>907</v>
      </c>
      <c r="B863" s="2">
        <v>6</v>
      </c>
      <c r="C863" s="2" t="str">
        <f>_xlfn.XLOOKUP(tbl_kpi[[#This Row],[LocationID]], tbl_location[LocationID], tbl_location[LocationName], "UNMAPPED_LOCATION")</f>
        <v>Miscellaneous Storage</v>
      </c>
      <c r="D863" s="2">
        <v>228</v>
      </c>
      <c r="E863" s="2">
        <v>227</v>
      </c>
      <c r="F863" s="2">
        <f>tbl_kpi[[#This Row],[OnHandQty]]</f>
        <v>228</v>
      </c>
      <c r="G863" s="2">
        <f>tbl_kpi[[#This Row],[CountedQty]]-tbl_kpi[[#This Row],[ExpectedQty]]</f>
        <v>-1</v>
      </c>
      <c r="H863" s="2">
        <f>IF(tbl_kpi[[#This Row],[ExpectedQty]]=0, 1, MAX(0, 1 - ABS(tbl_kpi[[#This Row],[VarianceQty]]) / tbl_kpi[[#This Row],[ExpectedQty]]))</f>
        <v>0.99561403508771928</v>
      </c>
      <c r="I863" s="2" t="str">
        <f>IF(tbl_kpi[[#This Row],[AccuracyPct]] &lt; 0.98, "Y", "N")</f>
        <v>N</v>
      </c>
    </row>
    <row r="864" spans="1:9">
      <c r="A864" s="2">
        <v>907</v>
      </c>
      <c r="B864" s="2">
        <v>50</v>
      </c>
      <c r="C864" s="2" t="str">
        <f>_xlfn.XLOOKUP(tbl_kpi[[#This Row],[LocationID]], tbl_location[LocationID], tbl_location[LocationName], "UNMAPPED_LOCATION")</f>
        <v>Subassembly</v>
      </c>
      <c r="D864" s="2">
        <v>158</v>
      </c>
      <c r="E864" s="2">
        <v>161</v>
      </c>
      <c r="F864" s="2">
        <f>tbl_kpi[[#This Row],[OnHandQty]]</f>
        <v>158</v>
      </c>
      <c r="G864" s="2">
        <f>tbl_kpi[[#This Row],[CountedQty]]-tbl_kpi[[#This Row],[ExpectedQty]]</f>
        <v>3</v>
      </c>
      <c r="H864" s="2">
        <f>IF(tbl_kpi[[#This Row],[ExpectedQty]]=0, 1, MAX(0, 1 - ABS(tbl_kpi[[#This Row],[VarianceQty]]) / tbl_kpi[[#This Row],[ExpectedQty]]))</f>
        <v>0.98101265822784811</v>
      </c>
      <c r="I864" s="2" t="str">
        <f>IF(tbl_kpi[[#This Row],[AccuracyPct]] &lt; 0.98, "Y", "N")</f>
        <v>N</v>
      </c>
    </row>
    <row r="865" spans="1:9">
      <c r="A865" s="2">
        <v>908</v>
      </c>
      <c r="B865" s="2">
        <v>6</v>
      </c>
      <c r="C865" s="2" t="str">
        <f>_xlfn.XLOOKUP(tbl_kpi[[#This Row],[LocationID]], tbl_location[LocationID], tbl_location[LocationName], "UNMAPPED_LOCATION")</f>
        <v>Miscellaneous Storage</v>
      </c>
      <c r="D865" s="2">
        <v>400</v>
      </c>
      <c r="E865" s="2">
        <v>395</v>
      </c>
      <c r="F865" s="2">
        <f>tbl_kpi[[#This Row],[OnHandQty]]</f>
        <v>400</v>
      </c>
      <c r="G865" s="2">
        <f>tbl_kpi[[#This Row],[CountedQty]]-tbl_kpi[[#This Row],[ExpectedQty]]</f>
        <v>-5</v>
      </c>
      <c r="H865" s="2">
        <f>IF(tbl_kpi[[#This Row],[ExpectedQty]]=0, 1, MAX(0, 1 - ABS(tbl_kpi[[#This Row],[VarianceQty]]) / tbl_kpi[[#This Row],[ExpectedQty]]))</f>
        <v>0.98750000000000004</v>
      </c>
      <c r="I865" s="2" t="str">
        <f>IF(tbl_kpi[[#This Row],[AccuracyPct]] &lt; 0.98, "Y", "N")</f>
        <v>N</v>
      </c>
    </row>
    <row r="866" spans="1:9">
      <c r="A866" s="2">
        <v>908</v>
      </c>
      <c r="B866" s="2">
        <v>50</v>
      </c>
      <c r="C866" s="2" t="str">
        <f>_xlfn.XLOOKUP(tbl_kpi[[#This Row],[LocationID]], tbl_location[LocationID], tbl_location[LocationName], "UNMAPPED_LOCATION")</f>
        <v>Subassembly</v>
      </c>
      <c r="D866" s="2">
        <v>214</v>
      </c>
      <c r="E866" s="2">
        <v>213</v>
      </c>
      <c r="F866" s="2">
        <f>tbl_kpi[[#This Row],[OnHandQty]]</f>
        <v>214</v>
      </c>
      <c r="G866" s="2">
        <f>tbl_kpi[[#This Row],[CountedQty]]-tbl_kpi[[#This Row],[ExpectedQty]]</f>
        <v>-1</v>
      </c>
      <c r="H866" s="2">
        <f>IF(tbl_kpi[[#This Row],[ExpectedQty]]=0, 1, MAX(0, 1 - ABS(tbl_kpi[[#This Row],[VarianceQty]]) / tbl_kpi[[#This Row],[ExpectedQty]]))</f>
        <v>0.99532710280373837</v>
      </c>
      <c r="I866" s="2" t="str">
        <f>IF(tbl_kpi[[#This Row],[AccuracyPct]] &lt; 0.98, "Y", "N")</f>
        <v>N</v>
      </c>
    </row>
    <row r="867" spans="1:9">
      <c r="A867" s="2">
        <v>908</v>
      </c>
      <c r="B867" s="2">
        <v>60</v>
      </c>
      <c r="C867" s="2" t="str">
        <f>_xlfn.XLOOKUP(tbl_kpi[[#This Row],[LocationID]], tbl_location[LocationID], tbl_location[LocationName], "UNMAPPED_LOCATION")</f>
        <v>Final Assembly</v>
      </c>
      <c r="D867" s="2">
        <v>195</v>
      </c>
      <c r="E867" s="2">
        <v>196</v>
      </c>
      <c r="F867" s="2">
        <f>tbl_kpi[[#This Row],[OnHandQty]]</f>
        <v>195</v>
      </c>
      <c r="G867" s="2">
        <f>tbl_kpi[[#This Row],[CountedQty]]-tbl_kpi[[#This Row],[ExpectedQty]]</f>
        <v>1</v>
      </c>
      <c r="H867" s="2">
        <f>IF(tbl_kpi[[#This Row],[ExpectedQty]]=0, 1, MAX(0, 1 - ABS(tbl_kpi[[#This Row],[VarianceQty]]) / tbl_kpi[[#This Row],[ExpectedQty]]))</f>
        <v>0.99487179487179489</v>
      </c>
      <c r="I867" s="2" t="str">
        <f>IF(tbl_kpi[[#This Row],[AccuracyPct]] &lt; 0.98, "Y", "N")</f>
        <v>N</v>
      </c>
    </row>
    <row r="868" spans="1:9">
      <c r="A868" s="2">
        <v>909</v>
      </c>
      <c r="B868" s="2">
        <v>6</v>
      </c>
      <c r="C868" s="2" t="str">
        <f>_xlfn.XLOOKUP(tbl_kpi[[#This Row],[LocationID]], tbl_location[LocationID], tbl_location[LocationName], "UNMAPPED_LOCATION")</f>
        <v>Miscellaneous Storage</v>
      </c>
      <c r="D868" s="2">
        <v>230</v>
      </c>
      <c r="E868" s="2">
        <v>229</v>
      </c>
      <c r="F868" s="2">
        <f>tbl_kpi[[#This Row],[OnHandQty]]</f>
        <v>230</v>
      </c>
      <c r="G868" s="2">
        <f>tbl_kpi[[#This Row],[CountedQty]]-tbl_kpi[[#This Row],[ExpectedQty]]</f>
        <v>-1</v>
      </c>
      <c r="H868" s="2">
        <f>IF(tbl_kpi[[#This Row],[ExpectedQty]]=0, 1, MAX(0, 1 - ABS(tbl_kpi[[#This Row],[VarianceQty]]) / tbl_kpi[[#This Row],[ExpectedQty]]))</f>
        <v>0.9956521739130435</v>
      </c>
      <c r="I868" s="2" t="str">
        <f>IF(tbl_kpi[[#This Row],[AccuracyPct]] &lt; 0.98, "Y", "N")</f>
        <v>N</v>
      </c>
    </row>
    <row r="869" spans="1:9">
      <c r="A869" s="2">
        <v>909</v>
      </c>
      <c r="B869" s="2">
        <v>50</v>
      </c>
      <c r="C869" s="2" t="str">
        <f>_xlfn.XLOOKUP(tbl_kpi[[#This Row],[LocationID]], tbl_location[LocationID], tbl_location[LocationName], "UNMAPPED_LOCATION")</f>
        <v>Subassembly</v>
      </c>
      <c r="D869" s="2">
        <v>72</v>
      </c>
      <c r="E869" s="2">
        <v>70</v>
      </c>
      <c r="F869" s="2">
        <f>tbl_kpi[[#This Row],[OnHandQty]]</f>
        <v>72</v>
      </c>
      <c r="G869" s="2">
        <f>tbl_kpi[[#This Row],[CountedQty]]-tbl_kpi[[#This Row],[ExpectedQty]]</f>
        <v>-2</v>
      </c>
      <c r="H869" s="2">
        <f>IF(tbl_kpi[[#This Row],[ExpectedQty]]=0, 1, MAX(0, 1 - ABS(tbl_kpi[[#This Row],[VarianceQty]]) / tbl_kpi[[#This Row],[ExpectedQty]]))</f>
        <v>0.97222222222222221</v>
      </c>
      <c r="I869" s="2" t="str">
        <f>IF(tbl_kpi[[#This Row],[AccuracyPct]] &lt; 0.98, "Y", "N")</f>
        <v>Y</v>
      </c>
    </row>
    <row r="870" spans="1:9">
      <c r="A870" s="2">
        <v>909</v>
      </c>
      <c r="B870" s="2">
        <v>60</v>
      </c>
      <c r="C870" s="2" t="str">
        <f>_xlfn.XLOOKUP(tbl_kpi[[#This Row],[LocationID]], tbl_location[LocationID], tbl_location[LocationName], "UNMAPPED_LOCATION")</f>
        <v>Final Assembly</v>
      </c>
      <c r="D870" s="2">
        <v>120</v>
      </c>
      <c r="E870" s="2">
        <v>119</v>
      </c>
      <c r="F870" s="2">
        <f>tbl_kpi[[#This Row],[OnHandQty]]</f>
        <v>120</v>
      </c>
      <c r="G870" s="2">
        <f>tbl_kpi[[#This Row],[CountedQty]]-tbl_kpi[[#This Row],[ExpectedQty]]</f>
        <v>-1</v>
      </c>
      <c r="H870" s="2">
        <f>IF(tbl_kpi[[#This Row],[ExpectedQty]]=0, 1, MAX(0, 1 - ABS(tbl_kpi[[#This Row],[VarianceQty]]) / tbl_kpi[[#This Row],[ExpectedQty]]))</f>
        <v>0.9916666666666667</v>
      </c>
      <c r="I870" s="2" t="str">
        <f>IF(tbl_kpi[[#This Row],[AccuracyPct]] &lt; 0.98, "Y", "N")</f>
        <v>N</v>
      </c>
    </row>
    <row r="871" spans="1:9">
      <c r="A871" s="2">
        <v>910</v>
      </c>
      <c r="B871" s="2">
        <v>6</v>
      </c>
      <c r="C871" s="2" t="str">
        <f>_xlfn.XLOOKUP(tbl_kpi[[#This Row],[LocationID]], tbl_location[LocationID], tbl_location[LocationName], "UNMAPPED_LOCATION")</f>
        <v>Miscellaneous Storage</v>
      </c>
      <c r="D871" s="2">
        <v>91</v>
      </c>
      <c r="E871" s="2">
        <v>91</v>
      </c>
      <c r="F871" s="2">
        <f>tbl_kpi[[#This Row],[OnHandQty]]</f>
        <v>91</v>
      </c>
      <c r="G871" s="2">
        <f>tbl_kpi[[#This Row],[CountedQty]]-tbl_kpi[[#This Row],[ExpectedQty]]</f>
        <v>0</v>
      </c>
      <c r="H871" s="2">
        <f>IF(tbl_kpi[[#This Row],[ExpectedQty]]=0, 1, MAX(0, 1 - ABS(tbl_kpi[[#This Row],[VarianceQty]]) / tbl_kpi[[#This Row],[ExpectedQty]]))</f>
        <v>1</v>
      </c>
      <c r="I871" s="2" t="str">
        <f>IF(tbl_kpi[[#This Row],[AccuracyPct]] &lt; 0.98, "Y", "N")</f>
        <v>N</v>
      </c>
    </row>
    <row r="872" spans="1:9">
      <c r="A872" s="2">
        <v>910</v>
      </c>
      <c r="B872" s="2">
        <v>50</v>
      </c>
      <c r="C872" s="2" t="str">
        <f>_xlfn.XLOOKUP(tbl_kpi[[#This Row],[LocationID]], tbl_location[LocationID], tbl_location[LocationName], "UNMAPPED_LOCATION")</f>
        <v>Subassembly</v>
      </c>
      <c r="D872" s="2">
        <v>168</v>
      </c>
      <c r="E872" s="2">
        <v>173</v>
      </c>
      <c r="F872" s="2">
        <f>tbl_kpi[[#This Row],[OnHandQty]]</f>
        <v>168</v>
      </c>
      <c r="G872" s="2">
        <f>tbl_kpi[[#This Row],[CountedQty]]-tbl_kpi[[#This Row],[ExpectedQty]]</f>
        <v>5</v>
      </c>
      <c r="H872" s="2">
        <f>IF(tbl_kpi[[#This Row],[ExpectedQty]]=0, 1, MAX(0, 1 - ABS(tbl_kpi[[#This Row],[VarianceQty]]) / tbl_kpi[[#This Row],[ExpectedQty]]))</f>
        <v>0.97023809523809523</v>
      </c>
      <c r="I872" s="2" t="str">
        <f>IF(tbl_kpi[[#This Row],[AccuracyPct]] &lt; 0.98, "Y", "N")</f>
        <v>Y</v>
      </c>
    </row>
    <row r="873" spans="1:9">
      <c r="A873" s="2">
        <v>910</v>
      </c>
      <c r="B873" s="2">
        <v>60</v>
      </c>
      <c r="C873" s="2" t="str">
        <f>_xlfn.XLOOKUP(tbl_kpi[[#This Row],[LocationID]], tbl_location[LocationID], tbl_location[LocationName], "UNMAPPED_LOCATION")</f>
        <v>Final Assembly</v>
      </c>
      <c r="D873" s="2">
        <v>96</v>
      </c>
      <c r="E873" s="2">
        <v>97</v>
      </c>
      <c r="F873" s="2">
        <f>tbl_kpi[[#This Row],[OnHandQty]]</f>
        <v>96</v>
      </c>
      <c r="G873" s="2">
        <f>tbl_kpi[[#This Row],[CountedQty]]-tbl_kpi[[#This Row],[ExpectedQty]]</f>
        <v>1</v>
      </c>
      <c r="H873" s="2">
        <f>IF(tbl_kpi[[#This Row],[ExpectedQty]]=0, 1, MAX(0, 1 - ABS(tbl_kpi[[#This Row],[VarianceQty]]) / tbl_kpi[[#This Row],[ExpectedQty]]))</f>
        <v>0.98958333333333337</v>
      </c>
      <c r="I873" s="2" t="str">
        <f>IF(tbl_kpi[[#This Row],[AccuracyPct]] &lt; 0.98, "Y", "N")</f>
        <v>N</v>
      </c>
    </row>
    <row r="874" spans="1:9">
      <c r="A874" s="2">
        <v>911</v>
      </c>
      <c r="B874" s="2">
        <v>6</v>
      </c>
      <c r="C874" s="2" t="str">
        <f>_xlfn.XLOOKUP(tbl_kpi[[#This Row],[LocationID]], tbl_location[LocationID], tbl_location[LocationName], "UNMAPPED_LOCATION")</f>
        <v>Miscellaneous Storage</v>
      </c>
      <c r="D874" s="2">
        <v>283</v>
      </c>
      <c r="E874" s="2">
        <v>289</v>
      </c>
      <c r="F874" s="2">
        <f>tbl_kpi[[#This Row],[OnHandQty]]</f>
        <v>283</v>
      </c>
      <c r="G874" s="2">
        <f>tbl_kpi[[#This Row],[CountedQty]]-tbl_kpi[[#This Row],[ExpectedQty]]</f>
        <v>6</v>
      </c>
      <c r="H874" s="2">
        <f>IF(tbl_kpi[[#This Row],[ExpectedQty]]=0, 1, MAX(0, 1 - ABS(tbl_kpi[[#This Row],[VarianceQty]]) / tbl_kpi[[#This Row],[ExpectedQty]]))</f>
        <v>0.97879858657243812</v>
      </c>
      <c r="I874" s="2" t="str">
        <f>IF(tbl_kpi[[#This Row],[AccuracyPct]] &lt; 0.98, "Y", "N")</f>
        <v>Y</v>
      </c>
    </row>
    <row r="875" spans="1:9">
      <c r="A875" s="2">
        <v>911</v>
      </c>
      <c r="B875" s="2">
        <v>50</v>
      </c>
      <c r="C875" s="2" t="str">
        <f>_xlfn.XLOOKUP(tbl_kpi[[#This Row],[LocationID]], tbl_location[LocationID], tbl_location[LocationName], "UNMAPPED_LOCATION")</f>
        <v>Subassembly</v>
      </c>
      <c r="D875" s="2">
        <v>321</v>
      </c>
      <c r="E875" s="2">
        <v>320</v>
      </c>
      <c r="F875" s="2">
        <f>tbl_kpi[[#This Row],[OnHandQty]]</f>
        <v>321</v>
      </c>
      <c r="G875" s="2">
        <f>tbl_kpi[[#This Row],[CountedQty]]-tbl_kpi[[#This Row],[ExpectedQty]]</f>
        <v>-1</v>
      </c>
      <c r="H875" s="2">
        <f>IF(tbl_kpi[[#This Row],[ExpectedQty]]=0, 1, MAX(0, 1 - ABS(tbl_kpi[[#This Row],[VarianceQty]]) / tbl_kpi[[#This Row],[ExpectedQty]]))</f>
        <v>0.99688473520249221</v>
      </c>
      <c r="I875" s="2" t="str">
        <f>IF(tbl_kpi[[#This Row],[AccuracyPct]] &lt; 0.98, "Y", "N")</f>
        <v>N</v>
      </c>
    </row>
    <row r="876" spans="1:9">
      <c r="A876" s="2">
        <v>911</v>
      </c>
      <c r="B876" s="2">
        <v>60</v>
      </c>
      <c r="C876" s="2" t="str">
        <f>_xlfn.XLOOKUP(tbl_kpi[[#This Row],[LocationID]], tbl_location[LocationID], tbl_location[LocationName], "UNMAPPED_LOCATION")</f>
        <v>Final Assembly</v>
      </c>
      <c r="D876" s="2">
        <v>302</v>
      </c>
      <c r="E876" s="2">
        <v>303</v>
      </c>
      <c r="F876" s="2">
        <f>tbl_kpi[[#This Row],[OnHandQty]]</f>
        <v>302</v>
      </c>
      <c r="G876" s="2">
        <f>tbl_kpi[[#This Row],[CountedQty]]-tbl_kpi[[#This Row],[ExpectedQty]]</f>
        <v>1</v>
      </c>
      <c r="H876" s="2">
        <f>IF(tbl_kpi[[#This Row],[ExpectedQty]]=0, 1, MAX(0, 1 - ABS(tbl_kpi[[#This Row],[VarianceQty]]) / tbl_kpi[[#This Row],[ExpectedQty]]))</f>
        <v>0.99668874172185429</v>
      </c>
      <c r="I876" s="2" t="str">
        <f>IF(tbl_kpi[[#This Row],[AccuracyPct]] &lt; 0.98, "Y", "N")</f>
        <v>N</v>
      </c>
    </row>
    <row r="877" spans="1:9">
      <c r="A877" s="2">
        <v>912</v>
      </c>
      <c r="B877" s="2">
        <v>6</v>
      </c>
      <c r="C877" s="2" t="str">
        <f>_xlfn.XLOOKUP(tbl_kpi[[#This Row],[LocationID]], tbl_location[LocationID], tbl_location[LocationName], "UNMAPPED_LOCATION")</f>
        <v>Miscellaneous Storage</v>
      </c>
      <c r="D877" s="2">
        <v>302</v>
      </c>
      <c r="E877" s="2">
        <v>294</v>
      </c>
      <c r="F877" s="2">
        <f>tbl_kpi[[#This Row],[OnHandQty]]</f>
        <v>302</v>
      </c>
      <c r="G877" s="2">
        <f>tbl_kpi[[#This Row],[CountedQty]]-tbl_kpi[[#This Row],[ExpectedQty]]</f>
        <v>-8</v>
      </c>
      <c r="H877" s="2">
        <f>IF(tbl_kpi[[#This Row],[ExpectedQty]]=0, 1, MAX(0, 1 - ABS(tbl_kpi[[#This Row],[VarianceQty]]) / tbl_kpi[[#This Row],[ExpectedQty]]))</f>
        <v>0.97350993377483441</v>
      </c>
      <c r="I877" s="2" t="str">
        <f>IF(tbl_kpi[[#This Row],[AccuracyPct]] &lt; 0.98, "Y", "N")</f>
        <v>Y</v>
      </c>
    </row>
    <row r="878" spans="1:9">
      <c r="A878" s="2">
        <v>912</v>
      </c>
      <c r="B878" s="2">
        <v>50</v>
      </c>
      <c r="C878" s="2" t="str">
        <f>_xlfn.XLOOKUP(tbl_kpi[[#This Row],[LocationID]], tbl_location[LocationID], tbl_location[LocationName], "UNMAPPED_LOCATION")</f>
        <v>Subassembly</v>
      </c>
      <c r="D878" s="2">
        <v>353</v>
      </c>
      <c r="E878" s="2">
        <v>346</v>
      </c>
      <c r="F878" s="2">
        <f>tbl_kpi[[#This Row],[OnHandQty]]</f>
        <v>353</v>
      </c>
      <c r="G878" s="2">
        <f>tbl_kpi[[#This Row],[CountedQty]]-tbl_kpi[[#This Row],[ExpectedQty]]</f>
        <v>-7</v>
      </c>
      <c r="H878" s="2">
        <f>IF(tbl_kpi[[#This Row],[ExpectedQty]]=0, 1, MAX(0, 1 - ABS(tbl_kpi[[#This Row],[VarianceQty]]) / tbl_kpi[[#This Row],[ExpectedQty]]))</f>
        <v>0.98016997167138808</v>
      </c>
      <c r="I878" s="2" t="str">
        <f>IF(tbl_kpi[[#This Row],[AccuracyPct]] &lt; 0.98, "Y", "N")</f>
        <v>N</v>
      </c>
    </row>
    <row r="879" spans="1:9">
      <c r="A879" s="2">
        <v>912</v>
      </c>
      <c r="B879" s="2">
        <v>60</v>
      </c>
      <c r="C879" s="2" t="str">
        <f>_xlfn.XLOOKUP(tbl_kpi[[#This Row],[LocationID]], tbl_location[LocationID], tbl_location[LocationName], "UNMAPPED_LOCATION")</f>
        <v>Final Assembly</v>
      </c>
      <c r="D879" s="2">
        <v>246</v>
      </c>
      <c r="E879" s="2">
        <v>244</v>
      </c>
      <c r="F879" s="2">
        <f>tbl_kpi[[#This Row],[OnHandQty]]</f>
        <v>246</v>
      </c>
      <c r="G879" s="2">
        <f>tbl_kpi[[#This Row],[CountedQty]]-tbl_kpi[[#This Row],[ExpectedQty]]</f>
        <v>-2</v>
      </c>
      <c r="H879" s="2">
        <f>IF(tbl_kpi[[#This Row],[ExpectedQty]]=0, 1, MAX(0, 1 - ABS(tbl_kpi[[#This Row],[VarianceQty]]) / tbl_kpi[[#This Row],[ExpectedQty]]))</f>
        <v>0.99186991869918695</v>
      </c>
      <c r="I879" s="2" t="str">
        <f>IF(tbl_kpi[[#This Row],[AccuracyPct]] &lt; 0.98, "Y", "N")</f>
        <v>N</v>
      </c>
    </row>
    <row r="880" spans="1:9">
      <c r="A880" s="2">
        <v>913</v>
      </c>
      <c r="B880" s="2">
        <v>6</v>
      </c>
      <c r="C880" s="2" t="str">
        <f>_xlfn.XLOOKUP(tbl_kpi[[#This Row],[LocationID]], tbl_location[LocationID], tbl_location[LocationName], "UNMAPPED_LOCATION")</f>
        <v>Miscellaneous Storage</v>
      </c>
      <c r="D880" s="2">
        <v>169</v>
      </c>
      <c r="E880" s="2">
        <v>169</v>
      </c>
      <c r="F880" s="2">
        <f>tbl_kpi[[#This Row],[OnHandQty]]</f>
        <v>169</v>
      </c>
      <c r="G880" s="2">
        <f>tbl_kpi[[#This Row],[CountedQty]]-tbl_kpi[[#This Row],[ExpectedQty]]</f>
        <v>0</v>
      </c>
      <c r="H880" s="2">
        <f>IF(tbl_kpi[[#This Row],[ExpectedQty]]=0, 1, MAX(0, 1 - ABS(tbl_kpi[[#This Row],[VarianceQty]]) / tbl_kpi[[#This Row],[ExpectedQty]]))</f>
        <v>1</v>
      </c>
      <c r="I880" s="2" t="str">
        <f>IF(tbl_kpi[[#This Row],[AccuracyPct]] &lt; 0.98, "Y", "N")</f>
        <v>N</v>
      </c>
    </row>
    <row r="881" spans="1:9">
      <c r="A881" s="2">
        <v>913</v>
      </c>
      <c r="B881" s="2">
        <v>50</v>
      </c>
      <c r="C881" s="2" t="str">
        <f>_xlfn.XLOOKUP(tbl_kpi[[#This Row],[LocationID]], tbl_location[LocationID], tbl_location[LocationName], "UNMAPPED_LOCATION")</f>
        <v>Subassembly</v>
      </c>
      <c r="D881" s="2">
        <v>145</v>
      </c>
      <c r="E881" s="2">
        <v>149</v>
      </c>
      <c r="F881" s="2">
        <f>tbl_kpi[[#This Row],[OnHandQty]]</f>
        <v>145</v>
      </c>
      <c r="G881" s="2">
        <f>tbl_kpi[[#This Row],[CountedQty]]-tbl_kpi[[#This Row],[ExpectedQty]]</f>
        <v>4</v>
      </c>
      <c r="H881" s="2">
        <f>IF(tbl_kpi[[#This Row],[ExpectedQty]]=0, 1, MAX(0, 1 - ABS(tbl_kpi[[#This Row],[VarianceQty]]) / tbl_kpi[[#This Row],[ExpectedQty]]))</f>
        <v>0.97241379310344822</v>
      </c>
      <c r="I881" s="2" t="str">
        <f>IF(tbl_kpi[[#This Row],[AccuracyPct]] &lt; 0.98, "Y", "N")</f>
        <v>Y</v>
      </c>
    </row>
    <row r="882" spans="1:9">
      <c r="A882" s="2">
        <v>913</v>
      </c>
      <c r="B882" s="2">
        <v>60</v>
      </c>
      <c r="C882" s="2" t="str">
        <f>_xlfn.XLOOKUP(tbl_kpi[[#This Row],[LocationID]], tbl_location[LocationID], tbl_location[LocationName], "UNMAPPED_LOCATION")</f>
        <v>Final Assembly</v>
      </c>
      <c r="D882" s="2">
        <v>153</v>
      </c>
      <c r="E882" s="2">
        <v>153</v>
      </c>
      <c r="F882" s="2">
        <f>tbl_kpi[[#This Row],[OnHandQty]]</f>
        <v>153</v>
      </c>
      <c r="G882" s="2">
        <f>tbl_kpi[[#This Row],[CountedQty]]-tbl_kpi[[#This Row],[ExpectedQty]]</f>
        <v>0</v>
      </c>
      <c r="H882" s="2">
        <f>IF(tbl_kpi[[#This Row],[ExpectedQty]]=0, 1, MAX(0, 1 - ABS(tbl_kpi[[#This Row],[VarianceQty]]) / tbl_kpi[[#This Row],[ExpectedQty]]))</f>
        <v>1</v>
      </c>
      <c r="I882" s="2" t="str">
        <f>IF(tbl_kpi[[#This Row],[AccuracyPct]] &lt; 0.98, "Y", "N")</f>
        <v>N</v>
      </c>
    </row>
    <row r="883" spans="1:9">
      <c r="A883" s="2">
        <v>914</v>
      </c>
      <c r="B883" s="2">
        <v>6</v>
      </c>
      <c r="C883" s="2" t="str">
        <f>_xlfn.XLOOKUP(tbl_kpi[[#This Row],[LocationID]], tbl_location[LocationID], tbl_location[LocationName], "UNMAPPED_LOCATION")</f>
        <v>Miscellaneous Storage</v>
      </c>
      <c r="D883" s="2">
        <v>248</v>
      </c>
      <c r="E883" s="2">
        <v>250</v>
      </c>
      <c r="F883" s="2">
        <f>tbl_kpi[[#This Row],[OnHandQty]]</f>
        <v>248</v>
      </c>
      <c r="G883" s="2">
        <f>tbl_kpi[[#This Row],[CountedQty]]-tbl_kpi[[#This Row],[ExpectedQty]]</f>
        <v>2</v>
      </c>
      <c r="H883" s="2">
        <f>IF(tbl_kpi[[#This Row],[ExpectedQty]]=0, 1, MAX(0, 1 - ABS(tbl_kpi[[#This Row],[VarianceQty]]) / tbl_kpi[[#This Row],[ExpectedQty]]))</f>
        <v>0.99193548387096775</v>
      </c>
      <c r="I883" s="2" t="str">
        <f>IF(tbl_kpi[[#This Row],[AccuracyPct]] &lt; 0.98, "Y", "N")</f>
        <v>N</v>
      </c>
    </row>
    <row r="884" spans="1:9">
      <c r="A884" s="2">
        <v>914</v>
      </c>
      <c r="B884" s="2">
        <v>50</v>
      </c>
      <c r="C884" s="2" t="str">
        <f>_xlfn.XLOOKUP(tbl_kpi[[#This Row],[LocationID]], tbl_location[LocationID], tbl_location[LocationName], "UNMAPPED_LOCATION")</f>
        <v>Subassembly</v>
      </c>
      <c r="D884" s="2">
        <v>171</v>
      </c>
      <c r="E884" s="2">
        <v>173</v>
      </c>
      <c r="F884" s="2">
        <f>tbl_kpi[[#This Row],[OnHandQty]]</f>
        <v>171</v>
      </c>
      <c r="G884" s="2">
        <f>tbl_kpi[[#This Row],[CountedQty]]-tbl_kpi[[#This Row],[ExpectedQty]]</f>
        <v>2</v>
      </c>
      <c r="H884" s="2">
        <f>IF(tbl_kpi[[#This Row],[ExpectedQty]]=0, 1, MAX(0, 1 - ABS(tbl_kpi[[#This Row],[VarianceQty]]) / tbl_kpi[[#This Row],[ExpectedQty]]))</f>
        <v>0.98830409356725146</v>
      </c>
      <c r="I884" s="2" t="str">
        <f>IF(tbl_kpi[[#This Row],[AccuracyPct]] &lt; 0.98, "Y", "N")</f>
        <v>N</v>
      </c>
    </row>
    <row r="885" spans="1:9">
      <c r="A885" s="2">
        <v>914</v>
      </c>
      <c r="B885" s="2">
        <v>60</v>
      </c>
      <c r="C885" s="2" t="str">
        <f>_xlfn.XLOOKUP(tbl_kpi[[#This Row],[LocationID]], tbl_location[LocationID], tbl_location[LocationName], "UNMAPPED_LOCATION")</f>
        <v>Final Assembly</v>
      </c>
      <c r="D885" s="2">
        <v>382</v>
      </c>
      <c r="E885" s="2">
        <v>382</v>
      </c>
      <c r="F885" s="2">
        <f>tbl_kpi[[#This Row],[OnHandQty]]</f>
        <v>382</v>
      </c>
      <c r="G885" s="2">
        <f>tbl_kpi[[#This Row],[CountedQty]]-tbl_kpi[[#This Row],[ExpectedQty]]</f>
        <v>0</v>
      </c>
      <c r="H885" s="2">
        <f>IF(tbl_kpi[[#This Row],[ExpectedQty]]=0, 1, MAX(0, 1 - ABS(tbl_kpi[[#This Row],[VarianceQty]]) / tbl_kpi[[#This Row],[ExpectedQty]]))</f>
        <v>1</v>
      </c>
      <c r="I885" s="2" t="str">
        <f>IF(tbl_kpi[[#This Row],[AccuracyPct]] &lt; 0.98, "Y", "N")</f>
        <v>N</v>
      </c>
    </row>
    <row r="886" spans="1:9">
      <c r="A886" s="2">
        <v>915</v>
      </c>
      <c r="B886" s="2">
        <v>6</v>
      </c>
      <c r="C886" s="2" t="str">
        <f>_xlfn.XLOOKUP(tbl_kpi[[#This Row],[LocationID]], tbl_location[LocationID], tbl_location[LocationName], "UNMAPPED_LOCATION")</f>
        <v>Miscellaneous Storage</v>
      </c>
      <c r="D886" s="2">
        <v>161</v>
      </c>
      <c r="E886" s="2">
        <v>166</v>
      </c>
      <c r="F886" s="2">
        <f>tbl_kpi[[#This Row],[OnHandQty]]</f>
        <v>161</v>
      </c>
      <c r="G886" s="2">
        <f>tbl_kpi[[#This Row],[CountedQty]]-tbl_kpi[[#This Row],[ExpectedQty]]</f>
        <v>5</v>
      </c>
      <c r="H886" s="2">
        <f>IF(tbl_kpi[[#This Row],[ExpectedQty]]=0, 1, MAX(0, 1 - ABS(tbl_kpi[[#This Row],[VarianceQty]]) / tbl_kpi[[#This Row],[ExpectedQty]]))</f>
        <v>0.96894409937888204</v>
      </c>
      <c r="I886" s="2" t="str">
        <f>IF(tbl_kpi[[#This Row],[AccuracyPct]] &lt; 0.98, "Y", "N")</f>
        <v>Y</v>
      </c>
    </row>
    <row r="887" spans="1:9">
      <c r="A887" s="2">
        <v>915</v>
      </c>
      <c r="B887" s="2">
        <v>50</v>
      </c>
      <c r="C887" s="2" t="str">
        <f>_xlfn.XLOOKUP(tbl_kpi[[#This Row],[LocationID]], tbl_location[LocationID], tbl_location[LocationName], "UNMAPPED_LOCATION")</f>
        <v>Subassembly</v>
      </c>
      <c r="D887" s="2">
        <v>83</v>
      </c>
      <c r="E887" s="2">
        <v>85</v>
      </c>
      <c r="F887" s="2">
        <f>tbl_kpi[[#This Row],[OnHandQty]]</f>
        <v>83</v>
      </c>
      <c r="G887" s="2">
        <f>tbl_kpi[[#This Row],[CountedQty]]-tbl_kpi[[#This Row],[ExpectedQty]]</f>
        <v>2</v>
      </c>
      <c r="H887" s="2">
        <f>IF(tbl_kpi[[#This Row],[ExpectedQty]]=0, 1, MAX(0, 1 - ABS(tbl_kpi[[#This Row],[VarianceQty]]) / tbl_kpi[[#This Row],[ExpectedQty]]))</f>
        <v>0.97590361445783136</v>
      </c>
      <c r="I887" s="2" t="str">
        <f>IF(tbl_kpi[[#This Row],[AccuracyPct]] &lt; 0.98, "Y", "N")</f>
        <v>Y</v>
      </c>
    </row>
    <row r="888" spans="1:9">
      <c r="A888" s="2">
        <v>915</v>
      </c>
      <c r="B888" s="2">
        <v>60</v>
      </c>
      <c r="C888" s="2" t="str">
        <f>_xlfn.XLOOKUP(tbl_kpi[[#This Row],[LocationID]], tbl_location[LocationID], tbl_location[LocationName], "UNMAPPED_LOCATION")</f>
        <v>Final Assembly</v>
      </c>
      <c r="D888" s="2">
        <v>158</v>
      </c>
      <c r="E888" s="2">
        <v>155</v>
      </c>
      <c r="F888" s="2">
        <f>tbl_kpi[[#This Row],[OnHandQty]]</f>
        <v>158</v>
      </c>
      <c r="G888" s="2">
        <f>tbl_kpi[[#This Row],[CountedQty]]-tbl_kpi[[#This Row],[ExpectedQty]]</f>
        <v>-3</v>
      </c>
      <c r="H888" s="2">
        <f>IF(tbl_kpi[[#This Row],[ExpectedQty]]=0, 1, MAX(0, 1 - ABS(tbl_kpi[[#This Row],[VarianceQty]]) / tbl_kpi[[#This Row],[ExpectedQty]]))</f>
        <v>0.98101265822784811</v>
      </c>
      <c r="I888" s="2" t="str">
        <f>IF(tbl_kpi[[#This Row],[AccuracyPct]] &lt; 0.98, "Y", "N")</f>
        <v>N</v>
      </c>
    </row>
    <row r="889" spans="1:9">
      <c r="A889" s="2">
        <v>916</v>
      </c>
      <c r="B889" s="2">
        <v>6</v>
      </c>
      <c r="C889" s="2" t="str">
        <f>_xlfn.XLOOKUP(tbl_kpi[[#This Row],[LocationID]], tbl_location[LocationID], tbl_location[LocationName], "UNMAPPED_LOCATION")</f>
        <v>Miscellaneous Storage</v>
      </c>
      <c r="D889" s="2">
        <v>425</v>
      </c>
      <c r="E889" s="2">
        <v>421</v>
      </c>
      <c r="F889" s="2">
        <f>tbl_kpi[[#This Row],[OnHandQty]]</f>
        <v>425</v>
      </c>
      <c r="G889" s="2">
        <f>tbl_kpi[[#This Row],[CountedQty]]-tbl_kpi[[#This Row],[ExpectedQty]]</f>
        <v>-4</v>
      </c>
      <c r="H889" s="2">
        <f>IF(tbl_kpi[[#This Row],[ExpectedQty]]=0, 1, MAX(0, 1 - ABS(tbl_kpi[[#This Row],[VarianceQty]]) / tbl_kpi[[#This Row],[ExpectedQty]]))</f>
        <v>0.99058823529411766</v>
      </c>
      <c r="I889" s="2" t="str">
        <f>IF(tbl_kpi[[#This Row],[AccuracyPct]] &lt; 0.98, "Y", "N")</f>
        <v>N</v>
      </c>
    </row>
    <row r="890" spans="1:9">
      <c r="A890" s="2">
        <v>916</v>
      </c>
      <c r="B890" s="2">
        <v>50</v>
      </c>
      <c r="C890" s="2" t="str">
        <f>_xlfn.XLOOKUP(tbl_kpi[[#This Row],[LocationID]], tbl_location[LocationID], tbl_location[LocationName], "UNMAPPED_LOCATION")</f>
        <v>Subassembly</v>
      </c>
      <c r="D890" s="2">
        <v>288</v>
      </c>
      <c r="E890" s="2">
        <v>291</v>
      </c>
      <c r="F890" s="2">
        <f>tbl_kpi[[#This Row],[OnHandQty]]</f>
        <v>288</v>
      </c>
      <c r="G890" s="2">
        <f>tbl_kpi[[#This Row],[CountedQty]]-tbl_kpi[[#This Row],[ExpectedQty]]</f>
        <v>3</v>
      </c>
      <c r="H890" s="2">
        <f>IF(tbl_kpi[[#This Row],[ExpectedQty]]=0, 1, MAX(0, 1 - ABS(tbl_kpi[[#This Row],[VarianceQty]]) / tbl_kpi[[#This Row],[ExpectedQty]]))</f>
        <v>0.98958333333333337</v>
      </c>
      <c r="I890" s="2" t="str">
        <f>IF(tbl_kpi[[#This Row],[AccuracyPct]] &lt; 0.98, "Y", "N")</f>
        <v>N</v>
      </c>
    </row>
    <row r="891" spans="1:9">
      <c r="A891" s="2">
        <v>916</v>
      </c>
      <c r="B891" s="2">
        <v>60</v>
      </c>
      <c r="C891" s="2" t="str">
        <f>_xlfn.XLOOKUP(tbl_kpi[[#This Row],[LocationID]], tbl_location[LocationID], tbl_location[LocationName], "UNMAPPED_LOCATION")</f>
        <v>Final Assembly</v>
      </c>
      <c r="D891" s="2">
        <v>276</v>
      </c>
      <c r="E891" s="2">
        <v>282</v>
      </c>
      <c r="F891" s="2">
        <f>tbl_kpi[[#This Row],[OnHandQty]]</f>
        <v>276</v>
      </c>
      <c r="G891" s="2">
        <f>tbl_kpi[[#This Row],[CountedQty]]-tbl_kpi[[#This Row],[ExpectedQty]]</f>
        <v>6</v>
      </c>
      <c r="H891" s="2">
        <f>IF(tbl_kpi[[#This Row],[ExpectedQty]]=0, 1, MAX(0, 1 - ABS(tbl_kpi[[#This Row],[VarianceQty]]) / tbl_kpi[[#This Row],[ExpectedQty]]))</f>
        <v>0.97826086956521741</v>
      </c>
      <c r="I891" s="2" t="str">
        <f>IF(tbl_kpi[[#This Row],[AccuracyPct]] &lt; 0.98, "Y", "N")</f>
        <v>Y</v>
      </c>
    </row>
    <row r="892" spans="1:9">
      <c r="A892" s="2">
        <v>921</v>
      </c>
      <c r="B892" s="2">
        <v>6</v>
      </c>
      <c r="C892" s="2" t="str">
        <f>_xlfn.XLOOKUP(tbl_kpi[[#This Row],[LocationID]], tbl_location[LocationID], tbl_location[LocationName], "UNMAPPED_LOCATION")</f>
        <v>Miscellaneous Storage</v>
      </c>
      <c r="D892" s="2">
        <v>286</v>
      </c>
      <c r="E892" s="2">
        <v>285</v>
      </c>
      <c r="F892" s="2">
        <f>tbl_kpi[[#This Row],[OnHandQty]]</f>
        <v>286</v>
      </c>
      <c r="G892" s="2">
        <f>tbl_kpi[[#This Row],[CountedQty]]-tbl_kpi[[#This Row],[ExpectedQty]]</f>
        <v>-1</v>
      </c>
      <c r="H892" s="2">
        <f>IF(tbl_kpi[[#This Row],[ExpectedQty]]=0, 1, MAX(0, 1 - ABS(tbl_kpi[[#This Row],[VarianceQty]]) / tbl_kpi[[#This Row],[ExpectedQty]]))</f>
        <v>0.99650349650349646</v>
      </c>
      <c r="I892" s="2" t="str">
        <f>IF(tbl_kpi[[#This Row],[AccuracyPct]] &lt; 0.98, "Y", "N")</f>
        <v>N</v>
      </c>
    </row>
    <row r="893" spans="1:9">
      <c r="A893" s="2">
        <v>921</v>
      </c>
      <c r="B893" s="2">
        <v>50</v>
      </c>
      <c r="C893" s="2" t="str">
        <f>_xlfn.XLOOKUP(tbl_kpi[[#This Row],[LocationID]], tbl_location[LocationID], tbl_location[LocationName], "UNMAPPED_LOCATION")</f>
        <v>Subassembly</v>
      </c>
      <c r="D893" s="2">
        <v>243</v>
      </c>
      <c r="E893" s="2">
        <v>239</v>
      </c>
      <c r="F893" s="2">
        <f>tbl_kpi[[#This Row],[OnHandQty]]</f>
        <v>243</v>
      </c>
      <c r="G893" s="2">
        <f>tbl_kpi[[#This Row],[CountedQty]]-tbl_kpi[[#This Row],[ExpectedQty]]</f>
        <v>-4</v>
      </c>
      <c r="H893" s="2">
        <f>IF(tbl_kpi[[#This Row],[ExpectedQty]]=0, 1, MAX(0, 1 - ABS(tbl_kpi[[#This Row],[VarianceQty]]) / tbl_kpi[[#This Row],[ExpectedQty]]))</f>
        <v>0.98353909465020573</v>
      </c>
      <c r="I893" s="2" t="str">
        <f>IF(tbl_kpi[[#This Row],[AccuracyPct]] &lt; 0.98, "Y", "N")</f>
        <v>N</v>
      </c>
    </row>
    <row r="894" spans="1:9">
      <c r="A894" s="2">
        <v>922</v>
      </c>
      <c r="B894" s="2">
        <v>6</v>
      </c>
      <c r="C894" s="2" t="str">
        <f>_xlfn.XLOOKUP(tbl_kpi[[#This Row],[LocationID]], tbl_location[LocationID], tbl_location[LocationName], "UNMAPPED_LOCATION")</f>
        <v>Miscellaneous Storage</v>
      </c>
      <c r="D894" s="2">
        <v>264</v>
      </c>
      <c r="E894" s="2">
        <v>259</v>
      </c>
      <c r="F894" s="2">
        <f>tbl_kpi[[#This Row],[OnHandQty]]</f>
        <v>264</v>
      </c>
      <c r="G894" s="2">
        <f>tbl_kpi[[#This Row],[CountedQty]]-tbl_kpi[[#This Row],[ExpectedQty]]</f>
        <v>-5</v>
      </c>
      <c r="H894" s="2">
        <f>IF(tbl_kpi[[#This Row],[ExpectedQty]]=0, 1, MAX(0, 1 - ABS(tbl_kpi[[#This Row],[VarianceQty]]) / tbl_kpi[[#This Row],[ExpectedQty]]))</f>
        <v>0.98106060606060608</v>
      </c>
      <c r="I894" s="2" t="str">
        <f>IF(tbl_kpi[[#This Row],[AccuracyPct]] &lt; 0.98, "Y", "N")</f>
        <v>N</v>
      </c>
    </row>
    <row r="895" spans="1:9">
      <c r="A895" s="2">
        <v>922</v>
      </c>
      <c r="B895" s="2">
        <v>50</v>
      </c>
      <c r="C895" s="2" t="str">
        <f>_xlfn.XLOOKUP(tbl_kpi[[#This Row],[LocationID]], tbl_location[LocationID], tbl_location[LocationName], "UNMAPPED_LOCATION")</f>
        <v>Subassembly</v>
      </c>
      <c r="D895" s="2">
        <v>241</v>
      </c>
      <c r="E895" s="2">
        <v>239</v>
      </c>
      <c r="F895" s="2">
        <f>tbl_kpi[[#This Row],[OnHandQty]]</f>
        <v>241</v>
      </c>
      <c r="G895" s="2">
        <f>tbl_kpi[[#This Row],[CountedQty]]-tbl_kpi[[#This Row],[ExpectedQty]]</f>
        <v>-2</v>
      </c>
      <c r="H895" s="2">
        <f>IF(tbl_kpi[[#This Row],[ExpectedQty]]=0, 1, MAX(0, 1 - ABS(tbl_kpi[[#This Row],[VarianceQty]]) / tbl_kpi[[#This Row],[ExpectedQty]]))</f>
        <v>0.99170124481327804</v>
      </c>
      <c r="I895" s="2" t="str">
        <f>IF(tbl_kpi[[#This Row],[AccuracyPct]] &lt; 0.98, "Y", "N")</f>
        <v>N</v>
      </c>
    </row>
    <row r="896" spans="1:9">
      <c r="A896" s="2">
        <v>923</v>
      </c>
      <c r="B896" s="2">
        <v>6</v>
      </c>
      <c r="C896" s="2" t="str">
        <f>_xlfn.XLOOKUP(tbl_kpi[[#This Row],[LocationID]], tbl_location[LocationID], tbl_location[LocationName], "UNMAPPED_LOCATION")</f>
        <v>Miscellaneous Storage</v>
      </c>
      <c r="D896" s="2">
        <v>262</v>
      </c>
      <c r="E896" s="2">
        <v>263</v>
      </c>
      <c r="F896" s="2">
        <f>tbl_kpi[[#This Row],[OnHandQty]]</f>
        <v>262</v>
      </c>
      <c r="G896" s="2">
        <f>tbl_kpi[[#This Row],[CountedQty]]-tbl_kpi[[#This Row],[ExpectedQty]]</f>
        <v>1</v>
      </c>
      <c r="H896" s="2">
        <f>IF(tbl_kpi[[#This Row],[ExpectedQty]]=0, 1, MAX(0, 1 - ABS(tbl_kpi[[#This Row],[VarianceQty]]) / tbl_kpi[[#This Row],[ExpectedQty]]))</f>
        <v>0.99618320610687028</v>
      </c>
      <c r="I896" s="2" t="str">
        <f>IF(tbl_kpi[[#This Row],[AccuracyPct]] &lt; 0.98, "Y", "N")</f>
        <v>N</v>
      </c>
    </row>
    <row r="897" spans="1:9">
      <c r="A897" s="2">
        <v>923</v>
      </c>
      <c r="B897" s="2">
        <v>50</v>
      </c>
      <c r="C897" s="2" t="str">
        <f>_xlfn.XLOOKUP(tbl_kpi[[#This Row],[LocationID]], tbl_location[LocationID], tbl_location[LocationName], "UNMAPPED_LOCATION")</f>
        <v>Subassembly</v>
      </c>
      <c r="D897" s="2">
        <v>240</v>
      </c>
      <c r="E897" s="2">
        <v>245</v>
      </c>
      <c r="F897" s="2">
        <f>tbl_kpi[[#This Row],[OnHandQty]]</f>
        <v>240</v>
      </c>
      <c r="G897" s="2">
        <f>tbl_kpi[[#This Row],[CountedQty]]-tbl_kpi[[#This Row],[ExpectedQty]]</f>
        <v>5</v>
      </c>
      <c r="H897" s="2">
        <f>IF(tbl_kpi[[#This Row],[ExpectedQty]]=0, 1, MAX(0, 1 - ABS(tbl_kpi[[#This Row],[VarianceQty]]) / tbl_kpi[[#This Row],[ExpectedQty]]))</f>
        <v>0.97916666666666663</v>
      </c>
      <c r="I897" s="2" t="str">
        <f>IF(tbl_kpi[[#This Row],[AccuracyPct]] &lt; 0.98, "Y", "N")</f>
        <v>Y</v>
      </c>
    </row>
    <row r="898" spans="1:9">
      <c r="A898" s="2">
        <v>928</v>
      </c>
      <c r="B898" s="2">
        <v>6</v>
      </c>
      <c r="C898" s="2" t="str">
        <f>_xlfn.XLOOKUP(tbl_kpi[[#This Row],[LocationID]], tbl_location[LocationID], tbl_location[LocationName], "UNMAPPED_LOCATION")</f>
        <v>Miscellaneous Storage</v>
      </c>
      <c r="D898" s="2">
        <v>240</v>
      </c>
      <c r="E898" s="2">
        <v>236</v>
      </c>
      <c r="F898" s="2">
        <f>tbl_kpi[[#This Row],[OnHandQty]]</f>
        <v>240</v>
      </c>
      <c r="G898" s="2">
        <f>tbl_kpi[[#This Row],[CountedQty]]-tbl_kpi[[#This Row],[ExpectedQty]]</f>
        <v>-4</v>
      </c>
      <c r="H898" s="2">
        <f>IF(tbl_kpi[[#This Row],[ExpectedQty]]=0, 1, MAX(0, 1 - ABS(tbl_kpi[[#This Row],[VarianceQty]]) / tbl_kpi[[#This Row],[ExpectedQty]]))</f>
        <v>0.98333333333333328</v>
      </c>
      <c r="I898" s="2" t="str">
        <f>IF(tbl_kpi[[#This Row],[AccuracyPct]] &lt; 0.98, "Y", "N")</f>
        <v>N</v>
      </c>
    </row>
    <row r="899" spans="1:9">
      <c r="A899" s="2">
        <v>928</v>
      </c>
      <c r="B899" s="2">
        <v>50</v>
      </c>
      <c r="C899" s="2" t="str">
        <f>_xlfn.XLOOKUP(tbl_kpi[[#This Row],[LocationID]], tbl_location[LocationID], tbl_location[LocationName], "UNMAPPED_LOCATION")</f>
        <v>Subassembly</v>
      </c>
      <c r="D899" s="2">
        <v>369</v>
      </c>
      <c r="E899" s="2">
        <v>371</v>
      </c>
      <c r="F899" s="2">
        <f>tbl_kpi[[#This Row],[OnHandQty]]</f>
        <v>369</v>
      </c>
      <c r="G899" s="2">
        <f>tbl_kpi[[#This Row],[CountedQty]]-tbl_kpi[[#This Row],[ExpectedQty]]</f>
        <v>2</v>
      </c>
      <c r="H899" s="2">
        <f>IF(tbl_kpi[[#This Row],[ExpectedQty]]=0, 1, MAX(0, 1 - ABS(tbl_kpi[[#This Row],[VarianceQty]]) / tbl_kpi[[#This Row],[ExpectedQty]]))</f>
        <v>0.99457994579945797</v>
      </c>
      <c r="I899" s="2" t="str">
        <f>IF(tbl_kpi[[#This Row],[AccuracyPct]] &lt; 0.98, "Y", "N")</f>
        <v>N</v>
      </c>
    </row>
    <row r="900" spans="1:9">
      <c r="A900" s="2">
        <v>929</v>
      </c>
      <c r="B900" s="2">
        <v>6</v>
      </c>
      <c r="C900" s="2" t="str">
        <f>_xlfn.XLOOKUP(tbl_kpi[[#This Row],[LocationID]], tbl_location[LocationID], tbl_location[LocationName], "UNMAPPED_LOCATION")</f>
        <v>Miscellaneous Storage</v>
      </c>
      <c r="D900" s="2">
        <v>385</v>
      </c>
      <c r="E900" s="2">
        <v>375</v>
      </c>
      <c r="F900" s="2">
        <f>tbl_kpi[[#This Row],[OnHandQty]]</f>
        <v>385</v>
      </c>
      <c r="G900" s="2">
        <f>tbl_kpi[[#This Row],[CountedQty]]-tbl_kpi[[#This Row],[ExpectedQty]]</f>
        <v>-10</v>
      </c>
      <c r="H900" s="2">
        <f>IF(tbl_kpi[[#This Row],[ExpectedQty]]=0, 1, MAX(0, 1 - ABS(tbl_kpi[[#This Row],[VarianceQty]]) / tbl_kpi[[#This Row],[ExpectedQty]]))</f>
        <v>0.97402597402597402</v>
      </c>
      <c r="I900" s="2" t="str">
        <f>IF(tbl_kpi[[#This Row],[AccuracyPct]] &lt; 0.98, "Y", "N")</f>
        <v>Y</v>
      </c>
    </row>
    <row r="901" spans="1:9">
      <c r="A901" s="2">
        <v>929</v>
      </c>
      <c r="B901" s="2">
        <v>50</v>
      </c>
      <c r="C901" s="2" t="str">
        <f>_xlfn.XLOOKUP(tbl_kpi[[#This Row],[LocationID]], tbl_location[LocationID], tbl_location[LocationName], "UNMAPPED_LOCATION")</f>
        <v>Subassembly</v>
      </c>
      <c r="D901" s="2">
        <v>284</v>
      </c>
      <c r="E901" s="2">
        <v>292</v>
      </c>
      <c r="F901" s="2">
        <f>tbl_kpi[[#This Row],[OnHandQty]]</f>
        <v>284</v>
      </c>
      <c r="G901" s="2">
        <f>tbl_kpi[[#This Row],[CountedQty]]-tbl_kpi[[#This Row],[ExpectedQty]]</f>
        <v>8</v>
      </c>
      <c r="H901" s="2">
        <f>IF(tbl_kpi[[#This Row],[ExpectedQty]]=0, 1, MAX(0, 1 - ABS(tbl_kpi[[#This Row],[VarianceQty]]) / tbl_kpi[[#This Row],[ExpectedQty]]))</f>
        <v>0.971830985915493</v>
      </c>
      <c r="I901" s="2" t="str">
        <f>IF(tbl_kpi[[#This Row],[AccuracyPct]] &lt; 0.98, "Y", "N")</f>
        <v>Y</v>
      </c>
    </row>
    <row r="902" spans="1:9">
      <c r="A902" s="2">
        <v>930</v>
      </c>
      <c r="B902" s="2">
        <v>6</v>
      </c>
      <c r="C902" s="2" t="str">
        <f>_xlfn.XLOOKUP(tbl_kpi[[#This Row],[LocationID]], tbl_location[LocationID], tbl_location[LocationName], "UNMAPPED_LOCATION")</f>
        <v>Miscellaneous Storage</v>
      </c>
      <c r="D902" s="2">
        <v>267</v>
      </c>
      <c r="E902" s="2">
        <v>271</v>
      </c>
      <c r="F902" s="2">
        <f>tbl_kpi[[#This Row],[OnHandQty]]</f>
        <v>267</v>
      </c>
      <c r="G902" s="2">
        <f>tbl_kpi[[#This Row],[CountedQty]]-tbl_kpi[[#This Row],[ExpectedQty]]</f>
        <v>4</v>
      </c>
      <c r="H902" s="2">
        <f>IF(tbl_kpi[[#This Row],[ExpectedQty]]=0, 1, MAX(0, 1 - ABS(tbl_kpi[[#This Row],[VarianceQty]]) / tbl_kpi[[#This Row],[ExpectedQty]]))</f>
        <v>0.98501872659176026</v>
      </c>
      <c r="I902" s="2" t="str">
        <f>IF(tbl_kpi[[#This Row],[AccuracyPct]] &lt; 0.98, "Y", "N")</f>
        <v>N</v>
      </c>
    </row>
    <row r="903" spans="1:9">
      <c r="A903" s="2">
        <v>930</v>
      </c>
      <c r="B903" s="2">
        <v>50</v>
      </c>
      <c r="C903" s="2" t="str">
        <f>_xlfn.XLOOKUP(tbl_kpi[[#This Row],[LocationID]], tbl_location[LocationID], tbl_location[LocationName], "UNMAPPED_LOCATION")</f>
        <v>Subassembly</v>
      </c>
      <c r="D903" s="2">
        <v>232</v>
      </c>
      <c r="E903" s="2">
        <v>231</v>
      </c>
      <c r="F903" s="2">
        <f>tbl_kpi[[#This Row],[OnHandQty]]</f>
        <v>232</v>
      </c>
      <c r="G903" s="2">
        <f>tbl_kpi[[#This Row],[CountedQty]]-tbl_kpi[[#This Row],[ExpectedQty]]</f>
        <v>-1</v>
      </c>
      <c r="H903" s="2">
        <f>IF(tbl_kpi[[#This Row],[ExpectedQty]]=0, 1, MAX(0, 1 - ABS(tbl_kpi[[#This Row],[VarianceQty]]) / tbl_kpi[[#This Row],[ExpectedQty]]))</f>
        <v>0.99568965517241381</v>
      </c>
      <c r="I903" s="2" t="str">
        <f>IF(tbl_kpi[[#This Row],[AccuracyPct]] &lt; 0.98, "Y", "N")</f>
        <v>N</v>
      </c>
    </row>
    <row r="904" spans="1:9">
      <c r="A904" s="2">
        <v>931</v>
      </c>
      <c r="B904" s="2">
        <v>6</v>
      </c>
      <c r="C904" s="2" t="str">
        <f>_xlfn.XLOOKUP(tbl_kpi[[#This Row],[LocationID]], tbl_location[LocationID], tbl_location[LocationName], "UNMAPPED_LOCATION")</f>
        <v>Miscellaneous Storage</v>
      </c>
      <c r="D904" s="2">
        <v>236</v>
      </c>
      <c r="E904" s="2">
        <v>232</v>
      </c>
      <c r="F904" s="2">
        <f>tbl_kpi[[#This Row],[OnHandQty]]</f>
        <v>236</v>
      </c>
      <c r="G904" s="2">
        <f>tbl_kpi[[#This Row],[CountedQty]]-tbl_kpi[[#This Row],[ExpectedQty]]</f>
        <v>-4</v>
      </c>
      <c r="H904" s="2">
        <f>IF(tbl_kpi[[#This Row],[ExpectedQty]]=0, 1, MAX(0, 1 - ABS(tbl_kpi[[#This Row],[VarianceQty]]) / tbl_kpi[[#This Row],[ExpectedQty]]))</f>
        <v>0.98305084745762716</v>
      </c>
      <c r="I904" s="2" t="str">
        <f>IF(tbl_kpi[[#This Row],[AccuracyPct]] &lt; 0.98, "Y", "N")</f>
        <v>N</v>
      </c>
    </row>
    <row r="905" spans="1:9">
      <c r="A905" s="2">
        <v>931</v>
      </c>
      <c r="B905" s="2">
        <v>50</v>
      </c>
      <c r="C905" s="2" t="str">
        <f>_xlfn.XLOOKUP(tbl_kpi[[#This Row],[LocationID]], tbl_location[LocationID], tbl_location[LocationName], "UNMAPPED_LOCATION")</f>
        <v>Subassembly</v>
      </c>
      <c r="D905" s="2">
        <v>252</v>
      </c>
      <c r="E905" s="2">
        <v>247</v>
      </c>
      <c r="F905" s="2">
        <f>tbl_kpi[[#This Row],[OnHandQty]]</f>
        <v>252</v>
      </c>
      <c r="G905" s="2">
        <f>tbl_kpi[[#This Row],[CountedQty]]-tbl_kpi[[#This Row],[ExpectedQty]]</f>
        <v>-5</v>
      </c>
      <c r="H905" s="2">
        <f>IF(tbl_kpi[[#This Row],[ExpectedQty]]=0, 1, MAX(0, 1 - ABS(tbl_kpi[[#This Row],[VarianceQty]]) / tbl_kpi[[#This Row],[ExpectedQty]]))</f>
        <v>0.98015873015873012</v>
      </c>
      <c r="I905" s="2" t="str">
        <f>IF(tbl_kpi[[#This Row],[AccuracyPct]] &lt; 0.98, "Y", "N")</f>
        <v>N</v>
      </c>
    </row>
    <row r="906" spans="1:9">
      <c r="A906" s="2">
        <v>932</v>
      </c>
      <c r="B906" s="2">
        <v>6</v>
      </c>
      <c r="C906" s="2" t="str">
        <f>_xlfn.XLOOKUP(tbl_kpi[[#This Row],[LocationID]], tbl_location[LocationID], tbl_location[LocationName], "UNMAPPED_LOCATION")</f>
        <v>Miscellaneous Storage</v>
      </c>
      <c r="D906" s="2">
        <v>382</v>
      </c>
      <c r="E906" s="2">
        <v>379</v>
      </c>
      <c r="F906" s="2">
        <f>tbl_kpi[[#This Row],[OnHandQty]]</f>
        <v>382</v>
      </c>
      <c r="G906" s="2">
        <f>tbl_kpi[[#This Row],[CountedQty]]-tbl_kpi[[#This Row],[ExpectedQty]]</f>
        <v>-3</v>
      </c>
      <c r="H906" s="2">
        <f>IF(tbl_kpi[[#This Row],[ExpectedQty]]=0, 1, MAX(0, 1 - ABS(tbl_kpi[[#This Row],[VarianceQty]]) / tbl_kpi[[#This Row],[ExpectedQty]]))</f>
        <v>0.99214659685863871</v>
      </c>
      <c r="I906" s="2" t="str">
        <f>IF(tbl_kpi[[#This Row],[AccuracyPct]] &lt; 0.98, "Y", "N")</f>
        <v>N</v>
      </c>
    </row>
    <row r="907" spans="1:9">
      <c r="A907" s="2">
        <v>932</v>
      </c>
      <c r="B907" s="2">
        <v>50</v>
      </c>
      <c r="C907" s="2" t="str">
        <f>_xlfn.XLOOKUP(tbl_kpi[[#This Row],[LocationID]], tbl_location[LocationID], tbl_location[LocationName], "UNMAPPED_LOCATION")</f>
        <v>Subassembly</v>
      </c>
      <c r="D907" s="2">
        <v>192</v>
      </c>
      <c r="E907" s="2">
        <v>195</v>
      </c>
      <c r="F907" s="2">
        <f>tbl_kpi[[#This Row],[OnHandQty]]</f>
        <v>192</v>
      </c>
      <c r="G907" s="2">
        <f>tbl_kpi[[#This Row],[CountedQty]]-tbl_kpi[[#This Row],[ExpectedQty]]</f>
        <v>3</v>
      </c>
      <c r="H907" s="2">
        <f>IF(tbl_kpi[[#This Row],[ExpectedQty]]=0, 1, MAX(0, 1 - ABS(tbl_kpi[[#This Row],[VarianceQty]]) / tbl_kpi[[#This Row],[ExpectedQty]]))</f>
        <v>0.984375</v>
      </c>
      <c r="I907" s="2" t="str">
        <f>IF(tbl_kpi[[#This Row],[AccuracyPct]] &lt; 0.98, "Y", "N")</f>
        <v>N</v>
      </c>
    </row>
    <row r="908" spans="1:9">
      <c r="A908" s="2">
        <v>933</v>
      </c>
      <c r="B908" s="2">
        <v>6</v>
      </c>
      <c r="C908" s="2" t="str">
        <f>_xlfn.XLOOKUP(tbl_kpi[[#This Row],[LocationID]], tbl_location[LocationID], tbl_location[LocationName], "UNMAPPED_LOCATION")</f>
        <v>Miscellaneous Storage</v>
      </c>
      <c r="D908" s="2">
        <v>299</v>
      </c>
      <c r="E908" s="2">
        <v>306</v>
      </c>
      <c r="F908" s="2">
        <f>tbl_kpi[[#This Row],[OnHandQty]]</f>
        <v>299</v>
      </c>
      <c r="G908" s="2">
        <f>tbl_kpi[[#This Row],[CountedQty]]-tbl_kpi[[#This Row],[ExpectedQty]]</f>
        <v>7</v>
      </c>
      <c r="H908" s="2">
        <f>IF(tbl_kpi[[#This Row],[ExpectedQty]]=0, 1, MAX(0, 1 - ABS(tbl_kpi[[#This Row],[VarianceQty]]) / tbl_kpi[[#This Row],[ExpectedQty]]))</f>
        <v>0.97658862876254182</v>
      </c>
      <c r="I908" s="2" t="str">
        <f>IF(tbl_kpi[[#This Row],[AccuracyPct]] &lt; 0.98, "Y", "N")</f>
        <v>Y</v>
      </c>
    </row>
    <row r="909" spans="1:9">
      <c r="A909" s="2">
        <v>933</v>
      </c>
      <c r="B909" s="2">
        <v>50</v>
      </c>
      <c r="C909" s="2" t="str">
        <f>_xlfn.XLOOKUP(tbl_kpi[[#This Row],[LocationID]], tbl_location[LocationID], tbl_location[LocationName], "UNMAPPED_LOCATION")</f>
        <v>Subassembly</v>
      </c>
      <c r="D909" s="2">
        <v>228</v>
      </c>
      <c r="E909" s="2">
        <v>234</v>
      </c>
      <c r="F909" s="2">
        <f>tbl_kpi[[#This Row],[OnHandQty]]</f>
        <v>228</v>
      </c>
      <c r="G909" s="2">
        <f>tbl_kpi[[#This Row],[CountedQty]]-tbl_kpi[[#This Row],[ExpectedQty]]</f>
        <v>6</v>
      </c>
      <c r="H909" s="2">
        <f>IF(tbl_kpi[[#This Row],[ExpectedQty]]=0, 1, MAX(0, 1 - ABS(tbl_kpi[[#This Row],[VarianceQty]]) / tbl_kpi[[#This Row],[ExpectedQty]]))</f>
        <v>0.97368421052631582</v>
      </c>
      <c r="I909" s="2" t="str">
        <f>IF(tbl_kpi[[#This Row],[AccuracyPct]] &lt; 0.98, "Y", "N")</f>
        <v>Y</v>
      </c>
    </row>
    <row r="910" spans="1:9">
      <c r="A910" s="2">
        <v>934</v>
      </c>
      <c r="B910" s="2">
        <v>6</v>
      </c>
      <c r="C910" s="2" t="str">
        <f>_xlfn.XLOOKUP(tbl_kpi[[#This Row],[LocationID]], tbl_location[LocationID], tbl_location[LocationName], "UNMAPPED_LOCATION")</f>
        <v>Miscellaneous Storage</v>
      </c>
      <c r="D910" s="2">
        <v>233</v>
      </c>
      <c r="E910" s="2">
        <v>235</v>
      </c>
      <c r="F910" s="2">
        <f>tbl_kpi[[#This Row],[OnHandQty]]</f>
        <v>233</v>
      </c>
      <c r="G910" s="2">
        <f>tbl_kpi[[#This Row],[CountedQty]]-tbl_kpi[[#This Row],[ExpectedQty]]</f>
        <v>2</v>
      </c>
      <c r="H910" s="2">
        <f>IF(tbl_kpi[[#This Row],[ExpectedQty]]=0, 1, MAX(0, 1 - ABS(tbl_kpi[[#This Row],[VarianceQty]]) / tbl_kpi[[#This Row],[ExpectedQty]]))</f>
        <v>0.99141630901287559</v>
      </c>
      <c r="I910" s="2" t="str">
        <f>IF(tbl_kpi[[#This Row],[AccuracyPct]] &lt; 0.98, "Y", "N")</f>
        <v>N</v>
      </c>
    </row>
    <row r="911" spans="1:9">
      <c r="A911" s="2">
        <v>934</v>
      </c>
      <c r="B911" s="2">
        <v>50</v>
      </c>
      <c r="C911" s="2" t="str">
        <f>_xlfn.XLOOKUP(tbl_kpi[[#This Row],[LocationID]], tbl_location[LocationID], tbl_location[LocationName], "UNMAPPED_LOCATION")</f>
        <v>Subassembly</v>
      </c>
      <c r="D911" s="2">
        <v>249</v>
      </c>
      <c r="E911" s="2">
        <v>249</v>
      </c>
      <c r="F911" s="2">
        <f>tbl_kpi[[#This Row],[OnHandQty]]</f>
        <v>249</v>
      </c>
      <c r="G911" s="2">
        <f>tbl_kpi[[#This Row],[CountedQty]]-tbl_kpi[[#This Row],[ExpectedQty]]</f>
        <v>0</v>
      </c>
      <c r="H911" s="2">
        <f>IF(tbl_kpi[[#This Row],[ExpectedQty]]=0, 1, MAX(0, 1 - ABS(tbl_kpi[[#This Row],[VarianceQty]]) / tbl_kpi[[#This Row],[ExpectedQty]]))</f>
        <v>1</v>
      </c>
      <c r="I911" s="2" t="str">
        <f>IF(tbl_kpi[[#This Row],[AccuracyPct]] &lt; 0.98, "Y", "N")</f>
        <v>N</v>
      </c>
    </row>
    <row r="912" spans="1:9">
      <c r="A912" s="2">
        <v>935</v>
      </c>
      <c r="B912" s="2">
        <v>1</v>
      </c>
      <c r="C912" s="2" t="str">
        <f>_xlfn.XLOOKUP(tbl_kpi[[#This Row],[LocationID]], tbl_location[LocationID], tbl_location[LocationName], "UNMAPPED_LOCATION")</f>
        <v>Tool Crib</v>
      </c>
      <c r="D912" s="2">
        <v>174</v>
      </c>
      <c r="E912" s="2">
        <v>174</v>
      </c>
      <c r="F912" s="2">
        <f>tbl_kpi[[#This Row],[OnHandQty]]</f>
        <v>174</v>
      </c>
      <c r="G912" s="2">
        <f>tbl_kpi[[#This Row],[CountedQty]]-tbl_kpi[[#This Row],[ExpectedQty]]</f>
        <v>0</v>
      </c>
      <c r="H912" s="2">
        <f>IF(tbl_kpi[[#This Row],[ExpectedQty]]=0, 1, MAX(0, 1 - ABS(tbl_kpi[[#This Row],[VarianceQty]]) / tbl_kpi[[#This Row],[ExpectedQty]]))</f>
        <v>1</v>
      </c>
      <c r="I912" s="2" t="str">
        <f>IF(tbl_kpi[[#This Row],[AccuracyPct]] &lt; 0.98, "Y", "N")</f>
        <v>N</v>
      </c>
    </row>
    <row r="913" spans="1:9">
      <c r="A913" s="2">
        <v>935</v>
      </c>
      <c r="B913" s="2">
        <v>6</v>
      </c>
      <c r="C913" s="2" t="str">
        <f>_xlfn.XLOOKUP(tbl_kpi[[#This Row],[LocationID]], tbl_location[LocationID], tbl_location[LocationName], "UNMAPPED_LOCATION")</f>
        <v>Miscellaneous Storage</v>
      </c>
      <c r="D913" s="2">
        <v>182</v>
      </c>
      <c r="E913" s="2">
        <v>181</v>
      </c>
      <c r="F913" s="2">
        <f>tbl_kpi[[#This Row],[OnHandQty]]</f>
        <v>182</v>
      </c>
      <c r="G913" s="2">
        <f>tbl_kpi[[#This Row],[CountedQty]]-tbl_kpi[[#This Row],[ExpectedQty]]</f>
        <v>-1</v>
      </c>
      <c r="H913" s="2">
        <f>IF(tbl_kpi[[#This Row],[ExpectedQty]]=0, 1, MAX(0, 1 - ABS(tbl_kpi[[#This Row],[VarianceQty]]) / tbl_kpi[[#This Row],[ExpectedQty]]))</f>
        <v>0.99450549450549453</v>
      </c>
      <c r="I913" s="2" t="str">
        <f>IF(tbl_kpi[[#This Row],[AccuracyPct]] &lt; 0.98, "Y", "N")</f>
        <v>N</v>
      </c>
    </row>
    <row r="914" spans="1:9">
      <c r="A914" s="2">
        <v>935</v>
      </c>
      <c r="B914" s="2">
        <v>50</v>
      </c>
      <c r="C914" s="2" t="str">
        <f>_xlfn.XLOOKUP(tbl_kpi[[#This Row],[LocationID]], tbl_location[LocationID], tbl_location[LocationName], "UNMAPPED_LOCATION")</f>
        <v>Subassembly</v>
      </c>
      <c r="D914" s="2">
        <v>156</v>
      </c>
      <c r="E914" s="2">
        <v>154</v>
      </c>
      <c r="F914" s="2">
        <f>tbl_kpi[[#This Row],[OnHandQty]]</f>
        <v>156</v>
      </c>
      <c r="G914" s="2">
        <f>tbl_kpi[[#This Row],[CountedQty]]-tbl_kpi[[#This Row],[ExpectedQty]]</f>
        <v>-2</v>
      </c>
      <c r="H914" s="2">
        <f>IF(tbl_kpi[[#This Row],[ExpectedQty]]=0, 1, MAX(0, 1 - ABS(tbl_kpi[[#This Row],[VarianceQty]]) / tbl_kpi[[#This Row],[ExpectedQty]]))</f>
        <v>0.98717948717948723</v>
      </c>
      <c r="I914" s="2" t="str">
        <f>IF(tbl_kpi[[#This Row],[AccuracyPct]] &lt; 0.98, "Y", "N")</f>
        <v>N</v>
      </c>
    </row>
    <row r="915" spans="1:9">
      <c r="A915" s="2">
        <v>936</v>
      </c>
      <c r="B915" s="2">
        <v>1</v>
      </c>
      <c r="C915" s="2" t="str">
        <f>_xlfn.XLOOKUP(tbl_kpi[[#This Row],[LocationID]], tbl_location[LocationID], tbl_location[LocationName], "UNMAPPED_LOCATION")</f>
        <v>Tool Crib</v>
      </c>
      <c r="D915" s="2">
        <v>172</v>
      </c>
      <c r="E915" s="2">
        <v>174</v>
      </c>
      <c r="F915" s="2">
        <f>tbl_kpi[[#This Row],[OnHandQty]]</f>
        <v>172</v>
      </c>
      <c r="G915" s="2">
        <f>tbl_kpi[[#This Row],[CountedQty]]-tbl_kpi[[#This Row],[ExpectedQty]]</f>
        <v>2</v>
      </c>
      <c r="H915" s="2">
        <f>IF(tbl_kpi[[#This Row],[ExpectedQty]]=0, 1, MAX(0, 1 - ABS(tbl_kpi[[#This Row],[VarianceQty]]) / tbl_kpi[[#This Row],[ExpectedQty]]))</f>
        <v>0.98837209302325579</v>
      </c>
      <c r="I915" s="2" t="str">
        <f>IF(tbl_kpi[[#This Row],[AccuracyPct]] &lt; 0.98, "Y", "N")</f>
        <v>N</v>
      </c>
    </row>
    <row r="916" spans="1:9">
      <c r="A916" s="2">
        <v>936</v>
      </c>
      <c r="B916" s="2">
        <v>6</v>
      </c>
      <c r="C916" s="2" t="str">
        <f>_xlfn.XLOOKUP(tbl_kpi[[#This Row],[LocationID]], tbl_location[LocationID], tbl_location[LocationName], "UNMAPPED_LOCATION")</f>
        <v>Miscellaneous Storage</v>
      </c>
      <c r="D916" s="2">
        <v>180</v>
      </c>
      <c r="E916" s="2">
        <v>184</v>
      </c>
      <c r="F916" s="2">
        <f>tbl_kpi[[#This Row],[OnHandQty]]</f>
        <v>180</v>
      </c>
      <c r="G916" s="2">
        <f>tbl_kpi[[#This Row],[CountedQty]]-tbl_kpi[[#This Row],[ExpectedQty]]</f>
        <v>4</v>
      </c>
      <c r="H916" s="2">
        <f>IF(tbl_kpi[[#This Row],[ExpectedQty]]=0, 1, MAX(0, 1 - ABS(tbl_kpi[[#This Row],[VarianceQty]]) / tbl_kpi[[#This Row],[ExpectedQty]]))</f>
        <v>0.97777777777777775</v>
      </c>
      <c r="I916" s="2" t="str">
        <f>IF(tbl_kpi[[#This Row],[AccuracyPct]] &lt; 0.98, "Y", "N")</f>
        <v>Y</v>
      </c>
    </row>
    <row r="917" spans="1:9">
      <c r="A917" s="2">
        <v>936</v>
      </c>
      <c r="B917" s="2">
        <v>50</v>
      </c>
      <c r="C917" s="2" t="str">
        <f>_xlfn.XLOOKUP(tbl_kpi[[#This Row],[LocationID]], tbl_location[LocationID], tbl_location[LocationName], "UNMAPPED_LOCATION")</f>
        <v>Subassembly</v>
      </c>
      <c r="D917" s="2">
        <v>155</v>
      </c>
      <c r="E917" s="2">
        <v>154</v>
      </c>
      <c r="F917" s="2">
        <f>tbl_kpi[[#This Row],[OnHandQty]]</f>
        <v>155</v>
      </c>
      <c r="G917" s="2">
        <f>tbl_kpi[[#This Row],[CountedQty]]-tbl_kpi[[#This Row],[ExpectedQty]]</f>
        <v>-1</v>
      </c>
      <c r="H917" s="2">
        <f>IF(tbl_kpi[[#This Row],[ExpectedQty]]=0, 1, MAX(0, 1 - ABS(tbl_kpi[[#This Row],[VarianceQty]]) / tbl_kpi[[#This Row],[ExpectedQty]]))</f>
        <v>0.99354838709677418</v>
      </c>
      <c r="I917" s="2" t="str">
        <f>IF(tbl_kpi[[#This Row],[AccuracyPct]] &lt; 0.98, "Y", "N")</f>
        <v>N</v>
      </c>
    </row>
    <row r="918" spans="1:9">
      <c r="A918" s="2">
        <v>937</v>
      </c>
      <c r="B918" s="2">
        <v>1</v>
      </c>
      <c r="C918" s="2" t="str">
        <f>_xlfn.XLOOKUP(tbl_kpi[[#This Row],[LocationID]], tbl_location[LocationID], tbl_location[LocationName], "UNMAPPED_LOCATION")</f>
        <v>Tool Crib</v>
      </c>
      <c r="D918" s="2">
        <v>171</v>
      </c>
      <c r="E918" s="2">
        <v>171</v>
      </c>
      <c r="F918" s="2">
        <f>tbl_kpi[[#This Row],[OnHandQty]]</f>
        <v>171</v>
      </c>
      <c r="G918" s="2">
        <f>tbl_kpi[[#This Row],[CountedQty]]-tbl_kpi[[#This Row],[ExpectedQty]]</f>
        <v>0</v>
      </c>
      <c r="H918" s="2">
        <f>IF(tbl_kpi[[#This Row],[ExpectedQty]]=0, 1, MAX(0, 1 - ABS(tbl_kpi[[#This Row],[VarianceQty]]) / tbl_kpi[[#This Row],[ExpectedQty]]))</f>
        <v>1</v>
      </c>
      <c r="I918" s="2" t="str">
        <f>IF(tbl_kpi[[#This Row],[AccuracyPct]] &lt; 0.98, "Y", "N")</f>
        <v>N</v>
      </c>
    </row>
    <row r="919" spans="1:9">
      <c r="A919" s="2">
        <v>937</v>
      </c>
      <c r="B919" s="2">
        <v>6</v>
      </c>
      <c r="C919" s="2" t="str">
        <f>_xlfn.XLOOKUP(tbl_kpi[[#This Row],[LocationID]], tbl_location[LocationID], tbl_location[LocationName], "UNMAPPED_LOCATION")</f>
        <v>Miscellaneous Storage</v>
      </c>
      <c r="D919" s="2">
        <v>179</v>
      </c>
      <c r="E919" s="2">
        <v>182</v>
      </c>
      <c r="F919" s="2">
        <f>tbl_kpi[[#This Row],[OnHandQty]]</f>
        <v>179</v>
      </c>
      <c r="G919" s="2">
        <f>tbl_kpi[[#This Row],[CountedQty]]-tbl_kpi[[#This Row],[ExpectedQty]]</f>
        <v>3</v>
      </c>
      <c r="H919" s="2">
        <f>IF(tbl_kpi[[#This Row],[ExpectedQty]]=0, 1, MAX(0, 1 - ABS(tbl_kpi[[#This Row],[VarianceQty]]) / tbl_kpi[[#This Row],[ExpectedQty]]))</f>
        <v>0.98324022346368711</v>
      </c>
      <c r="I919" s="2" t="str">
        <f>IF(tbl_kpi[[#This Row],[AccuracyPct]] &lt; 0.98, "Y", "N")</f>
        <v>N</v>
      </c>
    </row>
    <row r="920" spans="1:9">
      <c r="A920" s="2">
        <v>937</v>
      </c>
      <c r="B920" s="2">
        <v>50</v>
      </c>
      <c r="C920" s="2" t="str">
        <f>_xlfn.XLOOKUP(tbl_kpi[[#This Row],[LocationID]], tbl_location[LocationID], tbl_location[LocationName], "UNMAPPED_LOCATION")</f>
        <v>Subassembly</v>
      </c>
      <c r="D920" s="2">
        <v>153</v>
      </c>
      <c r="E920" s="2">
        <v>155</v>
      </c>
      <c r="F920" s="2">
        <f>tbl_kpi[[#This Row],[OnHandQty]]</f>
        <v>153</v>
      </c>
      <c r="G920" s="2">
        <f>tbl_kpi[[#This Row],[CountedQty]]-tbl_kpi[[#This Row],[ExpectedQty]]</f>
        <v>2</v>
      </c>
      <c r="H920" s="2">
        <f>IF(tbl_kpi[[#This Row],[ExpectedQty]]=0, 1, MAX(0, 1 - ABS(tbl_kpi[[#This Row],[VarianceQty]]) / tbl_kpi[[#This Row],[ExpectedQty]]))</f>
        <v>0.98692810457516345</v>
      </c>
      <c r="I920" s="2" t="str">
        <f>IF(tbl_kpi[[#This Row],[AccuracyPct]] &lt; 0.98, "Y", "N")</f>
        <v>N</v>
      </c>
    </row>
    <row r="921" spans="1:9">
      <c r="A921" s="2">
        <v>938</v>
      </c>
      <c r="B921" s="2">
        <v>1</v>
      </c>
      <c r="C921" s="2" t="str">
        <f>_xlfn.XLOOKUP(tbl_kpi[[#This Row],[LocationID]], tbl_location[LocationID], tbl_location[LocationName], "UNMAPPED_LOCATION")</f>
        <v>Tool Crib</v>
      </c>
      <c r="D921" s="2">
        <v>169</v>
      </c>
      <c r="E921" s="2">
        <v>173</v>
      </c>
      <c r="F921" s="2">
        <f>tbl_kpi[[#This Row],[OnHandQty]]</f>
        <v>169</v>
      </c>
      <c r="G921" s="2">
        <f>tbl_kpi[[#This Row],[CountedQty]]-tbl_kpi[[#This Row],[ExpectedQty]]</f>
        <v>4</v>
      </c>
      <c r="H921" s="2">
        <f>IF(tbl_kpi[[#This Row],[ExpectedQty]]=0, 1, MAX(0, 1 - ABS(tbl_kpi[[#This Row],[VarianceQty]]) / tbl_kpi[[#This Row],[ExpectedQty]]))</f>
        <v>0.97633136094674555</v>
      </c>
      <c r="I921" s="2" t="str">
        <f>IF(tbl_kpi[[#This Row],[AccuracyPct]] &lt; 0.98, "Y", "N")</f>
        <v>Y</v>
      </c>
    </row>
    <row r="922" spans="1:9">
      <c r="A922" s="2">
        <v>938</v>
      </c>
      <c r="B922" s="2">
        <v>6</v>
      </c>
      <c r="C922" s="2" t="str">
        <f>_xlfn.XLOOKUP(tbl_kpi[[#This Row],[LocationID]], tbl_location[LocationID], tbl_location[LocationName], "UNMAPPED_LOCATION")</f>
        <v>Miscellaneous Storage</v>
      </c>
      <c r="D922" s="2">
        <v>177</v>
      </c>
      <c r="E922" s="2">
        <v>174</v>
      </c>
      <c r="F922" s="2">
        <f>tbl_kpi[[#This Row],[OnHandQty]]</f>
        <v>177</v>
      </c>
      <c r="G922" s="2">
        <f>tbl_kpi[[#This Row],[CountedQty]]-tbl_kpi[[#This Row],[ExpectedQty]]</f>
        <v>-3</v>
      </c>
      <c r="H922" s="2">
        <f>IF(tbl_kpi[[#This Row],[ExpectedQty]]=0, 1, MAX(0, 1 - ABS(tbl_kpi[[#This Row],[VarianceQty]]) / tbl_kpi[[#This Row],[ExpectedQty]]))</f>
        <v>0.98305084745762716</v>
      </c>
      <c r="I922" s="2" t="str">
        <f>IF(tbl_kpi[[#This Row],[AccuracyPct]] &lt; 0.98, "Y", "N")</f>
        <v>N</v>
      </c>
    </row>
    <row r="923" spans="1:9">
      <c r="A923" s="2">
        <v>938</v>
      </c>
      <c r="B923" s="2">
        <v>50</v>
      </c>
      <c r="C923" s="2" t="str">
        <f>_xlfn.XLOOKUP(tbl_kpi[[#This Row],[LocationID]], tbl_location[LocationID], tbl_location[LocationName], "UNMAPPED_LOCATION")</f>
        <v>Subassembly</v>
      </c>
      <c r="D923" s="2">
        <v>152</v>
      </c>
      <c r="E923" s="2">
        <v>154</v>
      </c>
      <c r="F923" s="2">
        <f>tbl_kpi[[#This Row],[OnHandQty]]</f>
        <v>152</v>
      </c>
      <c r="G923" s="2">
        <f>tbl_kpi[[#This Row],[CountedQty]]-tbl_kpi[[#This Row],[ExpectedQty]]</f>
        <v>2</v>
      </c>
      <c r="H923" s="2">
        <f>IF(tbl_kpi[[#This Row],[ExpectedQty]]=0, 1, MAX(0, 1 - ABS(tbl_kpi[[#This Row],[VarianceQty]]) / tbl_kpi[[#This Row],[ExpectedQty]]))</f>
        <v>0.98684210526315785</v>
      </c>
      <c r="I923" s="2" t="str">
        <f>IF(tbl_kpi[[#This Row],[AccuracyPct]] &lt; 0.98, "Y", "N")</f>
        <v>N</v>
      </c>
    </row>
    <row r="924" spans="1:9">
      <c r="A924" s="2">
        <v>939</v>
      </c>
      <c r="B924" s="2">
        <v>1</v>
      </c>
      <c r="C924" s="2" t="str">
        <f>_xlfn.XLOOKUP(tbl_kpi[[#This Row],[LocationID]], tbl_location[LocationID], tbl_location[LocationName], "UNMAPPED_LOCATION")</f>
        <v>Tool Crib</v>
      </c>
      <c r="D924" s="2">
        <v>168</v>
      </c>
      <c r="E924" s="2">
        <v>172</v>
      </c>
      <c r="F924" s="2">
        <f>tbl_kpi[[#This Row],[OnHandQty]]</f>
        <v>168</v>
      </c>
      <c r="G924" s="2">
        <f>tbl_kpi[[#This Row],[CountedQty]]-tbl_kpi[[#This Row],[ExpectedQty]]</f>
        <v>4</v>
      </c>
      <c r="H924" s="2">
        <f>IF(tbl_kpi[[#This Row],[ExpectedQty]]=0, 1, MAX(0, 1 - ABS(tbl_kpi[[#This Row],[VarianceQty]]) / tbl_kpi[[#This Row],[ExpectedQty]]))</f>
        <v>0.97619047619047616</v>
      </c>
      <c r="I924" s="2" t="str">
        <f>IF(tbl_kpi[[#This Row],[AccuracyPct]] &lt; 0.98, "Y", "N")</f>
        <v>Y</v>
      </c>
    </row>
    <row r="925" spans="1:9">
      <c r="A925" s="2">
        <v>939</v>
      </c>
      <c r="B925" s="2">
        <v>6</v>
      </c>
      <c r="C925" s="2" t="str">
        <f>_xlfn.XLOOKUP(tbl_kpi[[#This Row],[LocationID]], tbl_location[LocationID], tbl_location[LocationName], "UNMAPPED_LOCATION")</f>
        <v>Miscellaneous Storage</v>
      </c>
      <c r="D925" s="2">
        <v>176</v>
      </c>
      <c r="E925" s="2">
        <v>179</v>
      </c>
      <c r="F925" s="2">
        <f>tbl_kpi[[#This Row],[OnHandQty]]</f>
        <v>176</v>
      </c>
      <c r="G925" s="2">
        <f>tbl_kpi[[#This Row],[CountedQty]]-tbl_kpi[[#This Row],[ExpectedQty]]</f>
        <v>3</v>
      </c>
      <c r="H925" s="2">
        <f>IF(tbl_kpi[[#This Row],[ExpectedQty]]=0, 1, MAX(0, 1 - ABS(tbl_kpi[[#This Row],[VarianceQty]]) / tbl_kpi[[#This Row],[ExpectedQty]]))</f>
        <v>0.98295454545454541</v>
      </c>
      <c r="I925" s="2" t="str">
        <f>IF(tbl_kpi[[#This Row],[AccuracyPct]] &lt; 0.98, "Y", "N")</f>
        <v>N</v>
      </c>
    </row>
    <row r="926" spans="1:9">
      <c r="A926" s="2">
        <v>939</v>
      </c>
      <c r="B926" s="2">
        <v>50</v>
      </c>
      <c r="C926" s="2" t="str">
        <f>_xlfn.XLOOKUP(tbl_kpi[[#This Row],[LocationID]], tbl_location[LocationID], tbl_location[LocationName], "UNMAPPED_LOCATION")</f>
        <v>Subassembly</v>
      </c>
      <c r="D926" s="2">
        <v>150</v>
      </c>
      <c r="E926" s="2">
        <v>146</v>
      </c>
      <c r="F926" s="2">
        <f>tbl_kpi[[#This Row],[OnHandQty]]</f>
        <v>150</v>
      </c>
      <c r="G926" s="2">
        <f>tbl_kpi[[#This Row],[CountedQty]]-tbl_kpi[[#This Row],[ExpectedQty]]</f>
        <v>-4</v>
      </c>
      <c r="H926" s="2">
        <f>IF(tbl_kpi[[#This Row],[ExpectedQty]]=0, 1, MAX(0, 1 - ABS(tbl_kpi[[#This Row],[VarianceQty]]) / tbl_kpi[[#This Row],[ExpectedQty]]))</f>
        <v>0.97333333333333338</v>
      </c>
      <c r="I926" s="2" t="str">
        <f>IF(tbl_kpi[[#This Row],[AccuracyPct]] &lt; 0.98, "Y", "N")</f>
        <v>Y</v>
      </c>
    </row>
    <row r="927" spans="1:9">
      <c r="A927" s="2">
        <v>940</v>
      </c>
      <c r="B927" s="2">
        <v>1</v>
      </c>
      <c r="C927" s="2" t="str">
        <f>_xlfn.XLOOKUP(tbl_kpi[[#This Row],[LocationID]], tbl_location[LocationID], tbl_location[LocationName], "UNMAPPED_LOCATION")</f>
        <v>Tool Crib</v>
      </c>
      <c r="D927" s="2">
        <v>316</v>
      </c>
      <c r="E927" s="2">
        <v>310</v>
      </c>
      <c r="F927" s="2">
        <f>tbl_kpi[[#This Row],[OnHandQty]]</f>
        <v>316</v>
      </c>
      <c r="G927" s="2">
        <f>tbl_kpi[[#This Row],[CountedQty]]-tbl_kpi[[#This Row],[ExpectedQty]]</f>
        <v>-6</v>
      </c>
      <c r="H927" s="2">
        <f>IF(tbl_kpi[[#This Row],[ExpectedQty]]=0, 1, MAX(0, 1 - ABS(tbl_kpi[[#This Row],[VarianceQty]]) / tbl_kpi[[#This Row],[ExpectedQty]]))</f>
        <v>0.98101265822784811</v>
      </c>
      <c r="I927" s="2" t="str">
        <f>IF(tbl_kpi[[#This Row],[AccuracyPct]] &lt; 0.98, "Y", "N")</f>
        <v>N</v>
      </c>
    </row>
    <row r="928" spans="1:9">
      <c r="A928" s="2">
        <v>940</v>
      </c>
      <c r="B928" s="2">
        <v>6</v>
      </c>
      <c r="C928" s="2" t="str">
        <f>_xlfn.XLOOKUP(tbl_kpi[[#This Row],[LocationID]], tbl_location[LocationID], tbl_location[LocationName], "UNMAPPED_LOCATION")</f>
        <v>Miscellaneous Storage</v>
      </c>
      <c r="D928" s="2">
        <v>267</v>
      </c>
      <c r="E928" s="2">
        <v>267</v>
      </c>
      <c r="F928" s="2">
        <f>tbl_kpi[[#This Row],[OnHandQty]]</f>
        <v>267</v>
      </c>
      <c r="G928" s="2">
        <f>tbl_kpi[[#This Row],[CountedQty]]-tbl_kpi[[#This Row],[ExpectedQty]]</f>
        <v>0</v>
      </c>
      <c r="H928" s="2">
        <f>IF(tbl_kpi[[#This Row],[ExpectedQty]]=0, 1, MAX(0, 1 - ABS(tbl_kpi[[#This Row],[VarianceQty]]) / tbl_kpi[[#This Row],[ExpectedQty]]))</f>
        <v>1</v>
      </c>
      <c r="I928" s="2" t="str">
        <f>IF(tbl_kpi[[#This Row],[AccuracyPct]] &lt; 0.98, "Y", "N")</f>
        <v>N</v>
      </c>
    </row>
    <row r="929" spans="1:9">
      <c r="A929" s="2">
        <v>940</v>
      </c>
      <c r="B929" s="2">
        <v>50</v>
      </c>
      <c r="C929" s="2" t="str">
        <f>_xlfn.XLOOKUP(tbl_kpi[[#This Row],[LocationID]], tbl_location[LocationID], tbl_location[LocationName], "UNMAPPED_LOCATION")</f>
        <v>Subassembly</v>
      </c>
      <c r="D929" s="2">
        <v>323</v>
      </c>
      <c r="E929" s="2">
        <v>318</v>
      </c>
      <c r="F929" s="2">
        <f>tbl_kpi[[#This Row],[OnHandQty]]</f>
        <v>323</v>
      </c>
      <c r="G929" s="2">
        <f>tbl_kpi[[#This Row],[CountedQty]]-tbl_kpi[[#This Row],[ExpectedQty]]</f>
        <v>-5</v>
      </c>
      <c r="H929" s="2">
        <f>IF(tbl_kpi[[#This Row],[ExpectedQty]]=0, 1, MAX(0, 1 - ABS(tbl_kpi[[#This Row],[VarianceQty]]) / tbl_kpi[[#This Row],[ExpectedQty]]))</f>
        <v>0.98452012383900933</v>
      </c>
      <c r="I929" s="2" t="str">
        <f>IF(tbl_kpi[[#This Row],[AccuracyPct]] &lt; 0.98, "Y", "N")</f>
        <v>N</v>
      </c>
    </row>
    <row r="930" spans="1:9">
      <c r="A930" s="2">
        <v>941</v>
      </c>
      <c r="B930" s="2">
        <v>1</v>
      </c>
      <c r="C930" s="2" t="str">
        <f>_xlfn.XLOOKUP(tbl_kpi[[#This Row],[LocationID]], tbl_location[LocationID], tbl_location[LocationName], "UNMAPPED_LOCATION")</f>
        <v>Tool Crib</v>
      </c>
      <c r="D930" s="2">
        <v>235</v>
      </c>
      <c r="E930" s="2">
        <v>230</v>
      </c>
      <c r="F930" s="2">
        <f>tbl_kpi[[#This Row],[OnHandQty]]</f>
        <v>235</v>
      </c>
      <c r="G930" s="2">
        <f>tbl_kpi[[#This Row],[CountedQty]]-tbl_kpi[[#This Row],[ExpectedQty]]</f>
        <v>-5</v>
      </c>
      <c r="H930" s="2">
        <f>IF(tbl_kpi[[#This Row],[ExpectedQty]]=0, 1, MAX(0, 1 - ABS(tbl_kpi[[#This Row],[VarianceQty]]) / tbl_kpi[[#This Row],[ExpectedQty]]))</f>
        <v>0.97872340425531912</v>
      </c>
      <c r="I930" s="2" t="str">
        <f>IF(tbl_kpi[[#This Row],[AccuracyPct]] &lt; 0.98, "Y", "N")</f>
        <v>Y</v>
      </c>
    </row>
    <row r="931" spans="1:9">
      <c r="A931" s="2">
        <v>941</v>
      </c>
      <c r="B931" s="2">
        <v>6</v>
      </c>
      <c r="C931" s="2" t="str">
        <f>_xlfn.XLOOKUP(tbl_kpi[[#This Row],[LocationID]], tbl_location[LocationID], tbl_location[LocationName], "UNMAPPED_LOCATION")</f>
        <v>Miscellaneous Storage</v>
      </c>
      <c r="D931" s="2">
        <v>262</v>
      </c>
      <c r="E931" s="2">
        <v>259</v>
      </c>
      <c r="F931" s="2">
        <f>tbl_kpi[[#This Row],[OnHandQty]]</f>
        <v>262</v>
      </c>
      <c r="G931" s="2">
        <f>tbl_kpi[[#This Row],[CountedQty]]-tbl_kpi[[#This Row],[ExpectedQty]]</f>
        <v>-3</v>
      </c>
      <c r="H931" s="2">
        <f>IF(tbl_kpi[[#This Row],[ExpectedQty]]=0, 1, MAX(0, 1 - ABS(tbl_kpi[[#This Row],[VarianceQty]]) / tbl_kpi[[#This Row],[ExpectedQty]]))</f>
        <v>0.98854961832061072</v>
      </c>
      <c r="I931" s="2" t="str">
        <f>IF(tbl_kpi[[#This Row],[AccuracyPct]] &lt; 0.98, "Y", "N")</f>
        <v>N</v>
      </c>
    </row>
    <row r="932" spans="1:9">
      <c r="A932" s="2">
        <v>941</v>
      </c>
      <c r="B932" s="2">
        <v>50</v>
      </c>
      <c r="C932" s="2" t="str">
        <f>_xlfn.XLOOKUP(tbl_kpi[[#This Row],[LocationID]], tbl_location[LocationID], tbl_location[LocationName], "UNMAPPED_LOCATION")</f>
        <v>Subassembly</v>
      </c>
      <c r="D932" s="2">
        <v>388</v>
      </c>
      <c r="E932" s="2">
        <v>388</v>
      </c>
      <c r="F932" s="2">
        <f>tbl_kpi[[#This Row],[OnHandQty]]</f>
        <v>388</v>
      </c>
      <c r="G932" s="2">
        <f>tbl_kpi[[#This Row],[CountedQty]]-tbl_kpi[[#This Row],[ExpectedQty]]</f>
        <v>0</v>
      </c>
      <c r="H932" s="2">
        <f>IF(tbl_kpi[[#This Row],[ExpectedQty]]=0, 1, MAX(0, 1 - ABS(tbl_kpi[[#This Row],[VarianceQty]]) / tbl_kpi[[#This Row],[ExpectedQty]]))</f>
        <v>1</v>
      </c>
      <c r="I932" s="2" t="str">
        <f>IF(tbl_kpi[[#This Row],[AccuracyPct]] &lt; 0.98, "Y", "N")</f>
        <v>N</v>
      </c>
    </row>
    <row r="933" spans="1:9">
      <c r="A933" s="2">
        <v>942</v>
      </c>
      <c r="B933" s="2">
        <v>10</v>
      </c>
      <c r="C933" s="2" t="str">
        <f>_xlfn.XLOOKUP(tbl_kpi[[#This Row],[LocationID]], tbl_location[LocationID], tbl_location[LocationName], "UNMAPPED_LOCATION")</f>
        <v>Frame Forming</v>
      </c>
      <c r="D933" s="2">
        <v>120</v>
      </c>
      <c r="E933" s="2">
        <v>121</v>
      </c>
      <c r="F933" s="2">
        <f>tbl_kpi[[#This Row],[OnHandQty]]</f>
        <v>120</v>
      </c>
      <c r="G933" s="2">
        <f>tbl_kpi[[#This Row],[CountedQty]]-tbl_kpi[[#This Row],[ExpectedQty]]</f>
        <v>1</v>
      </c>
      <c r="H933" s="2">
        <f>IF(tbl_kpi[[#This Row],[ExpectedQty]]=0, 1, MAX(0, 1 - ABS(tbl_kpi[[#This Row],[VarianceQty]]) / tbl_kpi[[#This Row],[ExpectedQty]]))</f>
        <v>0.9916666666666667</v>
      </c>
      <c r="I933" s="2" t="str">
        <f>IF(tbl_kpi[[#This Row],[AccuracyPct]] &lt; 0.98, "Y", "N")</f>
        <v>N</v>
      </c>
    </row>
    <row r="934" spans="1:9">
      <c r="A934" s="2">
        <v>942</v>
      </c>
      <c r="B934" s="2">
        <v>20</v>
      </c>
      <c r="C934" s="2" t="str">
        <f>_xlfn.XLOOKUP(tbl_kpi[[#This Row],[LocationID]], tbl_location[LocationID], tbl_location[LocationName], "UNMAPPED_LOCATION")</f>
        <v>Frame Welding</v>
      </c>
      <c r="D934" s="2">
        <v>160</v>
      </c>
      <c r="E934" s="2">
        <v>157</v>
      </c>
      <c r="F934" s="2">
        <f>tbl_kpi[[#This Row],[OnHandQty]]</f>
        <v>160</v>
      </c>
      <c r="G934" s="2">
        <f>tbl_kpi[[#This Row],[CountedQty]]-tbl_kpi[[#This Row],[ExpectedQty]]</f>
        <v>-3</v>
      </c>
      <c r="H934" s="2">
        <f>IF(tbl_kpi[[#This Row],[ExpectedQty]]=0, 1, MAX(0, 1 - ABS(tbl_kpi[[#This Row],[VarianceQty]]) / tbl_kpi[[#This Row],[ExpectedQty]]))</f>
        <v>0.98124999999999996</v>
      </c>
      <c r="I934" s="2" t="str">
        <f>IF(tbl_kpi[[#This Row],[AccuracyPct]] &lt; 0.98, "Y", "N")</f>
        <v>N</v>
      </c>
    </row>
    <row r="935" spans="1:9">
      <c r="A935" s="2">
        <v>942</v>
      </c>
      <c r="B935" s="2">
        <v>30</v>
      </c>
      <c r="C935" s="2" t="str">
        <f>_xlfn.XLOOKUP(tbl_kpi[[#This Row],[LocationID]], tbl_location[LocationID], tbl_location[LocationName], "UNMAPPED_LOCATION")</f>
        <v>Debur and Polish</v>
      </c>
      <c r="D935" s="2">
        <v>147</v>
      </c>
      <c r="E935" s="2">
        <v>148</v>
      </c>
      <c r="F935" s="2">
        <f>tbl_kpi[[#This Row],[OnHandQty]]</f>
        <v>147</v>
      </c>
      <c r="G935" s="2">
        <f>tbl_kpi[[#This Row],[CountedQty]]-tbl_kpi[[#This Row],[ExpectedQty]]</f>
        <v>1</v>
      </c>
      <c r="H935" s="2">
        <f>IF(tbl_kpi[[#This Row],[ExpectedQty]]=0, 1, MAX(0, 1 - ABS(tbl_kpi[[#This Row],[VarianceQty]]) / tbl_kpi[[#This Row],[ExpectedQty]]))</f>
        <v>0.99319727891156462</v>
      </c>
      <c r="I935" s="2" t="str">
        <f>IF(tbl_kpi[[#This Row],[AccuracyPct]] &lt; 0.98, "Y", "N")</f>
        <v>N</v>
      </c>
    </row>
    <row r="936" spans="1:9">
      <c r="A936" s="2">
        <v>942</v>
      </c>
      <c r="B936" s="2">
        <v>45</v>
      </c>
      <c r="C936" s="2" t="str">
        <f>_xlfn.XLOOKUP(tbl_kpi[[#This Row],[LocationID]], tbl_location[LocationID], tbl_location[LocationName], "UNMAPPED_LOCATION")</f>
        <v>Specialized Paint</v>
      </c>
      <c r="D936" s="2">
        <v>105</v>
      </c>
      <c r="E936" s="2">
        <v>106</v>
      </c>
      <c r="F936" s="2">
        <f>tbl_kpi[[#This Row],[OnHandQty]]</f>
        <v>105</v>
      </c>
      <c r="G936" s="2">
        <f>tbl_kpi[[#This Row],[CountedQty]]-tbl_kpi[[#This Row],[ExpectedQty]]</f>
        <v>1</v>
      </c>
      <c r="H936" s="2">
        <f>IF(tbl_kpi[[#This Row],[ExpectedQty]]=0, 1, MAX(0, 1 - ABS(tbl_kpi[[#This Row],[VarianceQty]]) / tbl_kpi[[#This Row],[ExpectedQty]]))</f>
        <v>0.99047619047619051</v>
      </c>
      <c r="I936" s="2" t="str">
        <f>IF(tbl_kpi[[#This Row],[AccuracyPct]] &lt; 0.98, "Y", "N")</f>
        <v>N</v>
      </c>
    </row>
    <row r="937" spans="1:9">
      <c r="A937" s="2">
        <v>942</v>
      </c>
      <c r="B937" s="2">
        <v>50</v>
      </c>
      <c r="C937" s="2" t="str">
        <f>_xlfn.XLOOKUP(tbl_kpi[[#This Row],[LocationID]], tbl_location[LocationID], tbl_location[LocationName], "UNMAPPED_LOCATION")</f>
        <v>Subassembly</v>
      </c>
      <c r="D937" s="2">
        <v>158</v>
      </c>
      <c r="E937" s="2">
        <v>162</v>
      </c>
      <c r="F937" s="2">
        <f>tbl_kpi[[#This Row],[OnHandQty]]</f>
        <v>158</v>
      </c>
      <c r="G937" s="2">
        <f>tbl_kpi[[#This Row],[CountedQty]]-tbl_kpi[[#This Row],[ExpectedQty]]</f>
        <v>4</v>
      </c>
      <c r="H937" s="2">
        <f>IF(tbl_kpi[[#This Row],[ExpectedQty]]=0, 1, MAX(0, 1 - ABS(tbl_kpi[[#This Row],[VarianceQty]]) / tbl_kpi[[#This Row],[ExpectedQty]]))</f>
        <v>0.97468354430379744</v>
      </c>
      <c r="I937" s="2" t="str">
        <f>IF(tbl_kpi[[#This Row],[AccuracyPct]] &lt; 0.98, "Y", "N")</f>
        <v>Y</v>
      </c>
    </row>
    <row r="938" spans="1:9">
      <c r="A938" s="2">
        <v>942</v>
      </c>
      <c r="B938" s="2">
        <v>60</v>
      </c>
      <c r="C938" s="2" t="str">
        <f>_xlfn.XLOOKUP(tbl_kpi[[#This Row],[LocationID]], tbl_location[LocationID], tbl_location[LocationName], "UNMAPPED_LOCATION")</f>
        <v>Final Assembly</v>
      </c>
      <c r="D938" s="2">
        <v>136</v>
      </c>
      <c r="E938" s="2">
        <v>137</v>
      </c>
      <c r="F938" s="2">
        <f>tbl_kpi[[#This Row],[OnHandQty]]</f>
        <v>136</v>
      </c>
      <c r="G938" s="2">
        <f>tbl_kpi[[#This Row],[CountedQty]]-tbl_kpi[[#This Row],[ExpectedQty]]</f>
        <v>1</v>
      </c>
      <c r="H938" s="2">
        <f>IF(tbl_kpi[[#This Row],[ExpectedQty]]=0, 1, MAX(0, 1 - ABS(tbl_kpi[[#This Row],[VarianceQty]]) / tbl_kpi[[#This Row],[ExpectedQty]]))</f>
        <v>0.99264705882352944</v>
      </c>
      <c r="I938" s="2" t="str">
        <f>IF(tbl_kpi[[#This Row],[AccuracyPct]] &lt; 0.98, "Y", "N")</f>
        <v>N</v>
      </c>
    </row>
    <row r="939" spans="1:9">
      <c r="A939" s="2">
        <v>943</v>
      </c>
      <c r="B939" s="2">
        <v>10</v>
      </c>
      <c r="C939" s="2" t="str">
        <f>_xlfn.XLOOKUP(tbl_kpi[[#This Row],[LocationID]], tbl_location[LocationID], tbl_location[LocationName], "UNMAPPED_LOCATION")</f>
        <v>Frame Forming</v>
      </c>
      <c r="D939" s="2">
        <v>102</v>
      </c>
      <c r="E939" s="2">
        <v>99</v>
      </c>
      <c r="F939" s="2">
        <f>tbl_kpi[[#This Row],[OnHandQty]]</f>
        <v>102</v>
      </c>
      <c r="G939" s="2">
        <f>tbl_kpi[[#This Row],[CountedQty]]-tbl_kpi[[#This Row],[ExpectedQty]]</f>
        <v>-3</v>
      </c>
      <c r="H939" s="2">
        <f>IF(tbl_kpi[[#This Row],[ExpectedQty]]=0, 1, MAX(0, 1 - ABS(tbl_kpi[[#This Row],[VarianceQty]]) / tbl_kpi[[#This Row],[ExpectedQty]]))</f>
        <v>0.97058823529411764</v>
      </c>
      <c r="I939" s="2" t="str">
        <f>IF(tbl_kpi[[#This Row],[AccuracyPct]] &lt; 0.98, "Y", "N")</f>
        <v>Y</v>
      </c>
    </row>
    <row r="940" spans="1:9">
      <c r="A940" s="2">
        <v>943</v>
      </c>
      <c r="B940" s="2">
        <v>20</v>
      </c>
      <c r="C940" s="2" t="str">
        <f>_xlfn.XLOOKUP(tbl_kpi[[#This Row],[LocationID]], tbl_location[LocationID], tbl_location[LocationName], "UNMAPPED_LOCATION")</f>
        <v>Frame Welding</v>
      </c>
      <c r="D940" s="2">
        <v>142</v>
      </c>
      <c r="E940" s="2">
        <v>140</v>
      </c>
      <c r="F940" s="2">
        <f>tbl_kpi[[#This Row],[OnHandQty]]</f>
        <v>142</v>
      </c>
      <c r="G940" s="2">
        <f>tbl_kpi[[#This Row],[CountedQty]]-tbl_kpi[[#This Row],[ExpectedQty]]</f>
        <v>-2</v>
      </c>
      <c r="H940" s="2">
        <f>IF(tbl_kpi[[#This Row],[ExpectedQty]]=0, 1, MAX(0, 1 - ABS(tbl_kpi[[#This Row],[VarianceQty]]) / tbl_kpi[[#This Row],[ExpectedQty]]))</f>
        <v>0.9859154929577465</v>
      </c>
      <c r="I940" s="2" t="str">
        <f>IF(tbl_kpi[[#This Row],[AccuracyPct]] &lt; 0.98, "Y", "N")</f>
        <v>N</v>
      </c>
    </row>
    <row r="941" spans="1:9">
      <c r="A941" s="2">
        <v>943</v>
      </c>
      <c r="B941" s="2">
        <v>30</v>
      </c>
      <c r="C941" s="2" t="str">
        <f>_xlfn.XLOOKUP(tbl_kpi[[#This Row],[LocationID]], tbl_location[LocationID], tbl_location[LocationName], "UNMAPPED_LOCATION")</f>
        <v>Debur and Polish</v>
      </c>
      <c r="D941" s="2">
        <v>129</v>
      </c>
      <c r="E941" s="2">
        <v>131</v>
      </c>
      <c r="F941" s="2">
        <f>tbl_kpi[[#This Row],[OnHandQty]]</f>
        <v>129</v>
      </c>
      <c r="G941" s="2">
        <f>tbl_kpi[[#This Row],[CountedQty]]-tbl_kpi[[#This Row],[ExpectedQty]]</f>
        <v>2</v>
      </c>
      <c r="H941" s="2">
        <f>IF(tbl_kpi[[#This Row],[ExpectedQty]]=0, 1, MAX(0, 1 - ABS(tbl_kpi[[#This Row],[VarianceQty]]) / tbl_kpi[[#This Row],[ExpectedQty]]))</f>
        <v>0.98449612403100772</v>
      </c>
      <c r="I941" s="2" t="str">
        <f>IF(tbl_kpi[[#This Row],[AccuracyPct]] &lt; 0.98, "Y", "N")</f>
        <v>N</v>
      </c>
    </row>
    <row r="942" spans="1:9">
      <c r="A942" s="2">
        <v>943</v>
      </c>
      <c r="B942" s="2">
        <v>40</v>
      </c>
      <c r="C942" s="2" t="str">
        <f>_xlfn.XLOOKUP(tbl_kpi[[#This Row],[LocationID]], tbl_location[LocationID], tbl_location[LocationName], "UNMAPPED_LOCATION")</f>
        <v>Paint</v>
      </c>
      <c r="D942" s="2">
        <v>88</v>
      </c>
      <c r="E942" s="2">
        <v>86</v>
      </c>
      <c r="F942" s="2">
        <f>tbl_kpi[[#This Row],[OnHandQty]]</f>
        <v>88</v>
      </c>
      <c r="G942" s="2">
        <f>tbl_kpi[[#This Row],[CountedQty]]-tbl_kpi[[#This Row],[ExpectedQty]]</f>
        <v>-2</v>
      </c>
      <c r="H942" s="2">
        <f>IF(tbl_kpi[[#This Row],[ExpectedQty]]=0, 1, MAX(0, 1 - ABS(tbl_kpi[[#This Row],[VarianceQty]]) / tbl_kpi[[#This Row],[ExpectedQty]]))</f>
        <v>0.97727272727272729</v>
      </c>
      <c r="I942" s="2" t="str">
        <f>IF(tbl_kpi[[#This Row],[AccuracyPct]] &lt; 0.98, "Y", "N")</f>
        <v>Y</v>
      </c>
    </row>
    <row r="943" spans="1:9">
      <c r="A943" s="2">
        <v>943</v>
      </c>
      <c r="B943" s="2">
        <v>50</v>
      </c>
      <c r="C943" s="2" t="str">
        <f>_xlfn.XLOOKUP(tbl_kpi[[#This Row],[LocationID]], tbl_location[LocationID], tbl_location[LocationName], "UNMAPPED_LOCATION")</f>
        <v>Subassembly</v>
      </c>
      <c r="D943" s="2">
        <v>140</v>
      </c>
      <c r="E943" s="2">
        <v>141</v>
      </c>
      <c r="F943" s="2">
        <f>tbl_kpi[[#This Row],[OnHandQty]]</f>
        <v>140</v>
      </c>
      <c r="G943" s="2">
        <f>tbl_kpi[[#This Row],[CountedQty]]-tbl_kpi[[#This Row],[ExpectedQty]]</f>
        <v>1</v>
      </c>
      <c r="H943" s="2">
        <f>IF(tbl_kpi[[#This Row],[ExpectedQty]]=0, 1, MAX(0, 1 - ABS(tbl_kpi[[#This Row],[VarianceQty]]) / tbl_kpi[[#This Row],[ExpectedQty]]))</f>
        <v>0.99285714285714288</v>
      </c>
      <c r="I943" s="2" t="str">
        <f>IF(tbl_kpi[[#This Row],[AccuracyPct]] &lt; 0.98, "Y", "N")</f>
        <v>N</v>
      </c>
    </row>
    <row r="944" spans="1:9">
      <c r="A944" s="2">
        <v>943</v>
      </c>
      <c r="B944" s="2">
        <v>60</v>
      </c>
      <c r="C944" s="2" t="str">
        <f>_xlfn.XLOOKUP(tbl_kpi[[#This Row],[LocationID]], tbl_location[LocationID], tbl_location[LocationName], "UNMAPPED_LOCATION")</f>
        <v>Final Assembly</v>
      </c>
      <c r="D944" s="2">
        <v>118</v>
      </c>
      <c r="E944" s="2">
        <v>119</v>
      </c>
      <c r="F944" s="2">
        <f>tbl_kpi[[#This Row],[OnHandQty]]</f>
        <v>118</v>
      </c>
      <c r="G944" s="2">
        <f>tbl_kpi[[#This Row],[CountedQty]]-tbl_kpi[[#This Row],[ExpectedQty]]</f>
        <v>1</v>
      </c>
      <c r="H944" s="2">
        <f>IF(tbl_kpi[[#This Row],[ExpectedQty]]=0, 1, MAX(0, 1 - ABS(tbl_kpi[[#This Row],[VarianceQty]]) / tbl_kpi[[#This Row],[ExpectedQty]]))</f>
        <v>0.99152542372881358</v>
      </c>
      <c r="I944" s="2" t="str">
        <f>IF(tbl_kpi[[#This Row],[AccuracyPct]] &lt; 0.98, "Y", "N")</f>
        <v>N</v>
      </c>
    </row>
    <row r="945" spans="1:9">
      <c r="A945" s="2">
        <v>944</v>
      </c>
      <c r="B945" s="2">
        <v>10</v>
      </c>
      <c r="C945" s="2" t="str">
        <f>_xlfn.XLOOKUP(tbl_kpi[[#This Row],[LocationID]], tbl_location[LocationID], tbl_location[LocationName], "UNMAPPED_LOCATION")</f>
        <v>Frame Forming</v>
      </c>
      <c r="D945" s="2">
        <v>112</v>
      </c>
      <c r="E945" s="2">
        <v>114</v>
      </c>
      <c r="F945" s="2">
        <f>tbl_kpi[[#This Row],[OnHandQty]]</f>
        <v>112</v>
      </c>
      <c r="G945" s="2">
        <f>tbl_kpi[[#This Row],[CountedQty]]-tbl_kpi[[#This Row],[ExpectedQty]]</f>
        <v>2</v>
      </c>
      <c r="H945" s="2">
        <f>IF(tbl_kpi[[#This Row],[ExpectedQty]]=0, 1, MAX(0, 1 - ABS(tbl_kpi[[#This Row],[VarianceQty]]) / tbl_kpi[[#This Row],[ExpectedQty]]))</f>
        <v>0.9821428571428571</v>
      </c>
      <c r="I945" s="2" t="str">
        <f>IF(tbl_kpi[[#This Row],[AccuracyPct]] &lt; 0.98, "Y", "N")</f>
        <v>N</v>
      </c>
    </row>
    <row r="946" spans="1:9">
      <c r="A946" s="2">
        <v>944</v>
      </c>
      <c r="B946" s="2">
        <v>20</v>
      </c>
      <c r="C946" s="2" t="str">
        <f>_xlfn.XLOOKUP(tbl_kpi[[#This Row],[LocationID]], tbl_location[LocationID], tbl_location[LocationName], "UNMAPPED_LOCATION")</f>
        <v>Frame Welding</v>
      </c>
      <c r="D946" s="2">
        <v>96</v>
      </c>
      <c r="E946" s="2">
        <v>98</v>
      </c>
      <c r="F946" s="2">
        <f>tbl_kpi[[#This Row],[OnHandQty]]</f>
        <v>96</v>
      </c>
      <c r="G946" s="2">
        <f>tbl_kpi[[#This Row],[CountedQty]]-tbl_kpi[[#This Row],[ExpectedQty]]</f>
        <v>2</v>
      </c>
      <c r="H946" s="2">
        <f>IF(tbl_kpi[[#This Row],[ExpectedQty]]=0, 1, MAX(0, 1 - ABS(tbl_kpi[[#This Row],[VarianceQty]]) / tbl_kpi[[#This Row],[ExpectedQty]]))</f>
        <v>0.97916666666666663</v>
      </c>
      <c r="I946" s="2" t="str">
        <f>IF(tbl_kpi[[#This Row],[AccuracyPct]] &lt; 0.98, "Y", "N")</f>
        <v>Y</v>
      </c>
    </row>
    <row r="947" spans="1:9">
      <c r="A947" s="2">
        <v>944</v>
      </c>
      <c r="B947" s="2">
        <v>30</v>
      </c>
      <c r="C947" s="2" t="str">
        <f>_xlfn.XLOOKUP(tbl_kpi[[#This Row],[LocationID]], tbl_location[LocationID], tbl_location[LocationName], "UNMAPPED_LOCATION")</f>
        <v>Debur and Polish</v>
      </c>
      <c r="D947" s="2">
        <v>123</v>
      </c>
      <c r="E947" s="2">
        <v>121</v>
      </c>
      <c r="F947" s="2">
        <f>tbl_kpi[[#This Row],[OnHandQty]]</f>
        <v>123</v>
      </c>
      <c r="G947" s="2">
        <f>tbl_kpi[[#This Row],[CountedQty]]-tbl_kpi[[#This Row],[ExpectedQty]]</f>
        <v>-2</v>
      </c>
      <c r="H947" s="2">
        <f>IF(tbl_kpi[[#This Row],[ExpectedQty]]=0, 1, MAX(0, 1 - ABS(tbl_kpi[[#This Row],[VarianceQty]]) / tbl_kpi[[#This Row],[ExpectedQty]]))</f>
        <v>0.98373983739837401</v>
      </c>
      <c r="I947" s="2" t="str">
        <f>IF(tbl_kpi[[#This Row],[AccuracyPct]] &lt; 0.98, "Y", "N")</f>
        <v>N</v>
      </c>
    </row>
    <row r="948" spans="1:9">
      <c r="A948" s="2">
        <v>944</v>
      </c>
      <c r="B948" s="2">
        <v>45</v>
      </c>
      <c r="C948" s="2" t="str">
        <f>_xlfn.XLOOKUP(tbl_kpi[[#This Row],[LocationID]], tbl_location[LocationID], tbl_location[LocationName], "UNMAPPED_LOCATION")</f>
        <v>Specialized Paint</v>
      </c>
      <c r="D948" s="2">
        <v>136</v>
      </c>
      <c r="E948" s="2">
        <v>134</v>
      </c>
      <c r="F948" s="2">
        <f>tbl_kpi[[#This Row],[OnHandQty]]</f>
        <v>136</v>
      </c>
      <c r="G948" s="2">
        <f>tbl_kpi[[#This Row],[CountedQty]]-tbl_kpi[[#This Row],[ExpectedQty]]</f>
        <v>-2</v>
      </c>
      <c r="H948" s="2">
        <f>IF(tbl_kpi[[#This Row],[ExpectedQty]]=0, 1, MAX(0, 1 - ABS(tbl_kpi[[#This Row],[VarianceQty]]) / tbl_kpi[[#This Row],[ExpectedQty]]))</f>
        <v>0.98529411764705888</v>
      </c>
      <c r="I948" s="2" t="str">
        <f>IF(tbl_kpi[[#This Row],[AccuracyPct]] &lt; 0.98, "Y", "N")</f>
        <v>N</v>
      </c>
    </row>
    <row r="949" spans="1:9">
      <c r="A949" s="2">
        <v>944</v>
      </c>
      <c r="B949" s="2">
        <v>50</v>
      </c>
      <c r="C949" s="2" t="str">
        <f>_xlfn.XLOOKUP(tbl_kpi[[#This Row],[LocationID]], tbl_location[LocationID], tbl_location[LocationName], "UNMAPPED_LOCATION")</f>
        <v>Subassembly</v>
      </c>
      <c r="D949" s="2">
        <v>81</v>
      </c>
      <c r="E949" s="2">
        <v>81</v>
      </c>
      <c r="F949" s="2">
        <f>tbl_kpi[[#This Row],[OnHandQty]]</f>
        <v>81</v>
      </c>
      <c r="G949" s="2">
        <f>tbl_kpi[[#This Row],[CountedQty]]-tbl_kpi[[#This Row],[ExpectedQty]]</f>
        <v>0</v>
      </c>
      <c r="H949" s="2">
        <f>IF(tbl_kpi[[#This Row],[ExpectedQty]]=0, 1, MAX(0, 1 - ABS(tbl_kpi[[#This Row],[VarianceQty]]) / tbl_kpi[[#This Row],[ExpectedQty]]))</f>
        <v>1</v>
      </c>
      <c r="I949" s="2" t="str">
        <f>IF(tbl_kpi[[#This Row],[AccuracyPct]] &lt; 0.98, "Y", "N")</f>
        <v>N</v>
      </c>
    </row>
    <row r="950" spans="1:9">
      <c r="A950" s="2">
        <v>944</v>
      </c>
      <c r="B950" s="2">
        <v>60</v>
      </c>
      <c r="C950" s="2" t="str">
        <f>_xlfn.XLOOKUP(tbl_kpi[[#This Row],[LocationID]], tbl_location[LocationID], tbl_location[LocationName], "UNMAPPED_LOCATION")</f>
        <v>Final Assembly</v>
      </c>
      <c r="D950" s="2">
        <v>134</v>
      </c>
      <c r="E950" s="2">
        <v>138</v>
      </c>
      <c r="F950" s="2">
        <f>tbl_kpi[[#This Row],[OnHandQty]]</f>
        <v>134</v>
      </c>
      <c r="G950" s="2">
        <f>tbl_kpi[[#This Row],[CountedQty]]-tbl_kpi[[#This Row],[ExpectedQty]]</f>
        <v>4</v>
      </c>
      <c r="H950" s="2">
        <f>IF(tbl_kpi[[#This Row],[ExpectedQty]]=0, 1, MAX(0, 1 - ABS(tbl_kpi[[#This Row],[VarianceQty]]) / tbl_kpi[[#This Row],[ExpectedQty]]))</f>
        <v>0.97014925373134331</v>
      </c>
      <c r="I950" s="2" t="str">
        <f>IF(tbl_kpi[[#This Row],[AccuracyPct]] &lt; 0.98, "Y", "N")</f>
        <v>Y</v>
      </c>
    </row>
    <row r="951" spans="1:9">
      <c r="A951" s="2">
        <v>945</v>
      </c>
      <c r="B951" s="2">
        <v>5</v>
      </c>
      <c r="C951" s="2" t="str">
        <f>_xlfn.XLOOKUP(tbl_kpi[[#This Row],[LocationID]], tbl_location[LocationID], tbl_location[LocationName], "UNMAPPED_LOCATION")</f>
        <v>Metal Storage</v>
      </c>
      <c r="D951" s="2">
        <v>347</v>
      </c>
      <c r="E951" s="2">
        <v>354</v>
      </c>
      <c r="F951" s="2">
        <f>tbl_kpi[[#This Row],[OnHandQty]]</f>
        <v>347</v>
      </c>
      <c r="G951" s="2">
        <f>tbl_kpi[[#This Row],[CountedQty]]-tbl_kpi[[#This Row],[ExpectedQty]]</f>
        <v>7</v>
      </c>
      <c r="H951" s="2">
        <f>IF(tbl_kpi[[#This Row],[ExpectedQty]]=0, 1, MAX(0, 1 - ABS(tbl_kpi[[#This Row],[VarianceQty]]) / tbl_kpi[[#This Row],[ExpectedQty]]))</f>
        <v>0.97982708933717577</v>
      </c>
      <c r="I951" s="2" t="str">
        <f>IF(tbl_kpi[[#This Row],[AccuracyPct]] &lt; 0.98, "Y", "N")</f>
        <v>Y</v>
      </c>
    </row>
    <row r="952" spans="1:9">
      <c r="A952" s="2">
        <v>945</v>
      </c>
      <c r="B952" s="2">
        <v>10</v>
      </c>
      <c r="C952" s="2" t="str">
        <f>_xlfn.XLOOKUP(tbl_kpi[[#This Row],[LocationID]], tbl_location[LocationID], tbl_location[LocationName], "UNMAPPED_LOCATION")</f>
        <v>Frame Forming</v>
      </c>
      <c r="D952" s="2">
        <v>236</v>
      </c>
      <c r="E952" s="2">
        <v>236</v>
      </c>
      <c r="F952" s="2">
        <f>tbl_kpi[[#This Row],[OnHandQty]]</f>
        <v>236</v>
      </c>
      <c r="G952" s="2">
        <f>tbl_kpi[[#This Row],[CountedQty]]-tbl_kpi[[#This Row],[ExpectedQty]]</f>
        <v>0</v>
      </c>
      <c r="H952" s="2">
        <f>IF(tbl_kpi[[#This Row],[ExpectedQty]]=0, 1, MAX(0, 1 - ABS(tbl_kpi[[#This Row],[VarianceQty]]) / tbl_kpi[[#This Row],[ExpectedQty]]))</f>
        <v>1</v>
      </c>
      <c r="I952" s="2" t="str">
        <f>IF(tbl_kpi[[#This Row],[AccuracyPct]] &lt; 0.98, "Y", "N")</f>
        <v>N</v>
      </c>
    </row>
    <row r="953" spans="1:9">
      <c r="A953" s="2">
        <v>945</v>
      </c>
      <c r="B953" s="2">
        <v>50</v>
      </c>
      <c r="C953" s="2" t="str">
        <f>_xlfn.XLOOKUP(tbl_kpi[[#This Row],[LocationID]], tbl_location[LocationID], tbl_location[LocationName], "UNMAPPED_LOCATION")</f>
        <v>Subassembly</v>
      </c>
      <c r="D953" s="2">
        <v>270</v>
      </c>
      <c r="E953" s="2">
        <v>272</v>
      </c>
      <c r="F953" s="2">
        <f>tbl_kpi[[#This Row],[OnHandQty]]</f>
        <v>270</v>
      </c>
      <c r="G953" s="2">
        <f>tbl_kpi[[#This Row],[CountedQty]]-tbl_kpi[[#This Row],[ExpectedQty]]</f>
        <v>2</v>
      </c>
      <c r="H953" s="2">
        <f>IF(tbl_kpi[[#This Row],[ExpectedQty]]=0, 1, MAX(0, 1 - ABS(tbl_kpi[[#This Row],[VarianceQty]]) / tbl_kpi[[#This Row],[ExpectedQty]]))</f>
        <v>0.99259259259259258</v>
      </c>
      <c r="I953" s="2" t="str">
        <f>IF(tbl_kpi[[#This Row],[AccuracyPct]] &lt; 0.98, "Y", "N")</f>
        <v>N</v>
      </c>
    </row>
    <row r="954" spans="1:9">
      <c r="A954" s="2">
        <v>946</v>
      </c>
      <c r="B954" s="2">
        <v>10</v>
      </c>
      <c r="C954" s="2" t="str">
        <f>_xlfn.XLOOKUP(tbl_kpi[[#This Row],[LocationID]], tbl_location[LocationID], tbl_location[LocationName], "UNMAPPED_LOCATION")</f>
        <v>Frame Forming</v>
      </c>
      <c r="D954" s="2">
        <v>248</v>
      </c>
      <c r="E954" s="2">
        <v>253</v>
      </c>
      <c r="F954" s="2">
        <f>tbl_kpi[[#This Row],[OnHandQty]]</f>
        <v>248</v>
      </c>
      <c r="G954" s="2">
        <f>tbl_kpi[[#This Row],[CountedQty]]-tbl_kpi[[#This Row],[ExpectedQty]]</f>
        <v>5</v>
      </c>
      <c r="H954" s="2">
        <f>IF(tbl_kpi[[#This Row],[ExpectedQty]]=0, 1, MAX(0, 1 - ABS(tbl_kpi[[#This Row],[VarianceQty]]) / tbl_kpi[[#This Row],[ExpectedQty]]))</f>
        <v>0.97983870967741937</v>
      </c>
      <c r="I954" s="2" t="str">
        <f>IF(tbl_kpi[[#This Row],[AccuracyPct]] &lt; 0.98, "Y", "N")</f>
        <v>Y</v>
      </c>
    </row>
    <row r="955" spans="1:9">
      <c r="A955" s="2">
        <v>946</v>
      </c>
      <c r="B955" s="2">
        <v>20</v>
      </c>
      <c r="C955" s="2" t="str">
        <f>_xlfn.XLOOKUP(tbl_kpi[[#This Row],[LocationID]], tbl_location[LocationID], tbl_location[LocationName], "UNMAPPED_LOCATION")</f>
        <v>Frame Welding</v>
      </c>
      <c r="D955" s="2">
        <v>257</v>
      </c>
      <c r="E955" s="2">
        <v>253</v>
      </c>
      <c r="F955" s="2">
        <f>tbl_kpi[[#This Row],[OnHandQty]]</f>
        <v>257</v>
      </c>
      <c r="G955" s="2">
        <f>tbl_kpi[[#This Row],[CountedQty]]-tbl_kpi[[#This Row],[ExpectedQty]]</f>
        <v>-4</v>
      </c>
      <c r="H955" s="2">
        <f>IF(tbl_kpi[[#This Row],[ExpectedQty]]=0, 1, MAX(0, 1 - ABS(tbl_kpi[[#This Row],[VarianceQty]]) / tbl_kpi[[#This Row],[ExpectedQty]]))</f>
        <v>0.98443579766536971</v>
      </c>
      <c r="I955" s="2" t="str">
        <f>IF(tbl_kpi[[#This Row],[AccuracyPct]] &lt; 0.98, "Y", "N")</f>
        <v>N</v>
      </c>
    </row>
    <row r="956" spans="1:9">
      <c r="A956" s="2">
        <v>946</v>
      </c>
      <c r="B956" s="2">
        <v>50</v>
      </c>
      <c r="C956" s="2" t="str">
        <f>_xlfn.XLOOKUP(tbl_kpi[[#This Row],[LocationID]], tbl_location[LocationID], tbl_location[LocationName], "UNMAPPED_LOCATION")</f>
        <v>Subassembly</v>
      </c>
      <c r="D956" s="2">
        <v>297</v>
      </c>
      <c r="E956" s="2">
        <v>289</v>
      </c>
      <c r="F956" s="2">
        <f>tbl_kpi[[#This Row],[OnHandQty]]</f>
        <v>297</v>
      </c>
      <c r="G956" s="2">
        <f>tbl_kpi[[#This Row],[CountedQty]]-tbl_kpi[[#This Row],[ExpectedQty]]</f>
        <v>-8</v>
      </c>
      <c r="H956" s="2">
        <f>IF(tbl_kpi[[#This Row],[ExpectedQty]]=0, 1, MAX(0, 1 - ABS(tbl_kpi[[#This Row],[VarianceQty]]) / tbl_kpi[[#This Row],[ExpectedQty]]))</f>
        <v>0.97306397306397308</v>
      </c>
      <c r="I956" s="2" t="str">
        <f>IF(tbl_kpi[[#This Row],[AccuracyPct]] &lt; 0.98, "Y", "N")</f>
        <v>Y</v>
      </c>
    </row>
    <row r="957" spans="1:9">
      <c r="A957" s="2">
        <v>947</v>
      </c>
      <c r="B957" s="2">
        <v>10</v>
      </c>
      <c r="C957" s="2" t="str">
        <f>_xlfn.XLOOKUP(tbl_kpi[[#This Row],[LocationID]], tbl_location[LocationID], tbl_location[LocationName], "UNMAPPED_LOCATION")</f>
        <v>Frame Forming</v>
      </c>
      <c r="D957" s="2">
        <v>244</v>
      </c>
      <c r="E957" s="2">
        <v>242</v>
      </c>
      <c r="F957" s="2">
        <f>tbl_kpi[[#This Row],[OnHandQty]]</f>
        <v>244</v>
      </c>
      <c r="G957" s="2">
        <f>tbl_kpi[[#This Row],[CountedQty]]-tbl_kpi[[#This Row],[ExpectedQty]]</f>
        <v>-2</v>
      </c>
      <c r="H957" s="2">
        <f>IF(tbl_kpi[[#This Row],[ExpectedQty]]=0, 1, MAX(0, 1 - ABS(tbl_kpi[[#This Row],[VarianceQty]]) / tbl_kpi[[#This Row],[ExpectedQty]]))</f>
        <v>0.99180327868852458</v>
      </c>
      <c r="I957" s="2" t="str">
        <f>IF(tbl_kpi[[#This Row],[AccuracyPct]] &lt; 0.98, "Y", "N")</f>
        <v>N</v>
      </c>
    </row>
    <row r="958" spans="1:9">
      <c r="A958" s="2">
        <v>947</v>
      </c>
      <c r="B958" s="2">
        <v>20</v>
      </c>
      <c r="C958" s="2" t="str">
        <f>_xlfn.XLOOKUP(tbl_kpi[[#This Row],[LocationID]], tbl_location[LocationID], tbl_location[LocationName], "UNMAPPED_LOCATION")</f>
        <v>Frame Welding</v>
      </c>
      <c r="D958" s="2">
        <v>254</v>
      </c>
      <c r="E958" s="2">
        <v>259</v>
      </c>
      <c r="F958" s="2">
        <f>tbl_kpi[[#This Row],[OnHandQty]]</f>
        <v>254</v>
      </c>
      <c r="G958" s="2">
        <f>tbl_kpi[[#This Row],[CountedQty]]-tbl_kpi[[#This Row],[ExpectedQty]]</f>
        <v>5</v>
      </c>
      <c r="H958" s="2">
        <f>IF(tbl_kpi[[#This Row],[ExpectedQty]]=0, 1, MAX(0, 1 - ABS(tbl_kpi[[#This Row],[VarianceQty]]) / tbl_kpi[[#This Row],[ExpectedQty]]))</f>
        <v>0.98031496062992129</v>
      </c>
      <c r="I958" s="2" t="str">
        <f>IF(tbl_kpi[[#This Row],[AccuracyPct]] &lt; 0.98, "Y", "N")</f>
        <v>N</v>
      </c>
    </row>
    <row r="959" spans="1:9">
      <c r="A959" s="2">
        <v>947</v>
      </c>
      <c r="B959" s="2">
        <v>50</v>
      </c>
      <c r="C959" s="2" t="str">
        <f>_xlfn.XLOOKUP(tbl_kpi[[#This Row],[LocationID]], tbl_location[LocationID], tbl_location[LocationName], "UNMAPPED_LOCATION")</f>
        <v>Subassembly</v>
      </c>
      <c r="D959" s="2">
        <v>294</v>
      </c>
      <c r="E959" s="2">
        <v>294</v>
      </c>
      <c r="F959" s="2">
        <f>tbl_kpi[[#This Row],[OnHandQty]]</f>
        <v>294</v>
      </c>
      <c r="G959" s="2">
        <f>tbl_kpi[[#This Row],[CountedQty]]-tbl_kpi[[#This Row],[ExpectedQty]]</f>
        <v>0</v>
      </c>
      <c r="H959" s="2">
        <f>IF(tbl_kpi[[#This Row],[ExpectedQty]]=0, 1, MAX(0, 1 - ABS(tbl_kpi[[#This Row],[VarianceQty]]) / tbl_kpi[[#This Row],[ExpectedQty]]))</f>
        <v>1</v>
      </c>
      <c r="I959" s="2" t="str">
        <f>IF(tbl_kpi[[#This Row],[AccuracyPct]] &lt; 0.98, "Y", "N")</f>
        <v>N</v>
      </c>
    </row>
    <row r="960" spans="1:9">
      <c r="A960" s="2">
        <v>948</v>
      </c>
      <c r="B960" s="2">
        <v>5</v>
      </c>
      <c r="C960" s="2" t="str">
        <f>_xlfn.XLOOKUP(tbl_kpi[[#This Row],[LocationID]], tbl_location[LocationID], tbl_location[LocationName], "UNMAPPED_LOCATION")</f>
        <v>Metal Storage</v>
      </c>
      <c r="D960" s="2">
        <v>347</v>
      </c>
      <c r="E960" s="2">
        <v>353</v>
      </c>
      <c r="F960" s="2">
        <f>tbl_kpi[[#This Row],[OnHandQty]]</f>
        <v>347</v>
      </c>
      <c r="G960" s="2">
        <f>tbl_kpi[[#This Row],[CountedQty]]-tbl_kpi[[#This Row],[ExpectedQty]]</f>
        <v>6</v>
      </c>
      <c r="H960" s="2">
        <f>IF(tbl_kpi[[#This Row],[ExpectedQty]]=0, 1, MAX(0, 1 - ABS(tbl_kpi[[#This Row],[VarianceQty]]) / tbl_kpi[[#This Row],[ExpectedQty]]))</f>
        <v>0.98270893371757928</v>
      </c>
      <c r="I960" s="2" t="str">
        <f>IF(tbl_kpi[[#This Row],[AccuracyPct]] &lt; 0.98, "Y", "N")</f>
        <v>N</v>
      </c>
    </row>
    <row r="961" spans="1:9">
      <c r="A961" s="2">
        <v>948</v>
      </c>
      <c r="B961" s="2">
        <v>50</v>
      </c>
      <c r="C961" s="2" t="str">
        <f>_xlfn.XLOOKUP(tbl_kpi[[#This Row],[LocationID]], tbl_location[LocationID], tbl_location[LocationName], "UNMAPPED_LOCATION")</f>
        <v>Subassembly</v>
      </c>
      <c r="D961" s="2">
        <v>420</v>
      </c>
      <c r="E961" s="2">
        <v>426</v>
      </c>
      <c r="F961" s="2">
        <f>tbl_kpi[[#This Row],[OnHandQty]]</f>
        <v>420</v>
      </c>
      <c r="G961" s="2">
        <f>tbl_kpi[[#This Row],[CountedQty]]-tbl_kpi[[#This Row],[ExpectedQty]]</f>
        <v>6</v>
      </c>
      <c r="H961" s="2">
        <f>IF(tbl_kpi[[#This Row],[ExpectedQty]]=0, 1, MAX(0, 1 - ABS(tbl_kpi[[#This Row],[VarianceQty]]) / tbl_kpi[[#This Row],[ExpectedQty]]))</f>
        <v>0.98571428571428577</v>
      </c>
      <c r="I961" s="2" t="str">
        <f>IF(tbl_kpi[[#This Row],[AccuracyPct]] &lt; 0.98, "Y", "N")</f>
        <v>N</v>
      </c>
    </row>
    <row r="962" spans="1:9">
      <c r="A962" s="2">
        <v>949</v>
      </c>
      <c r="B962" s="2">
        <v>1</v>
      </c>
      <c r="C962" s="2" t="str">
        <f>_xlfn.XLOOKUP(tbl_kpi[[#This Row],[LocationID]], tbl_location[LocationID], tbl_location[LocationName], "UNMAPPED_LOCATION")</f>
        <v>Tool Crib</v>
      </c>
      <c r="D962" s="2">
        <v>265</v>
      </c>
      <c r="E962" s="2">
        <v>261</v>
      </c>
      <c r="F962" s="2">
        <f>tbl_kpi[[#This Row],[OnHandQty]]</f>
        <v>265</v>
      </c>
      <c r="G962" s="2">
        <f>tbl_kpi[[#This Row],[CountedQty]]-tbl_kpi[[#This Row],[ExpectedQty]]</f>
        <v>-4</v>
      </c>
      <c r="H962" s="2">
        <f>IF(tbl_kpi[[#This Row],[ExpectedQty]]=0, 1, MAX(0, 1 - ABS(tbl_kpi[[#This Row],[VarianceQty]]) / tbl_kpi[[#This Row],[ExpectedQty]]))</f>
        <v>0.98490566037735849</v>
      </c>
      <c r="I962" s="2" t="str">
        <f>IF(tbl_kpi[[#This Row],[AccuracyPct]] &lt; 0.98, "Y", "N")</f>
        <v>N</v>
      </c>
    </row>
    <row r="963" spans="1:9">
      <c r="A963" s="2">
        <v>949</v>
      </c>
      <c r="B963" s="2">
        <v>5</v>
      </c>
      <c r="C963" s="2" t="str">
        <f>_xlfn.XLOOKUP(tbl_kpi[[#This Row],[LocationID]], tbl_location[LocationID], tbl_location[LocationName], "UNMAPPED_LOCATION")</f>
        <v>Metal Storage</v>
      </c>
      <c r="D963" s="2">
        <v>336</v>
      </c>
      <c r="E963" s="2">
        <v>343</v>
      </c>
      <c r="F963" s="2">
        <f>tbl_kpi[[#This Row],[OnHandQty]]</f>
        <v>336</v>
      </c>
      <c r="G963" s="2">
        <f>tbl_kpi[[#This Row],[CountedQty]]-tbl_kpi[[#This Row],[ExpectedQty]]</f>
        <v>7</v>
      </c>
      <c r="H963" s="2">
        <f>IF(tbl_kpi[[#This Row],[ExpectedQty]]=0, 1, MAX(0, 1 - ABS(tbl_kpi[[#This Row],[VarianceQty]]) / tbl_kpi[[#This Row],[ExpectedQty]]))</f>
        <v>0.97916666666666663</v>
      </c>
      <c r="I963" s="2" t="str">
        <f>IF(tbl_kpi[[#This Row],[AccuracyPct]] &lt; 0.98, "Y", "N")</f>
        <v>Y</v>
      </c>
    </row>
    <row r="964" spans="1:9">
      <c r="A964" s="2">
        <v>949</v>
      </c>
      <c r="B964" s="2">
        <v>50</v>
      </c>
      <c r="C964" s="2" t="str">
        <f>_xlfn.XLOOKUP(tbl_kpi[[#This Row],[LocationID]], tbl_location[LocationID], tbl_location[LocationName], "UNMAPPED_LOCATION")</f>
        <v>Subassembly</v>
      </c>
      <c r="D964" s="2">
        <v>284</v>
      </c>
      <c r="E964" s="2">
        <v>281</v>
      </c>
      <c r="F964" s="2">
        <f>tbl_kpi[[#This Row],[OnHandQty]]</f>
        <v>284</v>
      </c>
      <c r="G964" s="2">
        <f>tbl_kpi[[#This Row],[CountedQty]]-tbl_kpi[[#This Row],[ExpectedQty]]</f>
        <v>-3</v>
      </c>
      <c r="H964" s="2">
        <f>IF(tbl_kpi[[#This Row],[ExpectedQty]]=0, 1, MAX(0, 1 - ABS(tbl_kpi[[#This Row],[VarianceQty]]) / tbl_kpi[[#This Row],[ExpectedQty]]))</f>
        <v>0.98943661971830987</v>
      </c>
      <c r="I964" s="2" t="str">
        <f>IF(tbl_kpi[[#This Row],[AccuracyPct]] &lt; 0.98, "Y", "N")</f>
        <v>N</v>
      </c>
    </row>
    <row r="965" spans="1:9">
      <c r="A965" s="2">
        <v>950</v>
      </c>
      <c r="B965" s="2">
        <v>1</v>
      </c>
      <c r="C965" s="2" t="str">
        <f>_xlfn.XLOOKUP(tbl_kpi[[#This Row],[LocationID]], tbl_location[LocationID], tbl_location[LocationName], "UNMAPPED_LOCATION")</f>
        <v>Tool Crib</v>
      </c>
      <c r="D965" s="2">
        <v>272</v>
      </c>
      <c r="E965" s="2">
        <v>274</v>
      </c>
      <c r="F965" s="2">
        <f>tbl_kpi[[#This Row],[OnHandQty]]</f>
        <v>272</v>
      </c>
      <c r="G965" s="2">
        <f>tbl_kpi[[#This Row],[CountedQty]]-tbl_kpi[[#This Row],[ExpectedQty]]</f>
        <v>2</v>
      </c>
      <c r="H965" s="2">
        <f>IF(tbl_kpi[[#This Row],[ExpectedQty]]=0, 1, MAX(0, 1 - ABS(tbl_kpi[[#This Row],[VarianceQty]]) / tbl_kpi[[#This Row],[ExpectedQty]]))</f>
        <v>0.99264705882352944</v>
      </c>
      <c r="I965" s="2" t="str">
        <f>IF(tbl_kpi[[#This Row],[AccuracyPct]] &lt; 0.98, "Y", "N")</f>
        <v>N</v>
      </c>
    </row>
    <row r="966" spans="1:9">
      <c r="A966" s="2">
        <v>950</v>
      </c>
      <c r="B966" s="2">
        <v>5</v>
      </c>
      <c r="C966" s="2" t="str">
        <f>_xlfn.XLOOKUP(tbl_kpi[[#This Row],[LocationID]], tbl_location[LocationID], tbl_location[LocationName], "UNMAPPED_LOCATION")</f>
        <v>Metal Storage</v>
      </c>
      <c r="D966" s="2">
        <v>342</v>
      </c>
      <c r="E966" s="2">
        <v>340</v>
      </c>
      <c r="F966" s="2">
        <f>tbl_kpi[[#This Row],[OnHandQty]]</f>
        <v>342</v>
      </c>
      <c r="G966" s="2">
        <f>tbl_kpi[[#This Row],[CountedQty]]-tbl_kpi[[#This Row],[ExpectedQty]]</f>
        <v>-2</v>
      </c>
      <c r="H966" s="2">
        <f>IF(tbl_kpi[[#This Row],[ExpectedQty]]=0, 1, MAX(0, 1 - ABS(tbl_kpi[[#This Row],[VarianceQty]]) / tbl_kpi[[#This Row],[ExpectedQty]]))</f>
        <v>0.99415204678362579</v>
      </c>
      <c r="I966" s="2" t="str">
        <f>IF(tbl_kpi[[#This Row],[AccuracyPct]] &lt; 0.98, "Y", "N")</f>
        <v>N</v>
      </c>
    </row>
    <row r="967" spans="1:9">
      <c r="A967" s="2">
        <v>950</v>
      </c>
      <c r="B967" s="2">
        <v>50</v>
      </c>
      <c r="C967" s="2" t="str">
        <f>_xlfn.XLOOKUP(tbl_kpi[[#This Row],[LocationID]], tbl_location[LocationID], tbl_location[LocationName], "UNMAPPED_LOCATION")</f>
        <v>Subassembly</v>
      </c>
      <c r="D967" s="2">
        <v>291</v>
      </c>
      <c r="E967" s="2">
        <v>291</v>
      </c>
      <c r="F967" s="2">
        <f>tbl_kpi[[#This Row],[OnHandQty]]</f>
        <v>291</v>
      </c>
      <c r="G967" s="2">
        <f>tbl_kpi[[#This Row],[CountedQty]]-tbl_kpi[[#This Row],[ExpectedQty]]</f>
        <v>0</v>
      </c>
      <c r="H967" s="2">
        <f>IF(tbl_kpi[[#This Row],[ExpectedQty]]=0, 1, MAX(0, 1 - ABS(tbl_kpi[[#This Row],[VarianceQty]]) / tbl_kpi[[#This Row],[ExpectedQty]]))</f>
        <v>1</v>
      </c>
      <c r="I967" s="2" t="str">
        <f>IF(tbl_kpi[[#This Row],[AccuracyPct]] &lt; 0.98, "Y", "N")</f>
        <v>N</v>
      </c>
    </row>
    <row r="968" spans="1:9">
      <c r="A968" s="2">
        <v>951</v>
      </c>
      <c r="B968" s="2">
        <v>1</v>
      </c>
      <c r="C968" s="2" t="str">
        <f>_xlfn.XLOOKUP(tbl_kpi[[#This Row],[LocationID]], tbl_location[LocationID], tbl_location[LocationName], "UNMAPPED_LOCATION")</f>
        <v>Tool Crib</v>
      </c>
      <c r="D968" s="2">
        <v>278</v>
      </c>
      <c r="E968" s="2">
        <v>285</v>
      </c>
      <c r="F968" s="2">
        <f>tbl_kpi[[#This Row],[OnHandQty]]</f>
        <v>278</v>
      </c>
      <c r="G968" s="2">
        <f>tbl_kpi[[#This Row],[CountedQty]]-tbl_kpi[[#This Row],[ExpectedQty]]</f>
        <v>7</v>
      </c>
      <c r="H968" s="2">
        <f>IF(tbl_kpi[[#This Row],[ExpectedQty]]=0, 1, MAX(0, 1 - ABS(tbl_kpi[[#This Row],[VarianceQty]]) / tbl_kpi[[#This Row],[ExpectedQty]]))</f>
        <v>0.97482014388489213</v>
      </c>
      <c r="I968" s="2" t="str">
        <f>IF(tbl_kpi[[#This Row],[AccuracyPct]] &lt; 0.98, "Y", "N")</f>
        <v>Y</v>
      </c>
    </row>
    <row r="969" spans="1:9">
      <c r="A969" s="2">
        <v>951</v>
      </c>
      <c r="B969" s="2">
        <v>5</v>
      </c>
      <c r="C969" s="2" t="str">
        <f>_xlfn.XLOOKUP(tbl_kpi[[#This Row],[LocationID]], tbl_location[LocationID], tbl_location[LocationName], "UNMAPPED_LOCATION")</f>
        <v>Metal Storage</v>
      </c>
      <c r="D969" s="2">
        <v>348</v>
      </c>
      <c r="E969" s="2">
        <v>353</v>
      </c>
      <c r="F969" s="2">
        <f>tbl_kpi[[#This Row],[OnHandQty]]</f>
        <v>348</v>
      </c>
      <c r="G969" s="2">
        <f>tbl_kpi[[#This Row],[CountedQty]]-tbl_kpi[[#This Row],[ExpectedQty]]</f>
        <v>5</v>
      </c>
      <c r="H969" s="2">
        <f>IF(tbl_kpi[[#This Row],[ExpectedQty]]=0, 1, MAX(0, 1 - ABS(tbl_kpi[[#This Row],[VarianceQty]]) / tbl_kpi[[#This Row],[ExpectedQty]]))</f>
        <v>0.98563218390804597</v>
      </c>
      <c r="I969" s="2" t="str">
        <f>IF(tbl_kpi[[#This Row],[AccuracyPct]] &lt; 0.98, "Y", "N")</f>
        <v>N</v>
      </c>
    </row>
    <row r="970" spans="1:9">
      <c r="A970" s="2">
        <v>951</v>
      </c>
      <c r="B970" s="2">
        <v>50</v>
      </c>
      <c r="C970" s="2" t="str">
        <f>_xlfn.XLOOKUP(tbl_kpi[[#This Row],[LocationID]], tbl_location[LocationID], tbl_location[LocationName], "UNMAPPED_LOCATION")</f>
        <v>Subassembly</v>
      </c>
      <c r="D970" s="2">
        <v>297</v>
      </c>
      <c r="E970" s="2">
        <v>297</v>
      </c>
      <c r="F970" s="2">
        <f>tbl_kpi[[#This Row],[OnHandQty]]</f>
        <v>297</v>
      </c>
      <c r="G970" s="2">
        <f>tbl_kpi[[#This Row],[CountedQty]]-tbl_kpi[[#This Row],[ExpectedQty]]</f>
        <v>0</v>
      </c>
      <c r="H970" s="2">
        <f>IF(tbl_kpi[[#This Row],[ExpectedQty]]=0, 1, MAX(0, 1 - ABS(tbl_kpi[[#This Row],[VarianceQty]]) / tbl_kpi[[#This Row],[ExpectedQty]]))</f>
        <v>1</v>
      </c>
      <c r="I970" s="2" t="str">
        <f>IF(tbl_kpi[[#This Row],[AccuracyPct]] &lt; 0.98, "Y", "N")</f>
        <v>N</v>
      </c>
    </row>
    <row r="971" spans="1:9">
      <c r="A971" s="2">
        <v>952</v>
      </c>
      <c r="B971" s="2">
        <v>1</v>
      </c>
      <c r="C971" s="2" t="str">
        <f>_xlfn.XLOOKUP(tbl_kpi[[#This Row],[LocationID]], tbl_location[LocationID], tbl_location[LocationName], "UNMAPPED_LOCATION")</f>
        <v>Tool Crib</v>
      </c>
      <c r="D971" s="2">
        <v>236</v>
      </c>
      <c r="E971" s="2">
        <v>238</v>
      </c>
      <c r="F971" s="2">
        <f>tbl_kpi[[#This Row],[OnHandQty]]</f>
        <v>236</v>
      </c>
      <c r="G971" s="2">
        <f>tbl_kpi[[#This Row],[CountedQty]]-tbl_kpi[[#This Row],[ExpectedQty]]</f>
        <v>2</v>
      </c>
      <c r="H971" s="2">
        <f>IF(tbl_kpi[[#This Row],[ExpectedQty]]=0, 1, MAX(0, 1 - ABS(tbl_kpi[[#This Row],[VarianceQty]]) / tbl_kpi[[#This Row],[ExpectedQty]]))</f>
        <v>0.99152542372881358</v>
      </c>
      <c r="I971" s="2" t="str">
        <f>IF(tbl_kpi[[#This Row],[AccuracyPct]] &lt; 0.98, "Y", "N")</f>
        <v>N</v>
      </c>
    </row>
    <row r="972" spans="1:9">
      <c r="A972" s="2">
        <v>952</v>
      </c>
      <c r="B972" s="2">
        <v>5</v>
      </c>
      <c r="C972" s="2" t="str">
        <f>_xlfn.XLOOKUP(tbl_kpi[[#This Row],[LocationID]], tbl_location[LocationID], tbl_location[LocationName], "UNMAPPED_LOCATION")</f>
        <v>Metal Storage</v>
      </c>
      <c r="D972" s="2">
        <v>192</v>
      </c>
      <c r="E972" s="2">
        <v>195</v>
      </c>
      <c r="F972" s="2">
        <f>tbl_kpi[[#This Row],[OnHandQty]]</f>
        <v>192</v>
      </c>
      <c r="G972" s="2">
        <f>tbl_kpi[[#This Row],[CountedQty]]-tbl_kpi[[#This Row],[ExpectedQty]]</f>
        <v>3</v>
      </c>
      <c r="H972" s="2">
        <f>IF(tbl_kpi[[#This Row],[ExpectedQty]]=0, 1, MAX(0, 1 - ABS(tbl_kpi[[#This Row],[VarianceQty]]) / tbl_kpi[[#This Row],[ExpectedQty]]))</f>
        <v>0.984375</v>
      </c>
      <c r="I972" s="2" t="str">
        <f>IF(tbl_kpi[[#This Row],[AccuracyPct]] &lt; 0.98, "Y", "N")</f>
        <v>N</v>
      </c>
    </row>
    <row r="973" spans="1:9">
      <c r="A973" s="2">
        <v>952</v>
      </c>
      <c r="B973" s="2">
        <v>50</v>
      </c>
      <c r="C973" s="2" t="str">
        <f>_xlfn.XLOOKUP(tbl_kpi[[#This Row],[LocationID]], tbl_location[LocationID], tbl_location[LocationName], "UNMAPPED_LOCATION")</f>
        <v>Subassembly</v>
      </c>
      <c r="D973" s="2">
        <v>161</v>
      </c>
      <c r="E973" s="2">
        <v>165</v>
      </c>
      <c r="F973" s="2">
        <f>tbl_kpi[[#This Row],[OnHandQty]]</f>
        <v>161</v>
      </c>
      <c r="G973" s="2">
        <f>tbl_kpi[[#This Row],[CountedQty]]-tbl_kpi[[#This Row],[ExpectedQty]]</f>
        <v>4</v>
      </c>
      <c r="H973" s="2">
        <f>IF(tbl_kpi[[#This Row],[ExpectedQty]]=0, 1, MAX(0, 1 - ABS(tbl_kpi[[#This Row],[VarianceQty]]) / tbl_kpi[[#This Row],[ExpectedQty]]))</f>
        <v>0.97515527950310554</v>
      </c>
      <c r="I973" s="2" t="str">
        <f>IF(tbl_kpi[[#This Row],[AccuracyPct]] &lt; 0.98, "Y", "N")</f>
        <v>Y</v>
      </c>
    </row>
    <row r="974" spans="1:9">
      <c r="A974" s="2">
        <v>953</v>
      </c>
      <c r="B974" s="2">
        <v>7</v>
      </c>
      <c r="C974" s="2" t="str">
        <f>_xlfn.XLOOKUP(tbl_kpi[[#This Row],[LocationID]], tbl_location[LocationID], tbl_location[LocationName], "UNMAPPED_LOCATION")</f>
        <v>Finished Goods Storage</v>
      </c>
      <c r="D974" s="2">
        <v>116</v>
      </c>
      <c r="E974" s="2">
        <v>119</v>
      </c>
      <c r="F974" s="2">
        <f>tbl_kpi[[#This Row],[OnHandQty]]</f>
        <v>116</v>
      </c>
      <c r="G974" s="2">
        <f>tbl_kpi[[#This Row],[CountedQty]]-tbl_kpi[[#This Row],[ExpectedQty]]</f>
        <v>3</v>
      </c>
      <c r="H974" s="2">
        <f>IF(tbl_kpi[[#This Row],[ExpectedQty]]=0, 1, MAX(0, 1 - ABS(tbl_kpi[[#This Row],[VarianceQty]]) / tbl_kpi[[#This Row],[ExpectedQty]]))</f>
        <v>0.97413793103448276</v>
      </c>
      <c r="I974" s="2" t="str">
        <f>IF(tbl_kpi[[#This Row],[AccuracyPct]] &lt; 0.98, "Y", "N")</f>
        <v>Y</v>
      </c>
    </row>
    <row r="975" spans="1:9">
      <c r="A975" s="2">
        <v>953</v>
      </c>
      <c r="B975" s="2">
        <v>60</v>
      </c>
      <c r="C975" s="2" t="str">
        <f>_xlfn.XLOOKUP(tbl_kpi[[#This Row],[LocationID]], tbl_location[LocationID], tbl_location[LocationName], "UNMAPPED_LOCATION")</f>
        <v>Final Assembly</v>
      </c>
      <c r="D975" s="2">
        <v>49</v>
      </c>
      <c r="E975" s="2">
        <v>50</v>
      </c>
      <c r="F975" s="2">
        <f>tbl_kpi[[#This Row],[OnHandQty]]</f>
        <v>49</v>
      </c>
      <c r="G975" s="2">
        <f>tbl_kpi[[#This Row],[CountedQty]]-tbl_kpi[[#This Row],[ExpectedQty]]</f>
        <v>1</v>
      </c>
      <c r="H975" s="2">
        <f>IF(tbl_kpi[[#This Row],[ExpectedQty]]=0, 1, MAX(0, 1 - ABS(tbl_kpi[[#This Row],[VarianceQty]]) / tbl_kpi[[#This Row],[ExpectedQty]]))</f>
        <v>0.97959183673469385</v>
      </c>
      <c r="I975" s="2" t="str">
        <f>IF(tbl_kpi[[#This Row],[AccuracyPct]] &lt; 0.98, "Y", "N")</f>
        <v>Y</v>
      </c>
    </row>
    <row r="976" spans="1:9">
      <c r="A976" s="2">
        <v>954</v>
      </c>
      <c r="B976" s="2">
        <v>7</v>
      </c>
      <c r="C976" s="2" t="str">
        <f>_xlfn.XLOOKUP(tbl_kpi[[#This Row],[LocationID]], tbl_location[LocationID], tbl_location[LocationName], "UNMAPPED_LOCATION")</f>
        <v>Finished Goods Storage</v>
      </c>
      <c r="D976" s="2">
        <v>65</v>
      </c>
      <c r="E976" s="2">
        <v>67</v>
      </c>
      <c r="F976" s="2">
        <f>tbl_kpi[[#This Row],[OnHandQty]]</f>
        <v>65</v>
      </c>
      <c r="G976" s="2">
        <f>tbl_kpi[[#This Row],[CountedQty]]-tbl_kpi[[#This Row],[ExpectedQty]]</f>
        <v>2</v>
      </c>
      <c r="H976" s="2">
        <f>IF(tbl_kpi[[#This Row],[ExpectedQty]]=0, 1, MAX(0, 1 - ABS(tbl_kpi[[#This Row],[VarianceQty]]) / tbl_kpi[[#This Row],[ExpectedQty]]))</f>
        <v>0.96923076923076923</v>
      </c>
      <c r="I976" s="2" t="str">
        <f>IF(tbl_kpi[[#This Row],[AccuracyPct]] &lt; 0.98, "Y", "N")</f>
        <v>Y</v>
      </c>
    </row>
    <row r="977" spans="1:9">
      <c r="A977" s="2">
        <v>954</v>
      </c>
      <c r="B977" s="2">
        <v>60</v>
      </c>
      <c r="C977" s="2" t="str">
        <f>_xlfn.XLOOKUP(tbl_kpi[[#This Row],[LocationID]], tbl_location[LocationID], tbl_location[LocationName], "UNMAPPED_LOCATION")</f>
        <v>Final Assembly</v>
      </c>
      <c r="D977" s="2">
        <v>83</v>
      </c>
      <c r="E977" s="2">
        <v>81</v>
      </c>
      <c r="F977" s="2">
        <f>tbl_kpi[[#This Row],[OnHandQty]]</f>
        <v>83</v>
      </c>
      <c r="G977" s="2">
        <f>tbl_kpi[[#This Row],[CountedQty]]-tbl_kpi[[#This Row],[ExpectedQty]]</f>
        <v>-2</v>
      </c>
      <c r="H977" s="2">
        <f>IF(tbl_kpi[[#This Row],[ExpectedQty]]=0, 1, MAX(0, 1 - ABS(tbl_kpi[[#This Row],[VarianceQty]]) / tbl_kpi[[#This Row],[ExpectedQty]]))</f>
        <v>0.97590361445783136</v>
      </c>
      <c r="I977" s="2" t="str">
        <f>IF(tbl_kpi[[#This Row],[AccuracyPct]] &lt; 0.98, "Y", "N")</f>
        <v>Y</v>
      </c>
    </row>
    <row r="978" spans="1:9">
      <c r="A978" s="2">
        <v>955</v>
      </c>
      <c r="B978" s="2">
        <v>7</v>
      </c>
      <c r="C978" s="2" t="str">
        <f>_xlfn.XLOOKUP(tbl_kpi[[#This Row],[LocationID]], tbl_location[LocationID], tbl_location[LocationName], "UNMAPPED_LOCATION")</f>
        <v>Finished Goods Storage</v>
      </c>
      <c r="D978" s="2">
        <v>75</v>
      </c>
      <c r="E978" s="2">
        <v>73</v>
      </c>
      <c r="F978" s="2">
        <f>tbl_kpi[[#This Row],[OnHandQty]]</f>
        <v>75</v>
      </c>
      <c r="G978" s="2">
        <f>tbl_kpi[[#This Row],[CountedQty]]-tbl_kpi[[#This Row],[ExpectedQty]]</f>
        <v>-2</v>
      </c>
      <c r="H978" s="2">
        <f>IF(tbl_kpi[[#This Row],[ExpectedQty]]=0, 1, MAX(0, 1 - ABS(tbl_kpi[[#This Row],[VarianceQty]]) / tbl_kpi[[#This Row],[ExpectedQty]]))</f>
        <v>0.97333333333333338</v>
      </c>
      <c r="I978" s="2" t="str">
        <f>IF(tbl_kpi[[#This Row],[AccuracyPct]] &lt; 0.98, "Y", "N")</f>
        <v>Y</v>
      </c>
    </row>
    <row r="979" spans="1:9">
      <c r="A979" s="2">
        <v>955</v>
      </c>
      <c r="B979" s="2">
        <v>60</v>
      </c>
      <c r="C979" s="2" t="str">
        <f>_xlfn.XLOOKUP(tbl_kpi[[#This Row],[LocationID]], tbl_location[LocationID], tbl_location[LocationName], "UNMAPPED_LOCATION")</f>
        <v>Final Assembly</v>
      </c>
      <c r="D979" s="2">
        <v>62</v>
      </c>
      <c r="E979" s="2">
        <v>62</v>
      </c>
      <c r="F979" s="2">
        <f>tbl_kpi[[#This Row],[OnHandQty]]</f>
        <v>62</v>
      </c>
      <c r="G979" s="2">
        <f>tbl_kpi[[#This Row],[CountedQty]]-tbl_kpi[[#This Row],[ExpectedQty]]</f>
        <v>0</v>
      </c>
      <c r="H979" s="2">
        <f>IF(tbl_kpi[[#This Row],[ExpectedQty]]=0, 1, MAX(0, 1 - ABS(tbl_kpi[[#This Row],[VarianceQty]]) / tbl_kpi[[#This Row],[ExpectedQty]]))</f>
        <v>1</v>
      </c>
      <c r="I979" s="2" t="str">
        <f>IF(tbl_kpi[[#This Row],[AccuracyPct]] &lt; 0.98, "Y", "N")</f>
        <v>N</v>
      </c>
    </row>
    <row r="980" spans="1:9">
      <c r="A980" s="2">
        <v>956</v>
      </c>
      <c r="B980" s="2">
        <v>7</v>
      </c>
      <c r="C980" s="2" t="str">
        <f>_xlfn.XLOOKUP(tbl_kpi[[#This Row],[LocationID]], tbl_location[LocationID], tbl_location[LocationName], "UNMAPPED_LOCATION")</f>
        <v>Finished Goods Storage</v>
      </c>
      <c r="D980" s="2">
        <v>35</v>
      </c>
      <c r="E980" s="2">
        <v>35</v>
      </c>
      <c r="F980" s="2">
        <f>tbl_kpi[[#This Row],[OnHandQty]]</f>
        <v>35</v>
      </c>
      <c r="G980" s="2">
        <f>tbl_kpi[[#This Row],[CountedQty]]-tbl_kpi[[#This Row],[ExpectedQty]]</f>
        <v>0</v>
      </c>
      <c r="H980" s="2">
        <f>IF(tbl_kpi[[#This Row],[ExpectedQty]]=0, 1, MAX(0, 1 - ABS(tbl_kpi[[#This Row],[VarianceQty]]) / tbl_kpi[[#This Row],[ExpectedQty]]))</f>
        <v>1</v>
      </c>
      <c r="I980" s="2" t="str">
        <f>IF(tbl_kpi[[#This Row],[AccuracyPct]] &lt; 0.98, "Y", "N")</f>
        <v>N</v>
      </c>
    </row>
    <row r="981" spans="1:9">
      <c r="A981" s="2">
        <v>956</v>
      </c>
      <c r="B981" s="2">
        <v>60</v>
      </c>
      <c r="C981" s="2" t="str">
        <f>_xlfn.XLOOKUP(tbl_kpi[[#This Row],[LocationID]], tbl_location[LocationID], tbl_location[LocationName], "UNMAPPED_LOCATION")</f>
        <v>Final Assembly</v>
      </c>
      <c r="D981" s="2">
        <v>40</v>
      </c>
      <c r="E981" s="2">
        <v>39</v>
      </c>
      <c r="F981" s="2">
        <f>tbl_kpi[[#This Row],[OnHandQty]]</f>
        <v>40</v>
      </c>
      <c r="G981" s="2">
        <f>tbl_kpi[[#This Row],[CountedQty]]-tbl_kpi[[#This Row],[ExpectedQty]]</f>
        <v>-1</v>
      </c>
      <c r="H981" s="2">
        <f>IF(tbl_kpi[[#This Row],[ExpectedQty]]=0, 1, MAX(0, 1 - ABS(tbl_kpi[[#This Row],[VarianceQty]]) / tbl_kpi[[#This Row],[ExpectedQty]]))</f>
        <v>0.97499999999999998</v>
      </c>
      <c r="I981" s="2" t="str">
        <f>IF(tbl_kpi[[#This Row],[AccuracyPct]] &lt; 0.98, "Y", "N")</f>
        <v>Y</v>
      </c>
    </row>
    <row r="982" spans="1:9">
      <c r="A982" s="2">
        <v>957</v>
      </c>
      <c r="B982" s="2">
        <v>7</v>
      </c>
      <c r="C982" s="2" t="str">
        <f>_xlfn.XLOOKUP(tbl_kpi[[#This Row],[LocationID]], tbl_location[LocationID], tbl_location[LocationName], "UNMAPPED_LOCATION")</f>
        <v>Finished Goods Storage</v>
      </c>
      <c r="D982" s="2">
        <v>51</v>
      </c>
      <c r="E982" s="2">
        <v>50</v>
      </c>
      <c r="F982" s="2">
        <f>tbl_kpi[[#This Row],[OnHandQty]]</f>
        <v>51</v>
      </c>
      <c r="G982" s="2">
        <f>tbl_kpi[[#This Row],[CountedQty]]-tbl_kpi[[#This Row],[ExpectedQty]]</f>
        <v>-1</v>
      </c>
      <c r="H982" s="2">
        <f>IF(tbl_kpi[[#This Row],[ExpectedQty]]=0, 1, MAX(0, 1 - ABS(tbl_kpi[[#This Row],[VarianceQty]]) / tbl_kpi[[#This Row],[ExpectedQty]]))</f>
        <v>0.98039215686274506</v>
      </c>
      <c r="I982" s="2" t="str">
        <f>IF(tbl_kpi[[#This Row],[AccuracyPct]] &lt; 0.98, "Y", "N")</f>
        <v>N</v>
      </c>
    </row>
    <row r="983" spans="1:9">
      <c r="A983" s="2">
        <v>957</v>
      </c>
      <c r="B983" s="2">
        <v>60</v>
      </c>
      <c r="C983" s="2" t="str">
        <f>_xlfn.XLOOKUP(tbl_kpi[[#This Row],[LocationID]], tbl_location[LocationID], tbl_location[LocationName], "UNMAPPED_LOCATION")</f>
        <v>Final Assembly</v>
      </c>
      <c r="D983" s="2">
        <v>100</v>
      </c>
      <c r="E983" s="2">
        <v>100</v>
      </c>
      <c r="F983" s="2">
        <f>tbl_kpi[[#This Row],[OnHandQty]]</f>
        <v>100</v>
      </c>
      <c r="G983" s="2">
        <f>tbl_kpi[[#This Row],[CountedQty]]-tbl_kpi[[#This Row],[ExpectedQty]]</f>
        <v>0</v>
      </c>
      <c r="H983" s="2">
        <f>IF(tbl_kpi[[#This Row],[ExpectedQty]]=0, 1, MAX(0, 1 - ABS(tbl_kpi[[#This Row],[VarianceQty]]) / tbl_kpi[[#This Row],[ExpectedQty]]))</f>
        <v>1</v>
      </c>
      <c r="I983" s="2" t="str">
        <f>IF(tbl_kpi[[#This Row],[AccuracyPct]] &lt; 0.98, "Y", "N")</f>
        <v>N</v>
      </c>
    </row>
    <row r="984" spans="1:9">
      <c r="A984" s="2">
        <v>958</v>
      </c>
      <c r="B984" s="2">
        <v>7</v>
      </c>
      <c r="C984" s="2" t="str">
        <f>_xlfn.XLOOKUP(tbl_kpi[[#This Row],[LocationID]], tbl_location[LocationID], tbl_location[LocationName], "UNMAPPED_LOCATION")</f>
        <v>Finished Goods Storage</v>
      </c>
      <c r="D984" s="2">
        <v>128</v>
      </c>
      <c r="E984" s="2">
        <v>129</v>
      </c>
      <c r="F984" s="2">
        <f>tbl_kpi[[#This Row],[OnHandQty]]</f>
        <v>128</v>
      </c>
      <c r="G984" s="2">
        <f>tbl_kpi[[#This Row],[CountedQty]]-tbl_kpi[[#This Row],[ExpectedQty]]</f>
        <v>1</v>
      </c>
      <c r="H984" s="2">
        <f>IF(tbl_kpi[[#This Row],[ExpectedQty]]=0, 1, MAX(0, 1 - ABS(tbl_kpi[[#This Row],[VarianceQty]]) / tbl_kpi[[#This Row],[ExpectedQty]]))</f>
        <v>0.9921875</v>
      </c>
      <c r="I984" s="2" t="str">
        <f>IF(tbl_kpi[[#This Row],[AccuracyPct]] &lt; 0.98, "Y", "N")</f>
        <v>N</v>
      </c>
    </row>
    <row r="985" spans="1:9">
      <c r="A985" s="2">
        <v>958</v>
      </c>
      <c r="B985" s="2">
        <v>60</v>
      </c>
      <c r="C985" s="2" t="str">
        <f>_xlfn.XLOOKUP(tbl_kpi[[#This Row],[LocationID]], tbl_location[LocationID], tbl_location[LocationName], "UNMAPPED_LOCATION")</f>
        <v>Final Assembly</v>
      </c>
      <c r="D985" s="2">
        <v>35</v>
      </c>
      <c r="E985" s="2">
        <v>36</v>
      </c>
      <c r="F985" s="2">
        <f>tbl_kpi[[#This Row],[OnHandQty]]</f>
        <v>35</v>
      </c>
      <c r="G985" s="2">
        <f>tbl_kpi[[#This Row],[CountedQty]]-tbl_kpi[[#This Row],[ExpectedQty]]</f>
        <v>1</v>
      </c>
      <c r="H985" s="2">
        <f>IF(tbl_kpi[[#This Row],[ExpectedQty]]=0, 1, MAX(0, 1 - ABS(tbl_kpi[[#This Row],[VarianceQty]]) / tbl_kpi[[#This Row],[ExpectedQty]]))</f>
        <v>0.97142857142857142</v>
      </c>
      <c r="I985" s="2" t="str">
        <f>IF(tbl_kpi[[#This Row],[AccuracyPct]] &lt; 0.98, "Y", "N")</f>
        <v>Y</v>
      </c>
    </row>
    <row r="986" spans="1:9">
      <c r="A986" s="2">
        <v>959</v>
      </c>
      <c r="B986" s="2">
        <v>7</v>
      </c>
      <c r="C986" s="2" t="str">
        <f>_xlfn.XLOOKUP(tbl_kpi[[#This Row],[LocationID]], tbl_location[LocationID], tbl_location[LocationName], "UNMAPPED_LOCATION")</f>
        <v>Finished Goods Storage</v>
      </c>
      <c r="D986" s="2">
        <v>83</v>
      </c>
      <c r="E986" s="2">
        <v>83</v>
      </c>
      <c r="F986" s="2">
        <f>tbl_kpi[[#This Row],[OnHandQty]]</f>
        <v>83</v>
      </c>
      <c r="G986" s="2">
        <f>tbl_kpi[[#This Row],[CountedQty]]-tbl_kpi[[#This Row],[ExpectedQty]]</f>
        <v>0</v>
      </c>
      <c r="H986" s="2">
        <f>IF(tbl_kpi[[#This Row],[ExpectedQty]]=0, 1, MAX(0, 1 - ABS(tbl_kpi[[#This Row],[VarianceQty]]) / tbl_kpi[[#This Row],[ExpectedQty]]))</f>
        <v>1</v>
      </c>
      <c r="I986" s="2" t="str">
        <f>IF(tbl_kpi[[#This Row],[AccuracyPct]] &lt; 0.98, "Y", "N")</f>
        <v>N</v>
      </c>
    </row>
    <row r="987" spans="1:9">
      <c r="A987" s="2">
        <v>959</v>
      </c>
      <c r="B987" s="2">
        <v>60</v>
      </c>
      <c r="C987" s="2" t="str">
        <f>_xlfn.XLOOKUP(tbl_kpi[[#This Row],[LocationID]], tbl_location[LocationID], tbl_location[LocationName], "UNMAPPED_LOCATION")</f>
        <v>Final Assembly</v>
      </c>
      <c r="D987" s="2">
        <v>121</v>
      </c>
      <c r="E987" s="2">
        <v>119</v>
      </c>
      <c r="F987" s="2">
        <f>tbl_kpi[[#This Row],[OnHandQty]]</f>
        <v>121</v>
      </c>
      <c r="G987" s="2">
        <f>tbl_kpi[[#This Row],[CountedQty]]-tbl_kpi[[#This Row],[ExpectedQty]]</f>
        <v>-2</v>
      </c>
      <c r="H987" s="2">
        <f>IF(tbl_kpi[[#This Row],[ExpectedQty]]=0, 1, MAX(0, 1 - ABS(tbl_kpi[[#This Row],[VarianceQty]]) / tbl_kpi[[#This Row],[ExpectedQty]]))</f>
        <v>0.98347107438016534</v>
      </c>
      <c r="I987" s="2" t="str">
        <f>IF(tbl_kpi[[#This Row],[AccuracyPct]] &lt; 0.98, "Y", "N")</f>
        <v>N</v>
      </c>
    </row>
    <row r="988" spans="1:9">
      <c r="A988" s="2">
        <v>960</v>
      </c>
      <c r="B988" s="2">
        <v>7</v>
      </c>
      <c r="C988" s="2" t="str">
        <f>_xlfn.XLOOKUP(tbl_kpi[[#This Row],[LocationID]], tbl_location[LocationID], tbl_location[LocationName], "UNMAPPED_LOCATION")</f>
        <v>Finished Goods Storage</v>
      </c>
      <c r="D988" s="2">
        <v>54</v>
      </c>
      <c r="E988" s="2">
        <v>54</v>
      </c>
      <c r="F988" s="2">
        <f>tbl_kpi[[#This Row],[OnHandQty]]</f>
        <v>54</v>
      </c>
      <c r="G988" s="2">
        <f>tbl_kpi[[#This Row],[CountedQty]]-tbl_kpi[[#This Row],[ExpectedQty]]</f>
        <v>0</v>
      </c>
      <c r="H988" s="2">
        <f>IF(tbl_kpi[[#This Row],[ExpectedQty]]=0, 1, MAX(0, 1 - ABS(tbl_kpi[[#This Row],[VarianceQty]]) / tbl_kpi[[#This Row],[ExpectedQty]]))</f>
        <v>1</v>
      </c>
      <c r="I988" s="2" t="str">
        <f>IF(tbl_kpi[[#This Row],[AccuracyPct]] &lt; 0.98, "Y", "N")</f>
        <v>N</v>
      </c>
    </row>
    <row r="989" spans="1:9">
      <c r="A989" s="2">
        <v>960</v>
      </c>
      <c r="B989" s="2">
        <v>60</v>
      </c>
      <c r="C989" s="2" t="str">
        <f>_xlfn.XLOOKUP(tbl_kpi[[#This Row],[LocationID]], tbl_location[LocationID], tbl_location[LocationName], "UNMAPPED_LOCATION")</f>
        <v>Final Assembly</v>
      </c>
      <c r="D989" s="2">
        <v>105</v>
      </c>
      <c r="E989" s="2">
        <v>103</v>
      </c>
      <c r="F989" s="2">
        <f>tbl_kpi[[#This Row],[OnHandQty]]</f>
        <v>105</v>
      </c>
      <c r="G989" s="2">
        <f>tbl_kpi[[#This Row],[CountedQty]]-tbl_kpi[[#This Row],[ExpectedQty]]</f>
        <v>-2</v>
      </c>
      <c r="H989" s="2">
        <f>IF(tbl_kpi[[#This Row],[ExpectedQty]]=0, 1, MAX(0, 1 - ABS(tbl_kpi[[#This Row],[VarianceQty]]) / tbl_kpi[[#This Row],[ExpectedQty]]))</f>
        <v>0.98095238095238091</v>
      </c>
      <c r="I989" s="2" t="str">
        <f>IF(tbl_kpi[[#This Row],[AccuracyPct]] &lt; 0.98, "Y", "N")</f>
        <v>N</v>
      </c>
    </row>
    <row r="990" spans="1:9">
      <c r="A990" s="2">
        <v>961</v>
      </c>
      <c r="B990" s="2">
        <v>7</v>
      </c>
      <c r="C990" s="2" t="str">
        <f>_xlfn.XLOOKUP(tbl_kpi[[#This Row],[LocationID]], tbl_location[LocationID], tbl_location[LocationName], "UNMAPPED_LOCATION")</f>
        <v>Finished Goods Storage</v>
      </c>
      <c r="D990" s="2">
        <v>88</v>
      </c>
      <c r="E990" s="2">
        <v>90</v>
      </c>
      <c r="F990" s="2">
        <f>tbl_kpi[[#This Row],[OnHandQty]]</f>
        <v>88</v>
      </c>
      <c r="G990" s="2">
        <f>tbl_kpi[[#This Row],[CountedQty]]-tbl_kpi[[#This Row],[ExpectedQty]]</f>
        <v>2</v>
      </c>
      <c r="H990" s="2">
        <f>IF(tbl_kpi[[#This Row],[ExpectedQty]]=0, 1, MAX(0, 1 - ABS(tbl_kpi[[#This Row],[VarianceQty]]) / tbl_kpi[[#This Row],[ExpectedQty]]))</f>
        <v>0.97727272727272729</v>
      </c>
      <c r="I990" s="2" t="str">
        <f>IF(tbl_kpi[[#This Row],[AccuracyPct]] &lt; 0.98, "Y", "N")</f>
        <v>Y</v>
      </c>
    </row>
    <row r="991" spans="1:9">
      <c r="A991" s="2">
        <v>961</v>
      </c>
      <c r="B991" s="2">
        <v>60</v>
      </c>
      <c r="C991" s="2" t="str">
        <f>_xlfn.XLOOKUP(tbl_kpi[[#This Row],[LocationID]], tbl_location[LocationID], tbl_location[LocationName], "UNMAPPED_LOCATION")</f>
        <v>Final Assembly</v>
      </c>
      <c r="D991" s="2">
        <v>80</v>
      </c>
      <c r="E991" s="2">
        <v>81</v>
      </c>
      <c r="F991" s="2">
        <f>tbl_kpi[[#This Row],[OnHandQty]]</f>
        <v>80</v>
      </c>
      <c r="G991" s="2">
        <f>tbl_kpi[[#This Row],[CountedQty]]-tbl_kpi[[#This Row],[ExpectedQty]]</f>
        <v>1</v>
      </c>
      <c r="H991" s="2">
        <f>IF(tbl_kpi[[#This Row],[ExpectedQty]]=0, 1, MAX(0, 1 - ABS(tbl_kpi[[#This Row],[VarianceQty]]) / tbl_kpi[[#This Row],[ExpectedQty]]))</f>
        <v>0.98750000000000004</v>
      </c>
      <c r="I991" s="2" t="str">
        <f>IF(tbl_kpi[[#This Row],[AccuracyPct]] &lt; 0.98, "Y", "N")</f>
        <v>N</v>
      </c>
    </row>
    <row r="992" spans="1:9">
      <c r="A992" s="2">
        <v>962</v>
      </c>
      <c r="B992" s="2">
        <v>7</v>
      </c>
      <c r="C992" s="2" t="str">
        <f>_xlfn.XLOOKUP(tbl_kpi[[#This Row],[LocationID]], tbl_location[LocationID], tbl_location[LocationName], "UNMAPPED_LOCATION")</f>
        <v>Finished Goods Storage</v>
      </c>
      <c r="D992" s="2">
        <v>67</v>
      </c>
      <c r="E992" s="2">
        <v>65</v>
      </c>
      <c r="F992" s="2">
        <f>tbl_kpi[[#This Row],[OnHandQty]]</f>
        <v>67</v>
      </c>
      <c r="G992" s="2">
        <f>tbl_kpi[[#This Row],[CountedQty]]-tbl_kpi[[#This Row],[ExpectedQty]]</f>
        <v>-2</v>
      </c>
      <c r="H992" s="2">
        <f>IF(tbl_kpi[[#This Row],[ExpectedQty]]=0, 1, MAX(0, 1 - ABS(tbl_kpi[[#This Row],[VarianceQty]]) / tbl_kpi[[#This Row],[ExpectedQty]]))</f>
        <v>0.97014925373134331</v>
      </c>
      <c r="I992" s="2" t="str">
        <f>IF(tbl_kpi[[#This Row],[AccuracyPct]] &lt; 0.98, "Y", "N")</f>
        <v>Y</v>
      </c>
    </row>
    <row r="993" spans="1:9">
      <c r="A993" s="2">
        <v>962</v>
      </c>
      <c r="B993" s="2">
        <v>60</v>
      </c>
      <c r="C993" s="2" t="str">
        <f>_xlfn.XLOOKUP(tbl_kpi[[#This Row],[LocationID]], tbl_location[LocationID], tbl_location[LocationName], "UNMAPPED_LOCATION")</f>
        <v>Final Assembly</v>
      </c>
      <c r="D993" s="2">
        <v>107</v>
      </c>
      <c r="E993" s="2">
        <v>107</v>
      </c>
      <c r="F993" s="2">
        <f>tbl_kpi[[#This Row],[OnHandQty]]</f>
        <v>107</v>
      </c>
      <c r="G993" s="2">
        <f>tbl_kpi[[#This Row],[CountedQty]]-tbl_kpi[[#This Row],[ExpectedQty]]</f>
        <v>0</v>
      </c>
      <c r="H993" s="2">
        <f>IF(tbl_kpi[[#This Row],[ExpectedQty]]=0, 1, MAX(0, 1 - ABS(tbl_kpi[[#This Row],[VarianceQty]]) / tbl_kpi[[#This Row],[ExpectedQty]]))</f>
        <v>1</v>
      </c>
      <c r="I993" s="2" t="str">
        <f>IF(tbl_kpi[[#This Row],[AccuracyPct]] &lt; 0.98, "Y", "N")</f>
        <v>N</v>
      </c>
    </row>
    <row r="994" spans="1:9">
      <c r="A994" s="2">
        <v>963</v>
      </c>
      <c r="B994" s="2">
        <v>7</v>
      </c>
      <c r="C994" s="2" t="str">
        <f>_xlfn.XLOOKUP(tbl_kpi[[#This Row],[LocationID]], tbl_location[LocationID], tbl_location[LocationName], "UNMAPPED_LOCATION")</f>
        <v>Finished Goods Storage</v>
      </c>
      <c r="D994" s="2">
        <v>126</v>
      </c>
      <c r="E994" s="2">
        <v>124</v>
      </c>
      <c r="F994" s="2">
        <f>tbl_kpi[[#This Row],[OnHandQty]]</f>
        <v>126</v>
      </c>
      <c r="G994" s="2">
        <f>tbl_kpi[[#This Row],[CountedQty]]-tbl_kpi[[#This Row],[ExpectedQty]]</f>
        <v>-2</v>
      </c>
      <c r="H994" s="2">
        <f>IF(tbl_kpi[[#This Row],[ExpectedQty]]=0, 1, MAX(0, 1 - ABS(tbl_kpi[[#This Row],[VarianceQty]]) / tbl_kpi[[#This Row],[ExpectedQty]]))</f>
        <v>0.98412698412698418</v>
      </c>
      <c r="I994" s="2" t="str">
        <f>IF(tbl_kpi[[#This Row],[AccuracyPct]] &lt; 0.98, "Y", "N")</f>
        <v>N</v>
      </c>
    </row>
    <row r="995" spans="1:9">
      <c r="A995" s="2">
        <v>963</v>
      </c>
      <c r="B995" s="2">
        <v>60</v>
      </c>
      <c r="C995" s="2" t="str">
        <f>_xlfn.XLOOKUP(tbl_kpi[[#This Row],[LocationID]], tbl_location[LocationID], tbl_location[LocationName], "UNMAPPED_LOCATION")</f>
        <v>Final Assembly</v>
      </c>
      <c r="D995" s="2">
        <v>36</v>
      </c>
      <c r="E995" s="2">
        <v>37</v>
      </c>
      <c r="F995" s="2">
        <f>tbl_kpi[[#This Row],[OnHandQty]]</f>
        <v>36</v>
      </c>
      <c r="G995" s="2">
        <f>tbl_kpi[[#This Row],[CountedQty]]-tbl_kpi[[#This Row],[ExpectedQty]]</f>
        <v>1</v>
      </c>
      <c r="H995" s="2">
        <f>IF(tbl_kpi[[#This Row],[ExpectedQty]]=0, 1, MAX(0, 1 - ABS(tbl_kpi[[#This Row],[VarianceQty]]) / tbl_kpi[[#This Row],[ExpectedQty]]))</f>
        <v>0.97222222222222221</v>
      </c>
      <c r="I995" s="2" t="str">
        <f>IF(tbl_kpi[[#This Row],[AccuracyPct]] &lt; 0.98, "Y", "N")</f>
        <v>Y</v>
      </c>
    </row>
    <row r="996" spans="1:9">
      <c r="A996" s="2">
        <v>964</v>
      </c>
      <c r="B996" s="2">
        <v>7</v>
      </c>
      <c r="C996" s="2" t="str">
        <f>_xlfn.XLOOKUP(tbl_kpi[[#This Row],[LocationID]], tbl_location[LocationID], tbl_location[LocationName], "UNMAPPED_LOCATION")</f>
        <v>Finished Goods Storage</v>
      </c>
      <c r="D996" s="2">
        <v>81</v>
      </c>
      <c r="E996" s="2">
        <v>82</v>
      </c>
      <c r="F996" s="2">
        <f>tbl_kpi[[#This Row],[OnHandQty]]</f>
        <v>81</v>
      </c>
      <c r="G996" s="2">
        <f>tbl_kpi[[#This Row],[CountedQty]]-tbl_kpi[[#This Row],[ExpectedQty]]</f>
        <v>1</v>
      </c>
      <c r="H996" s="2">
        <f>IF(tbl_kpi[[#This Row],[ExpectedQty]]=0, 1, MAX(0, 1 - ABS(tbl_kpi[[#This Row],[VarianceQty]]) / tbl_kpi[[#This Row],[ExpectedQty]]))</f>
        <v>0.98765432098765427</v>
      </c>
      <c r="I996" s="2" t="str">
        <f>IF(tbl_kpi[[#This Row],[AccuracyPct]] &lt; 0.98, "Y", "N")</f>
        <v>N</v>
      </c>
    </row>
    <row r="997" spans="1:9">
      <c r="A997" s="2">
        <v>964</v>
      </c>
      <c r="B997" s="2">
        <v>60</v>
      </c>
      <c r="C997" s="2" t="str">
        <f>_xlfn.XLOOKUP(tbl_kpi[[#This Row],[LocationID]], tbl_location[LocationID], tbl_location[LocationName], "UNMAPPED_LOCATION")</f>
        <v>Final Assembly</v>
      </c>
      <c r="D997" s="2">
        <v>116</v>
      </c>
      <c r="E997" s="2">
        <v>115</v>
      </c>
      <c r="F997" s="2">
        <f>tbl_kpi[[#This Row],[OnHandQty]]</f>
        <v>116</v>
      </c>
      <c r="G997" s="2">
        <f>tbl_kpi[[#This Row],[CountedQty]]-tbl_kpi[[#This Row],[ExpectedQty]]</f>
        <v>-1</v>
      </c>
      <c r="H997" s="2">
        <f>IF(tbl_kpi[[#This Row],[ExpectedQty]]=0, 1, MAX(0, 1 - ABS(tbl_kpi[[#This Row],[VarianceQty]]) / tbl_kpi[[#This Row],[ExpectedQty]]))</f>
        <v>0.99137931034482762</v>
      </c>
      <c r="I997" s="2" t="str">
        <f>IF(tbl_kpi[[#This Row],[AccuracyPct]] &lt; 0.98, "Y", "N")</f>
        <v>N</v>
      </c>
    </row>
    <row r="998" spans="1:9">
      <c r="A998" s="2">
        <v>965</v>
      </c>
      <c r="B998" s="2">
        <v>7</v>
      </c>
      <c r="C998" s="2" t="str">
        <f>_xlfn.XLOOKUP(tbl_kpi[[#This Row],[LocationID]], tbl_location[LocationID], tbl_location[LocationName], "UNMAPPED_LOCATION")</f>
        <v>Finished Goods Storage</v>
      </c>
      <c r="D998" s="2">
        <v>91</v>
      </c>
      <c r="E998" s="2">
        <v>92</v>
      </c>
      <c r="F998" s="2">
        <f>tbl_kpi[[#This Row],[OnHandQty]]</f>
        <v>91</v>
      </c>
      <c r="G998" s="2">
        <f>tbl_kpi[[#This Row],[CountedQty]]-tbl_kpi[[#This Row],[ExpectedQty]]</f>
        <v>1</v>
      </c>
      <c r="H998" s="2">
        <f>IF(tbl_kpi[[#This Row],[ExpectedQty]]=0, 1, MAX(0, 1 - ABS(tbl_kpi[[#This Row],[VarianceQty]]) / tbl_kpi[[#This Row],[ExpectedQty]]))</f>
        <v>0.98901098901098905</v>
      </c>
      <c r="I998" s="2" t="str">
        <f>IF(tbl_kpi[[#This Row],[AccuracyPct]] &lt; 0.98, "Y", "N")</f>
        <v>N</v>
      </c>
    </row>
    <row r="999" spans="1:9">
      <c r="A999" s="2">
        <v>965</v>
      </c>
      <c r="B999" s="2">
        <v>60</v>
      </c>
      <c r="C999" s="2" t="str">
        <f>_xlfn.XLOOKUP(tbl_kpi[[#This Row],[LocationID]], tbl_location[LocationID], tbl_location[LocationName], "UNMAPPED_LOCATION")</f>
        <v>Final Assembly</v>
      </c>
      <c r="D999" s="2">
        <v>72</v>
      </c>
      <c r="E999" s="2">
        <v>73</v>
      </c>
      <c r="F999" s="2">
        <f>tbl_kpi[[#This Row],[OnHandQty]]</f>
        <v>72</v>
      </c>
      <c r="G999" s="2">
        <f>tbl_kpi[[#This Row],[CountedQty]]-tbl_kpi[[#This Row],[ExpectedQty]]</f>
        <v>1</v>
      </c>
      <c r="H999" s="2">
        <f>IF(tbl_kpi[[#This Row],[ExpectedQty]]=0, 1, MAX(0, 1 - ABS(tbl_kpi[[#This Row],[VarianceQty]]) / tbl_kpi[[#This Row],[ExpectedQty]]))</f>
        <v>0.98611111111111116</v>
      </c>
      <c r="I999" s="2" t="str">
        <f>IF(tbl_kpi[[#This Row],[AccuracyPct]] &lt; 0.98, "Y", "N")</f>
        <v>N</v>
      </c>
    </row>
    <row r="1000" spans="1:9">
      <c r="A1000" s="2">
        <v>966</v>
      </c>
      <c r="B1000" s="2">
        <v>7</v>
      </c>
      <c r="C1000" s="2" t="str">
        <f>_xlfn.XLOOKUP(tbl_kpi[[#This Row],[LocationID]], tbl_location[LocationID], tbl_location[LocationName], "UNMAPPED_LOCATION")</f>
        <v>Finished Goods Storage</v>
      </c>
      <c r="D1000" s="2">
        <v>99</v>
      </c>
      <c r="E1000" s="2">
        <v>100</v>
      </c>
      <c r="F1000" s="2">
        <f>tbl_kpi[[#This Row],[OnHandQty]]</f>
        <v>99</v>
      </c>
      <c r="G1000" s="2">
        <f>tbl_kpi[[#This Row],[CountedQty]]-tbl_kpi[[#This Row],[ExpectedQty]]</f>
        <v>1</v>
      </c>
      <c r="H1000" s="2">
        <f>IF(tbl_kpi[[#This Row],[ExpectedQty]]=0, 1, MAX(0, 1 - ABS(tbl_kpi[[#This Row],[VarianceQty]]) / tbl_kpi[[#This Row],[ExpectedQty]]))</f>
        <v>0.98989898989898994</v>
      </c>
      <c r="I1000" s="2" t="str">
        <f>IF(tbl_kpi[[#This Row],[AccuracyPct]] &lt; 0.98, "Y", "N")</f>
        <v>N</v>
      </c>
    </row>
    <row r="1001" spans="1:9">
      <c r="A1001" s="2">
        <v>966</v>
      </c>
      <c r="B1001" s="2">
        <v>60</v>
      </c>
      <c r="C1001" s="2" t="str">
        <f>_xlfn.XLOOKUP(tbl_kpi[[#This Row],[LocationID]], tbl_location[LocationID], tbl_location[LocationName], "UNMAPPED_LOCATION")</f>
        <v>Final Assembly</v>
      </c>
      <c r="D1001" s="2">
        <v>86</v>
      </c>
      <c r="E1001" s="2">
        <v>87</v>
      </c>
      <c r="F1001" s="2">
        <f>tbl_kpi[[#This Row],[OnHandQty]]</f>
        <v>86</v>
      </c>
      <c r="G1001" s="2">
        <f>tbl_kpi[[#This Row],[CountedQty]]-tbl_kpi[[#This Row],[ExpectedQty]]</f>
        <v>1</v>
      </c>
      <c r="H1001" s="2">
        <f>IF(tbl_kpi[[#This Row],[ExpectedQty]]=0, 1, MAX(0, 1 - ABS(tbl_kpi[[#This Row],[VarianceQty]]) / tbl_kpi[[#This Row],[ExpectedQty]]))</f>
        <v>0.98837209302325579</v>
      </c>
      <c r="I1001" s="2" t="str">
        <f>IF(tbl_kpi[[#This Row],[AccuracyPct]] &lt; 0.98, "Y", "N")</f>
        <v>N</v>
      </c>
    </row>
    <row r="1002" spans="1:9">
      <c r="A1002" s="2">
        <v>967</v>
      </c>
      <c r="B1002" s="2">
        <v>7</v>
      </c>
      <c r="C1002" s="2" t="str">
        <f>_xlfn.XLOOKUP(tbl_kpi[[#This Row],[LocationID]], tbl_location[LocationID], tbl_location[LocationName], "UNMAPPED_LOCATION")</f>
        <v>Finished Goods Storage</v>
      </c>
      <c r="D1002" s="2">
        <v>67</v>
      </c>
      <c r="E1002" s="2">
        <v>67</v>
      </c>
      <c r="F1002" s="2">
        <f>tbl_kpi[[#This Row],[OnHandQty]]</f>
        <v>67</v>
      </c>
      <c r="G1002" s="2">
        <f>tbl_kpi[[#This Row],[CountedQty]]-tbl_kpi[[#This Row],[ExpectedQty]]</f>
        <v>0</v>
      </c>
      <c r="H1002" s="2">
        <f>IF(tbl_kpi[[#This Row],[ExpectedQty]]=0, 1, MAX(0, 1 - ABS(tbl_kpi[[#This Row],[VarianceQty]]) / tbl_kpi[[#This Row],[ExpectedQty]]))</f>
        <v>1</v>
      </c>
      <c r="I1002" s="2" t="str">
        <f>IF(tbl_kpi[[#This Row],[AccuracyPct]] &lt; 0.98, "Y", "N")</f>
        <v>N</v>
      </c>
    </row>
    <row r="1003" spans="1:9">
      <c r="A1003" s="2">
        <v>967</v>
      </c>
      <c r="B1003" s="2">
        <v>60</v>
      </c>
      <c r="C1003" s="2" t="str">
        <f>_xlfn.XLOOKUP(tbl_kpi[[#This Row],[LocationID]], tbl_location[LocationID], tbl_location[LocationName], "UNMAPPED_LOCATION")</f>
        <v>Final Assembly</v>
      </c>
      <c r="D1003" s="2">
        <v>81</v>
      </c>
      <c r="E1003" s="2">
        <v>81</v>
      </c>
      <c r="F1003" s="2">
        <f>tbl_kpi[[#This Row],[OnHandQty]]</f>
        <v>81</v>
      </c>
      <c r="G1003" s="2">
        <f>tbl_kpi[[#This Row],[CountedQty]]-tbl_kpi[[#This Row],[ExpectedQty]]</f>
        <v>0</v>
      </c>
      <c r="H1003" s="2">
        <f>IF(tbl_kpi[[#This Row],[ExpectedQty]]=0, 1, MAX(0, 1 - ABS(tbl_kpi[[#This Row],[VarianceQty]]) / tbl_kpi[[#This Row],[ExpectedQty]]))</f>
        <v>1</v>
      </c>
      <c r="I1003" s="2" t="str">
        <f>IF(tbl_kpi[[#This Row],[AccuracyPct]] &lt; 0.98, "Y", "N")</f>
        <v>N</v>
      </c>
    </row>
    <row r="1004" spans="1:9">
      <c r="A1004" s="2">
        <v>968</v>
      </c>
      <c r="B1004" s="2">
        <v>7</v>
      </c>
      <c r="C1004" s="2" t="str">
        <f>_xlfn.XLOOKUP(tbl_kpi[[#This Row],[LocationID]], tbl_location[LocationID], tbl_location[LocationName], "UNMAPPED_LOCATION")</f>
        <v>Finished Goods Storage</v>
      </c>
      <c r="D1004" s="2">
        <v>73</v>
      </c>
      <c r="E1004" s="2">
        <v>73</v>
      </c>
      <c r="F1004" s="2">
        <f>tbl_kpi[[#This Row],[OnHandQty]]</f>
        <v>73</v>
      </c>
      <c r="G1004" s="2">
        <f>tbl_kpi[[#This Row],[CountedQty]]-tbl_kpi[[#This Row],[ExpectedQty]]</f>
        <v>0</v>
      </c>
      <c r="H1004" s="2">
        <f>IF(tbl_kpi[[#This Row],[ExpectedQty]]=0, 1, MAX(0, 1 - ABS(tbl_kpi[[#This Row],[VarianceQty]]) / tbl_kpi[[#This Row],[ExpectedQty]]))</f>
        <v>1</v>
      </c>
      <c r="I1004" s="2" t="str">
        <f>IF(tbl_kpi[[#This Row],[AccuracyPct]] &lt; 0.98, "Y", "N")</f>
        <v>N</v>
      </c>
    </row>
    <row r="1005" spans="1:9">
      <c r="A1005" s="2">
        <v>968</v>
      </c>
      <c r="B1005" s="2">
        <v>60</v>
      </c>
      <c r="C1005" s="2" t="str">
        <f>_xlfn.XLOOKUP(tbl_kpi[[#This Row],[LocationID]], tbl_location[LocationID], tbl_location[LocationName], "UNMAPPED_LOCATION")</f>
        <v>Final Assembly</v>
      </c>
      <c r="D1005" s="2">
        <v>60</v>
      </c>
      <c r="E1005" s="2">
        <v>59</v>
      </c>
      <c r="F1005" s="2">
        <f>tbl_kpi[[#This Row],[OnHandQty]]</f>
        <v>60</v>
      </c>
      <c r="G1005" s="2">
        <f>tbl_kpi[[#This Row],[CountedQty]]-tbl_kpi[[#This Row],[ExpectedQty]]</f>
        <v>-1</v>
      </c>
      <c r="H1005" s="2">
        <f>IF(tbl_kpi[[#This Row],[ExpectedQty]]=0, 1, MAX(0, 1 - ABS(tbl_kpi[[#This Row],[VarianceQty]]) / tbl_kpi[[#This Row],[ExpectedQty]]))</f>
        <v>0.98333333333333328</v>
      </c>
      <c r="I1005" s="2" t="str">
        <f>IF(tbl_kpi[[#This Row],[AccuracyPct]] &lt; 0.98, "Y", "N")</f>
        <v>N</v>
      </c>
    </row>
    <row r="1006" spans="1:9">
      <c r="A1006" s="2">
        <v>969</v>
      </c>
      <c r="B1006" s="2">
        <v>7</v>
      </c>
      <c r="C1006" s="2" t="str">
        <f>_xlfn.XLOOKUP(tbl_kpi[[#This Row],[LocationID]], tbl_location[LocationID], tbl_location[LocationName], "UNMAPPED_LOCATION")</f>
        <v>Finished Goods Storage</v>
      </c>
      <c r="D1006" s="2">
        <v>30</v>
      </c>
      <c r="E1006" s="2">
        <v>31</v>
      </c>
      <c r="F1006" s="2">
        <f>tbl_kpi[[#This Row],[OnHandQty]]</f>
        <v>30</v>
      </c>
      <c r="G1006" s="2">
        <f>tbl_kpi[[#This Row],[CountedQty]]-tbl_kpi[[#This Row],[ExpectedQty]]</f>
        <v>1</v>
      </c>
      <c r="H1006" s="2">
        <f>IF(tbl_kpi[[#This Row],[ExpectedQty]]=0, 1, MAX(0, 1 - ABS(tbl_kpi[[#This Row],[VarianceQty]]) / tbl_kpi[[#This Row],[ExpectedQty]]))</f>
        <v>0.96666666666666667</v>
      </c>
      <c r="I1006" s="2" t="str">
        <f>IF(tbl_kpi[[#This Row],[AccuracyPct]] &lt; 0.98, "Y", "N")</f>
        <v>Y</v>
      </c>
    </row>
    <row r="1007" spans="1:9">
      <c r="A1007" s="2">
        <v>969</v>
      </c>
      <c r="B1007" s="2">
        <v>60</v>
      </c>
      <c r="C1007" s="2" t="str">
        <f>_xlfn.XLOOKUP(tbl_kpi[[#This Row],[LocationID]], tbl_location[LocationID], tbl_location[LocationName], "UNMAPPED_LOCATION")</f>
        <v>Final Assembly</v>
      </c>
      <c r="D1007" s="2">
        <v>99</v>
      </c>
      <c r="E1007" s="2">
        <v>101</v>
      </c>
      <c r="F1007" s="2">
        <f>tbl_kpi[[#This Row],[OnHandQty]]</f>
        <v>99</v>
      </c>
      <c r="G1007" s="2">
        <f>tbl_kpi[[#This Row],[CountedQty]]-tbl_kpi[[#This Row],[ExpectedQty]]</f>
        <v>2</v>
      </c>
      <c r="H1007" s="2">
        <f>IF(tbl_kpi[[#This Row],[ExpectedQty]]=0, 1, MAX(0, 1 - ABS(tbl_kpi[[#This Row],[VarianceQty]]) / tbl_kpi[[#This Row],[ExpectedQty]]))</f>
        <v>0.97979797979797978</v>
      </c>
      <c r="I1007" s="2" t="str">
        <f>IF(tbl_kpi[[#This Row],[AccuracyPct]] &lt; 0.98, "Y", "N")</f>
        <v>Y</v>
      </c>
    </row>
    <row r="1008" spans="1:9">
      <c r="A1008" s="2">
        <v>970</v>
      </c>
      <c r="B1008" s="2">
        <v>7</v>
      </c>
      <c r="C1008" s="2" t="str">
        <f>_xlfn.XLOOKUP(tbl_kpi[[#This Row],[LocationID]], tbl_location[LocationID], tbl_location[LocationName], "UNMAPPED_LOCATION")</f>
        <v>Finished Goods Storage</v>
      </c>
      <c r="D1008" s="2">
        <v>73</v>
      </c>
      <c r="E1008" s="2">
        <v>75</v>
      </c>
      <c r="F1008" s="2">
        <f>tbl_kpi[[#This Row],[OnHandQty]]</f>
        <v>73</v>
      </c>
      <c r="G1008" s="2">
        <f>tbl_kpi[[#This Row],[CountedQty]]-tbl_kpi[[#This Row],[ExpectedQty]]</f>
        <v>2</v>
      </c>
      <c r="H1008" s="2">
        <f>IF(tbl_kpi[[#This Row],[ExpectedQty]]=0, 1, MAX(0, 1 - ABS(tbl_kpi[[#This Row],[VarianceQty]]) / tbl_kpi[[#This Row],[ExpectedQty]]))</f>
        <v>0.9726027397260274</v>
      </c>
      <c r="I1008" s="2" t="str">
        <f>IF(tbl_kpi[[#This Row],[AccuracyPct]] &lt; 0.98, "Y", "N")</f>
        <v>Y</v>
      </c>
    </row>
    <row r="1009" spans="1:9">
      <c r="A1009" s="2">
        <v>970</v>
      </c>
      <c r="B1009" s="2">
        <v>60</v>
      </c>
      <c r="C1009" s="2" t="str">
        <f>_xlfn.XLOOKUP(tbl_kpi[[#This Row],[LocationID]], tbl_location[LocationID], tbl_location[LocationName], "UNMAPPED_LOCATION")</f>
        <v>Final Assembly</v>
      </c>
      <c r="D1009" s="2">
        <v>60</v>
      </c>
      <c r="E1009" s="2">
        <v>59</v>
      </c>
      <c r="F1009" s="2">
        <f>tbl_kpi[[#This Row],[OnHandQty]]</f>
        <v>60</v>
      </c>
      <c r="G1009" s="2">
        <f>tbl_kpi[[#This Row],[CountedQty]]-tbl_kpi[[#This Row],[ExpectedQty]]</f>
        <v>-1</v>
      </c>
      <c r="H1009" s="2">
        <f>IF(tbl_kpi[[#This Row],[ExpectedQty]]=0, 1, MAX(0, 1 - ABS(tbl_kpi[[#This Row],[VarianceQty]]) / tbl_kpi[[#This Row],[ExpectedQty]]))</f>
        <v>0.98333333333333328</v>
      </c>
      <c r="I1009" s="2" t="str">
        <f>IF(tbl_kpi[[#This Row],[AccuracyPct]] &lt; 0.98, "Y", "N")</f>
        <v>N</v>
      </c>
    </row>
    <row r="1010" spans="1:9">
      <c r="A1010" s="2">
        <v>971</v>
      </c>
      <c r="B1010" s="2">
        <v>7</v>
      </c>
      <c r="C1010" s="2" t="str">
        <f>_xlfn.XLOOKUP(tbl_kpi[[#This Row],[LocationID]], tbl_location[LocationID], tbl_location[LocationName], "UNMAPPED_LOCATION")</f>
        <v>Finished Goods Storage</v>
      </c>
      <c r="D1010" s="2">
        <v>104</v>
      </c>
      <c r="E1010" s="2">
        <v>103</v>
      </c>
      <c r="F1010" s="2">
        <f>tbl_kpi[[#This Row],[OnHandQty]]</f>
        <v>104</v>
      </c>
      <c r="G1010" s="2">
        <f>tbl_kpi[[#This Row],[CountedQty]]-tbl_kpi[[#This Row],[ExpectedQty]]</f>
        <v>-1</v>
      </c>
      <c r="H1010" s="2">
        <f>IF(tbl_kpi[[#This Row],[ExpectedQty]]=0, 1, MAX(0, 1 - ABS(tbl_kpi[[#This Row],[VarianceQty]]) / tbl_kpi[[#This Row],[ExpectedQty]]))</f>
        <v>0.99038461538461542</v>
      </c>
      <c r="I1010" s="2" t="str">
        <f>IF(tbl_kpi[[#This Row],[AccuracyPct]] &lt; 0.98, "Y", "N")</f>
        <v>N</v>
      </c>
    </row>
    <row r="1011" spans="1:9">
      <c r="A1011" s="2">
        <v>971</v>
      </c>
      <c r="B1011" s="2">
        <v>60</v>
      </c>
      <c r="C1011" s="2" t="str">
        <f>_xlfn.XLOOKUP(tbl_kpi[[#This Row],[LocationID]], tbl_location[LocationID], tbl_location[LocationName], "UNMAPPED_LOCATION")</f>
        <v>Final Assembly</v>
      </c>
      <c r="D1011" s="2">
        <v>123</v>
      </c>
      <c r="E1011" s="2">
        <v>125</v>
      </c>
      <c r="F1011" s="2">
        <f>tbl_kpi[[#This Row],[OnHandQty]]</f>
        <v>123</v>
      </c>
      <c r="G1011" s="2">
        <f>tbl_kpi[[#This Row],[CountedQty]]-tbl_kpi[[#This Row],[ExpectedQty]]</f>
        <v>2</v>
      </c>
      <c r="H1011" s="2">
        <f>IF(tbl_kpi[[#This Row],[ExpectedQty]]=0, 1, MAX(0, 1 - ABS(tbl_kpi[[#This Row],[VarianceQty]]) / tbl_kpi[[#This Row],[ExpectedQty]]))</f>
        <v>0.98373983739837401</v>
      </c>
      <c r="I1011" s="2" t="str">
        <f>IF(tbl_kpi[[#This Row],[AccuracyPct]] &lt; 0.98, "Y", "N")</f>
        <v>N</v>
      </c>
    </row>
    <row r="1012" spans="1:9">
      <c r="A1012" s="2">
        <v>972</v>
      </c>
      <c r="B1012" s="2">
        <v>7</v>
      </c>
      <c r="C1012" s="2" t="str">
        <f>_xlfn.XLOOKUP(tbl_kpi[[#This Row],[LocationID]], tbl_location[LocationID], tbl_location[LocationName], "UNMAPPED_LOCATION")</f>
        <v>Finished Goods Storage</v>
      </c>
      <c r="D1012" s="2">
        <v>30</v>
      </c>
      <c r="E1012" s="2">
        <v>30</v>
      </c>
      <c r="F1012" s="2">
        <f>tbl_kpi[[#This Row],[OnHandQty]]</f>
        <v>30</v>
      </c>
      <c r="G1012" s="2">
        <f>tbl_kpi[[#This Row],[CountedQty]]-tbl_kpi[[#This Row],[ExpectedQty]]</f>
        <v>0</v>
      </c>
      <c r="H1012" s="2">
        <f>IF(tbl_kpi[[#This Row],[ExpectedQty]]=0, 1, MAX(0, 1 - ABS(tbl_kpi[[#This Row],[VarianceQty]]) / tbl_kpi[[#This Row],[ExpectedQty]]))</f>
        <v>1</v>
      </c>
      <c r="I1012" s="2" t="str">
        <f>IF(tbl_kpi[[#This Row],[AccuracyPct]] &lt; 0.98, "Y", "N")</f>
        <v>N</v>
      </c>
    </row>
    <row r="1013" spans="1:9">
      <c r="A1013" s="2">
        <v>972</v>
      </c>
      <c r="B1013" s="2">
        <v>60</v>
      </c>
      <c r="C1013" s="2" t="str">
        <f>_xlfn.XLOOKUP(tbl_kpi[[#This Row],[LocationID]], tbl_location[LocationID], tbl_location[LocationName], "UNMAPPED_LOCATION")</f>
        <v>Final Assembly</v>
      </c>
      <c r="D1013" s="2">
        <v>99</v>
      </c>
      <c r="E1013" s="2">
        <v>97</v>
      </c>
      <c r="F1013" s="2">
        <f>tbl_kpi[[#This Row],[OnHandQty]]</f>
        <v>99</v>
      </c>
      <c r="G1013" s="2">
        <f>tbl_kpi[[#This Row],[CountedQty]]-tbl_kpi[[#This Row],[ExpectedQty]]</f>
        <v>-2</v>
      </c>
      <c r="H1013" s="2">
        <f>IF(tbl_kpi[[#This Row],[ExpectedQty]]=0, 1, MAX(0, 1 - ABS(tbl_kpi[[#This Row],[VarianceQty]]) / tbl_kpi[[#This Row],[ExpectedQty]]))</f>
        <v>0.97979797979797978</v>
      </c>
      <c r="I1013" s="2" t="str">
        <f>IF(tbl_kpi[[#This Row],[AccuracyPct]] &lt; 0.98, "Y", "N")</f>
        <v>Y</v>
      </c>
    </row>
    <row r="1014" spans="1:9">
      <c r="A1014" s="2">
        <v>973</v>
      </c>
      <c r="B1014" s="2">
        <v>7</v>
      </c>
      <c r="C1014" s="2" t="str">
        <f>_xlfn.XLOOKUP(tbl_kpi[[#This Row],[LocationID]], tbl_location[LocationID], tbl_location[LocationName], "UNMAPPED_LOCATION")</f>
        <v>Finished Goods Storage</v>
      </c>
      <c r="D1014" s="2">
        <v>99</v>
      </c>
      <c r="E1014" s="2">
        <v>102</v>
      </c>
      <c r="F1014" s="2">
        <f>tbl_kpi[[#This Row],[OnHandQty]]</f>
        <v>99</v>
      </c>
      <c r="G1014" s="2">
        <f>tbl_kpi[[#This Row],[CountedQty]]-tbl_kpi[[#This Row],[ExpectedQty]]</f>
        <v>3</v>
      </c>
      <c r="H1014" s="2">
        <f>IF(tbl_kpi[[#This Row],[ExpectedQty]]=0, 1, MAX(0, 1 - ABS(tbl_kpi[[#This Row],[VarianceQty]]) / tbl_kpi[[#This Row],[ExpectedQty]]))</f>
        <v>0.96969696969696972</v>
      </c>
      <c r="I1014" s="2" t="str">
        <f>IF(tbl_kpi[[#This Row],[AccuracyPct]] &lt; 0.98, "Y", "N")</f>
        <v>Y</v>
      </c>
    </row>
    <row r="1015" spans="1:9">
      <c r="A1015" s="2">
        <v>973</v>
      </c>
      <c r="B1015" s="2">
        <v>60</v>
      </c>
      <c r="C1015" s="2" t="str">
        <f>_xlfn.XLOOKUP(tbl_kpi[[#This Row],[LocationID]], tbl_location[LocationID], tbl_location[LocationName], "UNMAPPED_LOCATION")</f>
        <v>Final Assembly</v>
      </c>
      <c r="D1015" s="2">
        <v>86</v>
      </c>
      <c r="E1015" s="2">
        <v>85</v>
      </c>
      <c r="F1015" s="2">
        <f>tbl_kpi[[#This Row],[OnHandQty]]</f>
        <v>86</v>
      </c>
      <c r="G1015" s="2">
        <f>tbl_kpi[[#This Row],[CountedQty]]-tbl_kpi[[#This Row],[ExpectedQty]]</f>
        <v>-1</v>
      </c>
      <c r="H1015" s="2">
        <f>IF(tbl_kpi[[#This Row],[ExpectedQty]]=0, 1, MAX(0, 1 - ABS(tbl_kpi[[#This Row],[VarianceQty]]) / tbl_kpi[[#This Row],[ExpectedQty]]))</f>
        <v>0.98837209302325579</v>
      </c>
      <c r="I1015" s="2" t="str">
        <f>IF(tbl_kpi[[#This Row],[AccuracyPct]] &lt; 0.98, "Y", "N")</f>
        <v>N</v>
      </c>
    </row>
    <row r="1016" spans="1:9">
      <c r="A1016" s="2">
        <v>974</v>
      </c>
      <c r="B1016" s="2">
        <v>7</v>
      </c>
      <c r="C1016" s="2" t="str">
        <f>_xlfn.XLOOKUP(tbl_kpi[[#This Row],[LocationID]], tbl_location[LocationID], tbl_location[LocationName], "UNMAPPED_LOCATION")</f>
        <v>Finished Goods Storage</v>
      </c>
      <c r="D1016" s="2">
        <v>67</v>
      </c>
      <c r="E1016" s="2">
        <v>68</v>
      </c>
      <c r="F1016" s="2">
        <f>tbl_kpi[[#This Row],[OnHandQty]]</f>
        <v>67</v>
      </c>
      <c r="G1016" s="2">
        <f>tbl_kpi[[#This Row],[CountedQty]]-tbl_kpi[[#This Row],[ExpectedQty]]</f>
        <v>1</v>
      </c>
      <c r="H1016" s="2">
        <f>IF(tbl_kpi[[#This Row],[ExpectedQty]]=0, 1, MAX(0, 1 - ABS(tbl_kpi[[#This Row],[VarianceQty]]) / tbl_kpi[[#This Row],[ExpectedQty]]))</f>
        <v>0.9850746268656716</v>
      </c>
      <c r="I1016" s="2" t="str">
        <f>IF(tbl_kpi[[#This Row],[AccuracyPct]] &lt; 0.98, "Y", "N")</f>
        <v>N</v>
      </c>
    </row>
    <row r="1017" spans="1:9">
      <c r="A1017" s="2">
        <v>974</v>
      </c>
      <c r="B1017" s="2">
        <v>60</v>
      </c>
      <c r="C1017" s="2" t="str">
        <f>_xlfn.XLOOKUP(tbl_kpi[[#This Row],[LocationID]], tbl_location[LocationID], tbl_location[LocationName], "UNMAPPED_LOCATION")</f>
        <v>Final Assembly</v>
      </c>
      <c r="D1017" s="2">
        <v>81</v>
      </c>
      <c r="E1017" s="2">
        <v>82</v>
      </c>
      <c r="F1017" s="2">
        <f>tbl_kpi[[#This Row],[OnHandQty]]</f>
        <v>81</v>
      </c>
      <c r="G1017" s="2">
        <f>tbl_kpi[[#This Row],[CountedQty]]-tbl_kpi[[#This Row],[ExpectedQty]]</f>
        <v>1</v>
      </c>
      <c r="H1017" s="2">
        <f>IF(tbl_kpi[[#This Row],[ExpectedQty]]=0, 1, MAX(0, 1 - ABS(tbl_kpi[[#This Row],[VarianceQty]]) / tbl_kpi[[#This Row],[ExpectedQty]]))</f>
        <v>0.98765432098765427</v>
      </c>
      <c r="I1017" s="2" t="str">
        <f>IF(tbl_kpi[[#This Row],[AccuracyPct]] &lt; 0.98, "Y", "N")</f>
        <v>N</v>
      </c>
    </row>
    <row r="1018" spans="1:9">
      <c r="A1018" s="2">
        <v>975</v>
      </c>
      <c r="B1018" s="2">
        <v>7</v>
      </c>
      <c r="C1018" s="2" t="str">
        <f>_xlfn.XLOOKUP(tbl_kpi[[#This Row],[LocationID]], tbl_location[LocationID], tbl_location[LocationName], "UNMAPPED_LOCATION")</f>
        <v>Finished Goods Storage</v>
      </c>
      <c r="D1018" s="2">
        <v>73</v>
      </c>
      <c r="E1018" s="2">
        <v>74</v>
      </c>
      <c r="F1018" s="2">
        <f>tbl_kpi[[#This Row],[OnHandQty]]</f>
        <v>73</v>
      </c>
      <c r="G1018" s="2">
        <f>tbl_kpi[[#This Row],[CountedQty]]-tbl_kpi[[#This Row],[ExpectedQty]]</f>
        <v>1</v>
      </c>
      <c r="H1018" s="2">
        <f>IF(tbl_kpi[[#This Row],[ExpectedQty]]=0, 1, MAX(0, 1 - ABS(tbl_kpi[[#This Row],[VarianceQty]]) / tbl_kpi[[#This Row],[ExpectedQty]]))</f>
        <v>0.98630136986301364</v>
      </c>
      <c r="I1018" s="2" t="str">
        <f>IF(tbl_kpi[[#This Row],[AccuracyPct]] &lt; 0.98, "Y", "N")</f>
        <v>N</v>
      </c>
    </row>
    <row r="1019" spans="1:9">
      <c r="A1019" s="2">
        <v>975</v>
      </c>
      <c r="B1019" s="2">
        <v>60</v>
      </c>
      <c r="C1019" s="2" t="str">
        <f>_xlfn.XLOOKUP(tbl_kpi[[#This Row],[LocationID]], tbl_location[LocationID], tbl_location[LocationName], "UNMAPPED_LOCATION")</f>
        <v>Final Assembly</v>
      </c>
      <c r="D1019" s="2">
        <v>60</v>
      </c>
      <c r="E1019" s="2">
        <v>58</v>
      </c>
      <c r="F1019" s="2">
        <f>tbl_kpi[[#This Row],[OnHandQty]]</f>
        <v>60</v>
      </c>
      <c r="G1019" s="2">
        <f>tbl_kpi[[#This Row],[CountedQty]]-tbl_kpi[[#This Row],[ExpectedQty]]</f>
        <v>-2</v>
      </c>
      <c r="H1019" s="2">
        <f>IF(tbl_kpi[[#This Row],[ExpectedQty]]=0, 1, MAX(0, 1 - ABS(tbl_kpi[[#This Row],[VarianceQty]]) / tbl_kpi[[#This Row],[ExpectedQty]]))</f>
        <v>0.96666666666666667</v>
      </c>
      <c r="I1019" s="2" t="str">
        <f>IF(tbl_kpi[[#This Row],[AccuracyPct]] &lt; 0.98, "Y", "N")</f>
        <v>Y</v>
      </c>
    </row>
    <row r="1020" spans="1:9">
      <c r="A1020" s="2">
        <v>976</v>
      </c>
      <c r="B1020" s="2">
        <v>7</v>
      </c>
      <c r="C1020" s="2" t="str">
        <f>_xlfn.XLOOKUP(tbl_kpi[[#This Row],[LocationID]], tbl_location[LocationID], tbl_location[LocationName], "UNMAPPED_LOCATION")</f>
        <v>Finished Goods Storage</v>
      </c>
      <c r="D1020" s="2">
        <v>104</v>
      </c>
      <c r="E1020" s="2">
        <v>106</v>
      </c>
      <c r="F1020" s="2">
        <f>tbl_kpi[[#This Row],[OnHandQty]]</f>
        <v>104</v>
      </c>
      <c r="G1020" s="2">
        <f>tbl_kpi[[#This Row],[CountedQty]]-tbl_kpi[[#This Row],[ExpectedQty]]</f>
        <v>2</v>
      </c>
      <c r="H1020" s="2">
        <f>IF(tbl_kpi[[#This Row],[ExpectedQty]]=0, 1, MAX(0, 1 - ABS(tbl_kpi[[#This Row],[VarianceQty]]) / tbl_kpi[[#This Row],[ExpectedQty]]))</f>
        <v>0.98076923076923073</v>
      </c>
      <c r="I1020" s="2" t="str">
        <f>IF(tbl_kpi[[#This Row],[AccuracyPct]] &lt; 0.98, "Y", "N")</f>
        <v>N</v>
      </c>
    </row>
    <row r="1021" spans="1:9">
      <c r="A1021" s="2">
        <v>976</v>
      </c>
      <c r="B1021" s="2">
        <v>60</v>
      </c>
      <c r="C1021" s="2" t="str">
        <f>_xlfn.XLOOKUP(tbl_kpi[[#This Row],[LocationID]], tbl_location[LocationID], tbl_location[LocationName], "UNMAPPED_LOCATION")</f>
        <v>Final Assembly</v>
      </c>
      <c r="D1021" s="2">
        <v>123</v>
      </c>
      <c r="E1021" s="2">
        <v>126</v>
      </c>
      <c r="F1021" s="2">
        <f>tbl_kpi[[#This Row],[OnHandQty]]</f>
        <v>123</v>
      </c>
      <c r="G1021" s="2">
        <f>tbl_kpi[[#This Row],[CountedQty]]-tbl_kpi[[#This Row],[ExpectedQty]]</f>
        <v>3</v>
      </c>
      <c r="H1021" s="2">
        <f>IF(tbl_kpi[[#This Row],[ExpectedQty]]=0, 1, MAX(0, 1 - ABS(tbl_kpi[[#This Row],[VarianceQty]]) / tbl_kpi[[#This Row],[ExpectedQty]]))</f>
        <v>0.97560975609756095</v>
      </c>
      <c r="I1021" s="2" t="str">
        <f>IF(tbl_kpi[[#This Row],[AccuracyPct]] &lt; 0.98, "Y", "N")</f>
        <v>Y</v>
      </c>
    </row>
    <row r="1022" spans="1:9">
      <c r="A1022" s="2">
        <v>977</v>
      </c>
      <c r="B1022" s="2">
        <v>7</v>
      </c>
      <c r="C1022" s="2" t="str">
        <f>_xlfn.XLOOKUP(tbl_kpi[[#This Row],[LocationID]], tbl_location[LocationID], tbl_location[LocationName], "UNMAPPED_LOCATION")</f>
        <v>Finished Goods Storage</v>
      </c>
      <c r="D1022" s="2">
        <v>88</v>
      </c>
      <c r="E1022" s="2">
        <v>88</v>
      </c>
      <c r="F1022" s="2">
        <f>tbl_kpi[[#This Row],[OnHandQty]]</f>
        <v>88</v>
      </c>
      <c r="G1022" s="2">
        <f>tbl_kpi[[#This Row],[CountedQty]]-tbl_kpi[[#This Row],[ExpectedQty]]</f>
        <v>0</v>
      </c>
      <c r="H1022" s="2">
        <f>IF(tbl_kpi[[#This Row],[ExpectedQty]]=0, 1, MAX(0, 1 - ABS(tbl_kpi[[#This Row],[VarianceQty]]) / tbl_kpi[[#This Row],[ExpectedQty]]))</f>
        <v>1</v>
      </c>
      <c r="I1022" s="2" t="str">
        <f>IF(tbl_kpi[[#This Row],[AccuracyPct]] &lt; 0.98, "Y", "N")</f>
        <v>N</v>
      </c>
    </row>
    <row r="1023" spans="1:9">
      <c r="A1023" s="2">
        <v>977</v>
      </c>
      <c r="B1023" s="2">
        <v>60</v>
      </c>
      <c r="C1023" s="2" t="str">
        <f>_xlfn.XLOOKUP(tbl_kpi[[#This Row],[LocationID]], tbl_location[LocationID], tbl_location[LocationName], "UNMAPPED_LOCATION")</f>
        <v>Final Assembly</v>
      </c>
      <c r="D1023" s="2">
        <v>65</v>
      </c>
      <c r="E1023" s="2">
        <v>67</v>
      </c>
      <c r="F1023" s="2">
        <f>tbl_kpi[[#This Row],[OnHandQty]]</f>
        <v>65</v>
      </c>
      <c r="G1023" s="2">
        <f>tbl_kpi[[#This Row],[CountedQty]]-tbl_kpi[[#This Row],[ExpectedQty]]</f>
        <v>2</v>
      </c>
      <c r="H1023" s="2">
        <f>IF(tbl_kpi[[#This Row],[ExpectedQty]]=0, 1, MAX(0, 1 - ABS(tbl_kpi[[#This Row],[VarianceQty]]) / tbl_kpi[[#This Row],[ExpectedQty]]))</f>
        <v>0.96923076923076923</v>
      </c>
      <c r="I1023" s="2" t="str">
        <f>IF(tbl_kpi[[#This Row],[AccuracyPct]] &lt; 0.98, "Y", "N")</f>
        <v>Y</v>
      </c>
    </row>
    <row r="1024" spans="1:9">
      <c r="A1024" s="2">
        <v>978</v>
      </c>
      <c r="B1024" s="2">
        <v>7</v>
      </c>
      <c r="C1024" s="2" t="str">
        <f>_xlfn.XLOOKUP(tbl_kpi[[#This Row],[LocationID]], tbl_location[LocationID], tbl_location[LocationName], "UNMAPPED_LOCATION")</f>
        <v>Finished Goods Storage</v>
      </c>
      <c r="D1024" s="2">
        <v>91</v>
      </c>
      <c r="E1024" s="2">
        <v>89</v>
      </c>
      <c r="F1024" s="2">
        <f>tbl_kpi[[#This Row],[OnHandQty]]</f>
        <v>91</v>
      </c>
      <c r="G1024" s="2">
        <f>tbl_kpi[[#This Row],[CountedQty]]-tbl_kpi[[#This Row],[ExpectedQty]]</f>
        <v>-2</v>
      </c>
      <c r="H1024" s="2">
        <f>IF(tbl_kpi[[#This Row],[ExpectedQty]]=0, 1, MAX(0, 1 - ABS(tbl_kpi[[#This Row],[VarianceQty]]) / tbl_kpi[[#This Row],[ExpectedQty]]))</f>
        <v>0.97802197802197799</v>
      </c>
      <c r="I1024" s="2" t="str">
        <f>IF(tbl_kpi[[#This Row],[AccuracyPct]] &lt; 0.98, "Y", "N")</f>
        <v>Y</v>
      </c>
    </row>
    <row r="1025" spans="1:9">
      <c r="A1025" s="2">
        <v>978</v>
      </c>
      <c r="B1025" s="2">
        <v>60</v>
      </c>
      <c r="C1025" s="2" t="str">
        <f>_xlfn.XLOOKUP(tbl_kpi[[#This Row],[LocationID]], tbl_location[LocationID], tbl_location[LocationName], "UNMAPPED_LOCATION")</f>
        <v>Final Assembly</v>
      </c>
      <c r="D1025" s="2">
        <v>72</v>
      </c>
      <c r="E1025" s="2">
        <v>72</v>
      </c>
      <c r="F1025" s="2">
        <f>tbl_kpi[[#This Row],[OnHandQty]]</f>
        <v>72</v>
      </c>
      <c r="G1025" s="2">
        <f>tbl_kpi[[#This Row],[CountedQty]]-tbl_kpi[[#This Row],[ExpectedQty]]</f>
        <v>0</v>
      </c>
      <c r="H1025" s="2">
        <f>IF(tbl_kpi[[#This Row],[ExpectedQty]]=0, 1, MAX(0, 1 - ABS(tbl_kpi[[#This Row],[VarianceQty]]) / tbl_kpi[[#This Row],[ExpectedQty]]))</f>
        <v>1</v>
      </c>
      <c r="I1025" s="2" t="str">
        <f>IF(tbl_kpi[[#This Row],[AccuracyPct]] &lt; 0.98, "Y", "N")</f>
        <v>N</v>
      </c>
    </row>
    <row r="1026" spans="1:9">
      <c r="A1026" s="2">
        <v>979</v>
      </c>
      <c r="B1026" s="2">
        <v>7</v>
      </c>
      <c r="C1026" s="2" t="str">
        <f>_xlfn.XLOOKUP(tbl_kpi[[#This Row],[LocationID]], tbl_location[LocationID], tbl_location[LocationName], "UNMAPPED_LOCATION")</f>
        <v>Finished Goods Storage</v>
      </c>
      <c r="D1026" s="2">
        <v>86</v>
      </c>
      <c r="E1026" s="2">
        <v>84</v>
      </c>
      <c r="F1026" s="2">
        <f>tbl_kpi[[#This Row],[OnHandQty]]</f>
        <v>86</v>
      </c>
      <c r="G1026" s="2">
        <f>tbl_kpi[[#This Row],[CountedQty]]-tbl_kpi[[#This Row],[ExpectedQty]]</f>
        <v>-2</v>
      </c>
      <c r="H1026" s="2">
        <f>IF(tbl_kpi[[#This Row],[ExpectedQty]]=0, 1, MAX(0, 1 - ABS(tbl_kpi[[#This Row],[VarianceQty]]) / tbl_kpi[[#This Row],[ExpectedQty]]))</f>
        <v>0.97674418604651159</v>
      </c>
      <c r="I1026" s="2" t="str">
        <f>IF(tbl_kpi[[#This Row],[AccuracyPct]] &lt; 0.98, "Y", "N")</f>
        <v>Y</v>
      </c>
    </row>
    <row r="1027" spans="1:9">
      <c r="A1027" s="2">
        <v>979</v>
      </c>
      <c r="B1027" s="2">
        <v>60</v>
      </c>
      <c r="C1027" s="2" t="str">
        <f>_xlfn.XLOOKUP(tbl_kpi[[#This Row],[LocationID]], tbl_location[LocationID], tbl_location[LocationName], "UNMAPPED_LOCATION")</f>
        <v>Final Assembly</v>
      </c>
      <c r="D1027" s="2">
        <v>78</v>
      </c>
      <c r="E1027" s="2">
        <v>78</v>
      </c>
      <c r="F1027" s="2">
        <f>tbl_kpi[[#This Row],[OnHandQty]]</f>
        <v>78</v>
      </c>
      <c r="G1027" s="2">
        <f>tbl_kpi[[#This Row],[CountedQty]]-tbl_kpi[[#This Row],[ExpectedQty]]</f>
        <v>0</v>
      </c>
      <c r="H1027" s="2">
        <f>IF(tbl_kpi[[#This Row],[ExpectedQty]]=0, 1, MAX(0, 1 - ABS(tbl_kpi[[#This Row],[VarianceQty]]) / tbl_kpi[[#This Row],[ExpectedQty]]))</f>
        <v>1</v>
      </c>
      <c r="I1027" s="2" t="str">
        <f>IF(tbl_kpi[[#This Row],[AccuracyPct]] &lt; 0.98, "Y", "N")</f>
        <v>N</v>
      </c>
    </row>
    <row r="1028" spans="1:9">
      <c r="A1028" s="2">
        <v>980</v>
      </c>
      <c r="B1028" s="2">
        <v>7</v>
      </c>
      <c r="C1028" s="2" t="str">
        <f>_xlfn.XLOOKUP(tbl_kpi[[#This Row],[LocationID]], tbl_location[LocationID], tbl_location[LocationName], "UNMAPPED_LOCATION")</f>
        <v>Finished Goods Storage</v>
      </c>
      <c r="D1028" s="2">
        <v>51</v>
      </c>
      <c r="E1028" s="2">
        <v>51</v>
      </c>
      <c r="F1028" s="2">
        <f>tbl_kpi[[#This Row],[OnHandQty]]</f>
        <v>51</v>
      </c>
      <c r="G1028" s="2">
        <f>tbl_kpi[[#This Row],[CountedQty]]-tbl_kpi[[#This Row],[ExpectedQty]]</f>
        <v>0</v>
      </c>
      <c r="H1028" s="2">
        <f>IF(tbl_kpi[[#This Row],[ExpectedQty]]=0, 1, MAX(0, 1 - ABS(tbl_kpi[[#This Row],[VarianceQty]]) / tbl_kpi[[#This Row],[ExpectedQty]]))</f>
        <v>1</v>
      </c>
      <c r="I1028" s="2" t="str">
        <f>IF(tbl_kpi[[#This Row],[AccuracyPct]] &lt; 0.98, "Y", "N")</f>
        <v>N</v>
      </c>
    </row>
    <row r="1029" spans="1:9">
      <c r="A1029" s="2">
        <v>980</v>
      </c>
      <c r="B1029" s="2">
        <v>60</v>
      </c>
      <c r="C1029" s="2" t="str">
        <f>_xlfn.XLOOKUP(tbl_kpi[[#This Row],[LocationID]], tbl_location[LocationID], tbl_location[LocationName], "UNMAPPED_LOCATION")</f>
        <v>Final Assembly</v>
      </c>
      <c r="D1029" s="2">
        <v>99</v>
      </c>
      <c r="E1029" s="2">
        <v>99</v>
      </c>
      <c r="F1029" s="2">
        <f>tbl_kpi[[#This Row],[OnHandQty]]</f>
        <v>99</v>
      </c>
      <c r="G1029" s="2">
        <f>tbl_kpi[[#This Row],[CountedQty]]-tbl_kpi[[#This Row],[ExpectedQty]]</f>
        <v>0</v>
      </c>
      <c r="H1029" s="2">
        <f>IF(tbl_kpi[[#This Row],[ExpectedQty]]=0, 1, MAX(0, 1 - ABS(tbl_kpi[[#This Row],[VarianceQty]]) / tbl_kpi[[#This Row],[ExpectedQty]]))</f>
        <v>1</v>
      </c>
      <c r="I1029" s="2" t="str">
        <f>IF(tbl_kpi[[#This Row],[AccuracyPct]] &lt; 0.98, "Y", "N")</f>
        <v>N</v>
      </c>
    </row>
    <row r="1030" spans="1:9">
      <c r="A1030" s="2">
        <v>981</v>
      </c>
      <c r="B1030" s="2">
        <v>7</v>
      </c>
      <c r="C1030" s="2" t="str">
        <f>_xlfn.XLOOKUP(tbl_kpi[[#This Row],[LocationID]], tbl_location[LocationID], tbl_location[LocationName], "UNMAPPED_LOCATION")</f>
        <v>Finished Goods Storage</v>
      </c>
      <c r="D1030" s="2">
        <v>86</v>
      </c>
      <c r="E1030" s="2">
        <v>84</v>
      </c>
      <c r="F1030" s="2">
        <f>tbl_kpi[[#This Row],[OnHandQty]]</f>
        <v>86</v>
      </c>
      <c r="G1030" s="2">
        <f>tbl_kpi[[#This Row],[CountedQty]]-tbl_kpi[[#This Row],[ExpectedQty]]</f>
        <v>-2</v>
      </c>
      <c r="H1030" s="2">
        <f>IF(tbl_kpi[[#This Row],[ExpectedQty]]=0, 1, MAX(0, 1 - ABS(tbl_kpi[[#This Row],[VarianceQty]]) / tbl_kpi[[#This Row],[ExpectedQty]]))</f>
        <v>0.97674418604651159</v>
      </c>
      <c r="I1030" s="2" t="str">
        <f>IF(tbl_kpi[[#This Row],[AccuracyPct]] &lt; 0.98, "Y", "N")</f>
        <v>Y</v>
      </c>
    </row>
    <row r="1031" spans="1:9">
      <c r="A1031" s="2">
        <v>981</v>
      </c>
      <c r="B1031" s="2">
        <v>60</v>
      </c>
      <c r="C1031" s="2" t="str">
        <f>_xlfn.XLOOKUP(tbl_kpi[[#This Row],[LocationID]], tbl_location[LocationID], tbl_location[LocationName], "UNMAPPED_LOCATION")</f>
        <v>Final Assembly</v>
      </c>
      <c r="D1031" s="2">
        <v>67</v>
      </c>
      <c r="E1031" s="2">
        <v>68</v>
      </c>
      <c r="F1031" s="2">
        <f>tbl_kpi[[#This Row],[OnHandQty]]</f>
        <v>67</v>
      </c>
      <c r="G1031" s="2">
        <f>tbl_kpi[[#This Row],[CountedQty]]-tbl_kpi[[#This Row],[ExpectedQty]]</f>
        <v>1</v>
      </c>
      <c r="H1031" s="2">
        <f>IF(tbl_kpi[[#This Row],[ExpectedQty]]=0, 1, MAX(0, 1 - ABS(tbl_kpi[[#This Row],[VarianceQty]]) / tbl_kpi[[#This Row],[ExpectedQty]]))</f>
        <v>0.9850746268656716</v>
      </c>
      <c r="I1031" s="2" t="str">
        <f>IF(tbl_kpi[[#This Row],[AccuracyPct]] &lt; 0.98, "Y", "N")</f>
        <v>N</v>
      </c>
    </row>
    <row r="1032" spans="1:9">
      <c r="A1032" s="2">
        <v>982</v>
      </c>
      <c r="B1032" s="2">
        <v>7</v>
      </c>
      <c r="C1032" s="2" t="str">
        <f>_xlfn.XLOOKUP(tbl_kpi[[#This Row],[LocationID]], tbl_location[LocationID], tbl_location[LocationName], "UNMAPPED_LOCATION")</f>
        <v>Finished Goods Storage</v>
      </c>
      <c r="D1032" s="2">
        <v>81</v>
      </c>
      <c r="E1032" s="2">
        <v>80</v>
      </c>
      <c r="F1032" s="2">
        <f>tbl_kpi[[#This Row],[OnHandQty]]</f>
        <v>81</v>
      </c>
      <c r="G1032" s="2">
        <f>tbl_kpi[[#This Row],[CountedQty]]-tbl_kpi[[#This Row],[ExpectedQty]]</f>
        <v>-1</v>
      </c>
      <c r="H1032" s="2">
        <f>IF(tbl_kpi[[#This Row],[ExpectedQty]]=0, 1, MAX(0, 1 - ABS(tbl_kpi[[#This Row],[VarianceQty]]) / tbl_kpi[[#This Row],[ExpectedQty]]))</f>
        <v>0.98765432098765427</v>
      </c>
      <c r="I1032" s="2" t="str">
        <f>IF(tbl_kpi[[#This Row],[AccuracyPct]] &lt; 0.98, "Y", "N")</f>
        <v>N</v>
      </c>
    </row>
    <row r="1033" spans="1:9">
      <c r="A1033" s="2">
        <v>982</v>
      </c>
      <c r="B1033" s="2">
        <v>60</v>
      </c>
      <c r="C1033" s="2" t="str">
        <f>_xlfn.XLOOKUP(tbl_kpi[[#This Row],[LocationID]], tbl_location[LocationID], tbl_location[LocationName], "UNMAPPED_LOCATION")</f>
        <v>Final Assembly</v>
      </c>
      <c r="D1033" s="2">
        <v>73</v>
      </c>
      <c r="E1033" s="2">
        <v>72</v>
      </c>
      <c r="F1033" s="2">
        <f>tbl_kpi[[#This Row],[OnHandQty]]</f>
        <v>73</v>
      </c>
      <c r="G1033" s="2">
        <f>tbl_kpi[[#This Row],[CountedQty]]-tbl_kpi[[#This Row],[ExpectedQty]]</f>
        <v>-1</v>
      </c>
      <c r="H1033" s="2">
        <f>IF(tbl_kpi[[#This Row],[ExpectedQty]]=0, 1, MAX(0, 1 - ABS(tbl_kpi[[#This Row],[VarianceQty]]) / tbl_kpi[[#This Row],[ExpectedQty]]))</f>
        <v>0.98630136986301364</v>
      </c>
      <c r="I1033" s="2" t="str">
        <f>IF(tbl_kpi[[#This Row],[AccuracyPct]] &lt; 0.98, "Y", "N")</f>
        <v>N</v>
      </c>
    </row>
    <row r="1034" spans="1:9">
      <c r="A1034" s="2">
        <v>983</v>
      </c>
      <c r="B1034" s="2">
        <v>7</v>
      </c>
      <c r="C1034" s="2" t="str">
        <f>_xlfn.XLOOKUP(tbl_kpi[[#This Row],[LocationID]], tbl_location[LocationID], tbl_location[LocationName], "UNMAPPED_LOCATION")</f>
        <v>Finished Goods Storage</v>
      </c>
      <c r="D1034" s="2">
        <v>60</v>
      </c>
      <c r="E1034" s="2">
        <v>60</v>
      </c>
      <c r="F1034" s="2">
        <f>tbl_kpi[[#This Row],[OnHandQty]]</f>
        <v>60</v>
      </c>
      <c r="G1034" s="2">
        <f>tbl_kpi[[#This Row],[CountedQty]]-tbl_kpi[[#This Row],[ExpectedQty]]</f>
        <v>0</v>
      </c>
      <c r="H1034" s="2">
        <f>IF(tbl_kpi[[#This Row],[ExpectedQty]]=0, 1, MAX(0, 1 - ABS(tbl_kpi[[#This Row],[VarianceQty]]) / tbl_kpi[[#This Row],[ExpectedQty]]))</f>
        <v>1</v>
      </c>
      <c r="I1034" s="2" t="str">
        <f>IF(tbl_kpi[[#This Row],[AccuracyPct]] &lt; 0.98, "Y", "N")</f>
        <v>N</v>
      </c>
    </row>
    <row r="1035" spans="1:9">
      <c r="A1035" s="2">
        <v>983</v>
      </c>
      <c r="B1035" s="2">
        <v>60</v>
      </c>
      <c r="C1035" s="2" t="str">
        <f>_xlfn.XLOOKUP(tbl_kpi[[#This Row],[LocationID]], tbl_location[LocationID], tbl_location[LocationName], "UNMAPPED_LOCATION")</f>
        <v>Final Assembly</v>
      </c>
      <c r="D1035" s="2">
        <v>104</v>
      </c>
      <c r="E1035" s="2">
        <v>102</v>
      </c>
      <c r="F1035" s="2">
        <f>tbl_kpi[[#This Row],[OnHandQty]]</f>
        <v>104</v>
      </c>
      <c r="G1035" s="2">
        <f>tbl_kpi[[#This Row],[CountedQty]]-tbl_kpi[[#This Row],[ExpectedQty]]</f>
        <v>-2</v>
      </c>
      <c r="H1035" s="2">
        <f>IF(tbl_kpi[[#This Row],[ExpectedQty]]=0, 1, MAX(0, 1 - ABS(tbl_kpi[[#This Row],[VarianceQty]]) / tbl_kpi[[#This Row],[ExpectedQty]]))</f>
        <v>0.98076923076923073</v>
      </c>
      <c r="I1035" s="2" t="str">
        <f>IF(tbl_kpi[[#This Row],[AccuracyPct]] &lt; 0.98, "Y", "N")</f>
        <v>N</v>
      </c>
    </row>
    <row r="1036" spans="1:9">
      <c r="A1036" s="2">
        <v>984</v>
      </c>
      <c r="B1036" s="2">
        <v>7</v>
      </c>
      <c r="C1036" s="2" t="str">
        <f>_xlfn.XLOOKUP(tbl_kpi[[#This Row],[LocationID]], tbl_location[LocationID], tbl_location[LocationName], "UNMAPPED_LOCATION")</f>
        <v>Finished Goods Storage</v>
      </c>
      <c r="D1036" s="2">
        <v>81</v>
      </c>
      <c r="E1036" s="2">
        <v>81</v>
      </c>
      <c r="F1036" s="2">
        <f>tbl_kpi[[#This Row],[OnHandQty]]</f>
        <v>81</v>
      </c>
      <c r="G1036" s="2">
        <f>tbl_kpi[[#This Row],[CountedQty]]-tbl_kpi[[#This Row],[ExpectedQty]]</f>
        <v>0</v>
      </c>
      <c r="H1036" s="2">
        <f>IF(tbl_kpi[[#This Row],[ExpectedQty]]=0, 1, MAX(0, 1 - ABS(tbl_kpi[[#This Row],[VarianceQty]]) / tbl_kpi[[#This Row],[ExpectedQty]]))</f>
        <v>1</v>
      </c>
      <c r="I1036" s="2" t="str">
        <f>IF(tbl_kpi[[#This Row],[AccuracyPct]] &lt; 0.98, "Y", "N")</f>
        <v>N</v>
      </c>
    </row>
    <row r="1037" spans="1:9">
      <c r="A1037" s="2">
        <v>984</v>
      </c>
      <c r="B1037" s="2">
        <v>60</v>
      </c>
      <c r="C1037" s="2" t="str">
        <f>_xlfn.XLOOKUP(tbl_kpi[[#This Row],[LocationID]], tbl_location[LocationID], tbl_location[LocationName], "UNMAPPED_LOCATION")</f>
        <v>Final Assembly</v>
      </c>
      <c r="D1037" s="2">
        <v>73</v>
      </c>
      <c r="E1037" s="2">
        <v>73</v>
      </c>
      <c r="F1037" s="2">
        <f>tbl_kpi[[#This Row],[OnHandQty]]</f>
        <v>73</v>
      </c>
      <c r="G1037" s="2">
        <f>tbl_kpi[[#This Row],[CountedQty]]-tbl_kpi[[#This Row],[ExpectedQty]]</f>
        <v>0</v>
      </c>
      <c r="H1037" s="2">
        <f>IF(tbl_kpi[[#This Row],[ExpectedQty]]=0, 1, MAX(0, 1 - ABS(tbl_kpi[[#This Row],[VarianceQty]]) / tbl_kpi[[#This Row],[ExpectedQty]]))</f>
        <v>1</v>
      </c>
      <c r="I1037" s="2" t="str">
        <f>IF(tbl_kpi[[#This Row],[AccuracyPct]] &lt; 0.98, "Y", "N")</f>
        <v>N</v>
      </c>
    </row>
    <row r="1038" spans="1:9">
      <c r="A1038" s="2">
        <v>985</v>
      </c>
      <c r="B1038" s="2">
        <v>7</v>
      </c>
      <c r="C1038" s="2" t="str">
        <f>_xlfn.XLOOKUP(tbl_kpi[[#This Row],[LocationID]], tbl_location[LocationID], tbl_location[LocationName], "UNMAPPED_LOCATION")</f>
        <v>Finished Goods Storage</v>
      </c>
      <c r="D1038" s="2">
        <v>60</v>
      </c>
      <c r="E1038" s="2">
        <v>60</v>
      </c>
      <c r="F1038" s="2">
        <f>tbl_kpi[[#This Row],[OnHandQty]]</f>
        <v>60</v>
      </c>
      <c r="G1038" s="2">
        <f>tbl_kpi[[#This Row],[CountedQty]]-tbl_kpi[[#This Row],[ExpectedQty]]</f>
        <v>0</v>
      </c>
      <c r="H1038" s="2">
        <f>IF(tbl_kpi[[#This Row],[ExpectedQty]]=0, 1, MAX(0, 1 - ABS(tbl_kpi[[#This Row],[VarianceQty]]) / tbl_kpi[[#This Row],[ExpectedQty]]))</f>
        <v>1</v>
      </c>
      <c r="I1038" s="2" t="str">
        <f>IF(tbl_kpi[[#This Row],[AccuracyPct]] &lt; 0.98, "Y", "N")</f>
        <v>N</v>
      </c>
    </row>
    <row r="1039" spans="1:9">
      <c r="A1039" s="2">
        <v>985</v>
      </c>
      <c r="B1039" s="2">
        <v>60</v>
      </c>
      <c r="C1039" s="2" t="str">
        <f>_xlfn.XLOOKUP(tbl_kpi[[#This Row],[LocationID]], tbl_location[LocationID], tbl_location[LocationName], "UNMAPPED_LOCATION")</f>
        <v>Final Assembly</v>
      </c>
      <c r="D1039" s="2">
        <v>104</v>
      </c>
      <c r="E1039" s="2">
        <v>104</v>
      </c>
      <c r="F1039" s="2">
        <f>tbl_kpi[[#This Row],[OnHandQty]]</f>
        <v>104</v>
      </c>
      <c r="G1039" s="2">
        <f>tbl_kpi[[#This Row],[CountedQty]]-tbl_kpi[[#This Row],[ExpectedQty]]</f>
        <v>0</v>
      </c>
      <c r="H1039" s="2">
        <f>IF(tbl_kpi[[#This Row],[ExpectedQty]]=0, 1, MAX(0, 1 - ABS(tbl_kpi[[#This Row],[VarianceQty]]) / tbl_kpi[[#This Row],[ExpectedQty]]))</f>
        <v>1</v>
      </c>
      <c r="I1039" s="2" t="str">
        <f>IF(tbl_kpi[[#This Row],[AccuracyPct]] &lt; 0.98, "Y", "N")</f>
        <v>N</v>
      </c>
    </row>
    <row r="1040" spans="1:9">
      <c r="A1040" s="2">
        <v>986</v>
      </c>
      <c r="B1040" s="2">
        <v>7</v>
      </c>
      <c r="C1040" s="2" t="str">
        <f>_xlfn.XLOOKUP(tbl_kpi[[#This Row],[LocationID]], tbl_location[LocationID], tbl_location[LocationName], "UNMAPPED_LOCATION")</f>
        <v>Finished Goods Storage</v>
      </c>
      <c r="D1040" s="2">
        <v>123</v>
      </c>
      <c r="E1040" s="2">
        <v>120</v>
      </c>
      <c r="F1040" s="2">
        <f>tbl_kpi[[#This Row],[OnHandQty]]</f>
        <v>123</v>
      </c>
      <c r="G1040" s="2">
        <f>tbl_kpi[[#This Row],[CountedQty]]-tbl_kpi[[#This Row],[ExpectedQty]]</f>
        <v>-3</v>
      </c>
      <c r="H1040" s="2">
        <f>IF(tbl_kpi[[#This Row],[ExpectedQty]]=0, 1, MAX(0, 1 - ABS(tbl_kpi[[#This Row],[VarianceQty]]) / tbl_kpi[[#This Row],[ExpectedQty]]))</f>
        <v>0.97560975609756095</v>
      </c>
      <c r="I1040" s="2" t="str">
        <f>IF(tbl_kpi[[#This Row],[AccuracyPct]] &lt; 0.98, "Y", "N")</f>
        <v>Y</v>
      </c>
    </row>
    <row r="1041" spans="1:9">
      <c r="A1041" s="2">
        <v>986</v>
      </c>
      <c r="B1041" s="2">
        <v>60</v>
      </c>
      <c r="C1041" s="2" t="str">
        <f>_xlfn.XLOOKUP(tbl_kpi[[#This Row],[LocationID]], tbl_location[LocationID], tbl_location[LocationName], "UNMAPPED_LOCATION")</f>
        <v>Final Assembly</v>
      </c>
      <c r="D1041" s="2">
        <v>30</v>
      </c>
      <c r="E1041" s="2">
        <v>30</v>
      </c>
      <c r="F1041" s="2">
        <f>tbl_kpi[[#This Row],[OnHandQty]]</f>
        <v>30</v>
      </c>
      <c r="G1041" s="2">
        <f>tbl_kpi[[#This Row],[CountedQty]]-tbl_kpi[[#This Row],[ExpectedQty]]</f>
        <v>0</v>
      </c>
      <c r="H1041" s="2">
        <f>IF(tbl_kpi[[#This Row],[ExpectedQty]]=0, 1, MAX(0, 1 - ABS(tbl_kpi[[#This Row],[VarianceQty]]) / tbl_kpi[[#This Row],[ExpectedQty]]))</f>
        <v>1</v>
      </c>
      <c r="I1041" s="2" t="str">
        <f>IF(tbl_kpi[[#This Row],[AccuracyPct]] &lt; 0.98, "Y", "N")</f>
        <v>N</v>
      </c>
    </row>
    <row r="1042" spans="1:9">
      <c r="A1042" s="2">
        <v>987</v>
      </c>
      <c r="B1042" s="2">
        <v>7</v>
      </c>
      <c r="C1042" s="2" t="str">
        <f>_xlfn.XLOOKUP(tbl_kpi[[#This Row],[LocationID]], tbl_location[LocationID], tbl_location[LocationName], "UNMAPPED_LOCATION")</f>
        <v>Finished Goods Storage</v>
      </c>
      <c r="D1042" s="2">
        <v>99</v>
      </c>
      <c r="E1042" s="2">
        <v>100</v>
      </c>
      <c r="F1042" s="2">
        <f>tbl_kpi[[#This Row],[OnHandQty]]</f>
        <v>99</v>
      </c>
      <c r="G1042" s="2">
        <f>tbl_kpi[[#This Row],[CountedQty]]-tbl_kpi[[#This Row],[ExpectedQty]]</f>
        <v>1</v>
      </c>
      <c r="H1042" s="2">
        <f>IF(tbl_kpi[[#This Row],[ExpectedQty]]=0, 1, MAX(0, 1 - ABS(tbl_kpi[[#This Row],[VarianceQty]]) / tbl_kpi[[#This Row],[ExpectedQty]]))</f>
        <v>0.98989898989898994</v>
      </c>
      <c r="I1042" s="2" t="str">
        <f>IF(tbl_kpi[[#This Row],[AccuracyPct]] &lt; 0.98, "Y", "N")</f>
        <v>N</v>
      </c>
    </row>
    <row r="1043" spans="1:9">
      <c r="A1043" s="2">
        <v>987</v>
      </c>
      <c r="B1043" s="2">
        <v>60</v>
      </c>
      <c r="C1043" s="2" t="str">
        <f>_xlfn.XLOOKUP(tbl_kpi[[#This Row],[LocationID]], tbl_location[LocationID], tbl_location[LocationName], "UNMAPPED_LOCATION")</f>
        <v>Final Assembly</v>
      </c>
      <c r="D1043" s="2">
        <v>56</v>
      </c>
      <c r="E1043" s="2">
        <v>56</v>
      </c>
      <c r="F1043" s="2">
        <f>tbl_kpi[[#This Row],[OnHandQty]]</f>
        <v>56</v>
      </c>
      <c r="G1043" s="2">
        <f>tbl_kpi[[#This Row],[CountedQty]]-tbl_kpi[[#This Row],[ExpectedQty]]</f>
        <v>0</v>
      </c>
      <c r="H1043" s="2">
        <f>IF(tbl_kpi[[#This Row],[ExpectedQty]]=0, 1, MAX(0, 1 - ABS(tbl_kpi[[#This Row],[VarianceQty]]) / tbl_kpi[[#This Row],[ExpectedQty]]))</f>
        <v>1</v>
      </c>
      <c r="I1043" s="2" t="str">
        <f>IF(tbl_kpi[[#This Row],[AccuracyPct]] &lt; 0.98, "Y", "N")</f>
        <v>N</v>
      </c>
    </row>
    <row r="1044" spans="1:9">
      <c r="A1044" s="2">
        <v>988</v>
      </c>
      <c r="B1044" s="2">
        <v>7</v>
      </c>
      <c r="C1044" s="2" t="str">
        <f>_xlfn.XLOOKUP(tbl_kpi[[#This Row],[LocationID]], tbl_location[LocationID], tbl_location[LocationName], "UNMAPPED_LOCATION")</f>
        <v>Finished Goods Storage</v>
      </c>
      <c r="D1044" s="2">
        <v>78</v>
      </c>
      <c r="E1044" s="2">
        <v>76</v>
      </c>
      <c r="F1044" s="2">
        <f>tbl_kpi[[#This Row],[OnHandQty]]</f>
        <v>78</v>
      </c>
      <c r="G1044" s="2">
        <f>tbl_kpi[[#This Row],[CountedQty]]-tbl_kpi[[#This Row],[ExpectedQty]]</f>
        <v>-2</v>
      </c>
      <c r="H1044" s="2">
        <f>IF(tbl_kpi[[#This Row],[ExpectedQty]]=0, 1, MAX(0, 1 - ABS(tbl_kpi[[#This Row],[VarianceQty]]) / tbl_kpi[[#This Row],[ExpectedQty]]))</f>
        <v>0.97435897435897434</v>
      </c>
      <c r="I1044" s="2" t="str">
        <f>IF(tbl_kpi[[#This Row],[AccuracyPct]] &lt; 0.98, "Y", "N")</f>
        <v>Y</v>
      </c>
    </row>
    <row r="1045" spans="1:9">
      <c r="A1045" s="2">
        <v>988</v>
      </c>
      <c r="B1045" s="2">
        <v>60</v>
      </c>
      <c r="C1045" s="2" t="str">
        <f>_xlfn.XLOOKUP(tbl_kpi[[#This Row],[LocationID]], tbl_location[LocationID], tbl_location[LocationName], "UNMAPPED_LOCATION")</f>
        <v>Final Assembly</v>
      </c>
      <c r="D1045" s="2">
        <v>116</v>
      </c>
      <c r="E1045" s="2">
        <v>119</v>
      </c>
      <c r="F1045" s="2">
        <f>tbl_kpi[[#This Row],[OnHandQty]]</f>
        <v>116</v>
      </c>
      <c r="G1045" s="2">
        <f>tbl_kpi[[#This Row],[CountedQty]]-tbl_kpi[[#This Row],[ExpectedQty]]</f>
        <v>3</v>
      </c>
      <c r="H1045" s="2">
        <f>IF(tbl_kpi[[#This Row],[ExpectedQty]]=0, 1, MAX(0, 1 - ABS(tbl_kpi[[#This Row],[VarianceQty]]) / tbl_kpi[[#This Row],[ExpectedQty]]))</f>
        <v>0.97413793103448276</v>
      </c>
      <c r="I1045" s="2" t="str">
        <f>IF(tbl_kpi[[#This Row],[AccuracyPct]] &lt; 0.98, "Y", "N")</f>
        <v>Y</v>
      </c>
    </row>
    <row r="1046" spans="1:9">
      <c r="A1046" s="2">
        <v>989</v>
      </c>
      <c r="B1046" s="2">
        <v>7</v>
      </c>
      <c r="C1046" s="2" t="str">
        <f>_xlfn.XLOOKUP(tbl_kpi[[#This Row],[LocationID]], tbl_location[LocationID], tbl_location[LocationName], "UNMAPPED_LOCATION")</f>
        <v>Finished Goods Storage</v>
      </c>
      <c r="D1046" s="2">
        <v>51</v>
      </c>
      <c r="E1046" s="2">
        <v>50</v>
      </c>
      <c r="F1046" s="2">
        <f>tbl_kpi[[#This Row],[OnHandQty]]</f>
        <v>51</v>
      </c>
      <c r="G1046" s="2">
        <f>tbl_kpi[[#This Row],[CountedQty]]-tbl_kpi[[#This Row],[ExpectedQty]]</f>
        <v>-1</v>
      </c>
      <c r="H1046" s="2">
        <f>IF(tbl_kpi[[#This Row],[ExpectedQty]]=0, 1, MAX(0, 1 - ABS(tbl_kpi[[#This Row],[VarianceQty]]) / tbl_kpi[[#This Row],[ExpectedQty]]))</f>
        <v>0.98039215686274506</v>
      </c>
      <c r="I1046" s="2" t="str">
        <f>IF(tbl_kpi[[#This Row],[AccuracyPct]] &lt; 0.98, "Y", "N")</f>
        <v>N</v>
      </c>
    </row>
    <row r="1047" spans="1:9">
      <c r="A1047" s="2">
        <v>989</v>
      </c>
      <c r="B1047" s="2">
        <v>60</v>
      </c>
      <c r="C1047" s="2" t="str">
        <f>_xlfn.XLOOKUP(tbl_kpi[[#This Row],[LocationID]], tbl_location[LocationID], tbl_location[LocationName], "UNMAPPED_LOCATION")</f>
        <v>Final Assembly</v>
      </c>
      <c r="D1047" s="2">
        <v>99</v>
      </c>
      <c r="E1047" s="2">
        <v>98</v>
      </c>
      <c r="F1047" s="2">
        <f>tbl_kpi[[#This Row],[OnHandQty]]</f>
        <v>99</v>
      </c>
      <c r="G1047" s="2">
        <f>tbl_kpi[[#This Row],[CountedQty]]-tbl_kpi[[#This Row],[ExpectedQty]]</f>
        <v>-1</v>
      </c>
      <c r="H1047" s="2">
        <f>IF(tbl_kpi[[#This Row],[ExpectedQty]]=0, 1, MAX(0, 1 - ABS(tbl_kpi[[#This Row],[VarianceQty]]) / tbl_kpi[[#This Row],[ExpectedQty]]))</f>
        <v>0.98989898989898994</v>
      </c>
      <c r="I1047" s="2" t="str">
        <f>IF(tbl_kpi[[#This Row],[AccuracyPct]] &lt; 0.98, "Y", "N")</f>
        <v>N</v>
      </c>
    </row>
    <row r="1048" spans="1:9">
      <c r="A1048" s="2">
        <v>990</v>
      </c>
      <c r="B1048" s="2">
        <v>7</v>
      </c>
      <c r="C1048" s="2" t="str">
        <f>_xlfn.XLOOKUP(tbl_kpi[[#This Row],[LocationID]], tbl_location[LocationID], tbl_location[LocationName], "UNMAPPED_LOCATION")</f>
        <v>Finished Goods Storage</v>
      </c>
      <c r="D1048" s="2">
        <v>86</v>
      </c>
      <c r="E1048" s="2">
        <v>84</v>
      </c>
      <c r="F1048" s="2">
        <f>tbl_kpi[[#This Row],[OnHandQty]]</f>
        <v>86</v>
      </c>
      <c r="G1048" s="2">
        <f>tbl_kpi[[#This Row],[CountedQty]]-tbl_kpi[[#This Row],[ExpectedQty]]</f>
        <v>-2</v>
      </c>
      <c r="H1048" s="2">
        <f>IF(tbl_kpi[[#This Row],[ExpectedQty]]=0, 1, MAX(0, 1 - ABS(tbl_kpi[[#This Row],[VarianceQty]]) / tbl_kpi[[#This Row],[ExpectedQty]]))</f>
        <v>0.97674418604651159</v>
      </c>
      <c r="I1048" s="2" t="str">
        <f>IF(tbl_kpi[[#This Row],[AccuracyPct]] &lt; 0.98, "Y", "N")</f>
        <v>Y</v>
      </c>
    </row>
    <row r="1049" spans="1:9">
      <c r="A1049" s="2">
        <v>990</v>
      </c>
      <c r="B1049" s="2">
        <v>60</v>
      </c>
      <c r="C1049" s="2" t="str">
        <f>_xlfn.XLOOKUP(tbl_kpi[[#This Row],[LocationID]], tbl_location[LocationID], tbl_location[LocationName], "UNMAPPED_LOCATION")</f>
        <v>Final Assembly</v>
      </c>
      <c r="D1049" s="2">
        <v>67</v>
      </c>
      <c r="E1049" s="2">
        <v>68</v>
      </c>
      <c r="F1049" s="2">
        <f>tbl_kpi[[#This Row],[OnHandQty]]</f>
        <v>67</v>
      </c>
      <c r="G1049" s="2">
        <f>tbl_kpi[[#This Row],[CountedQty]]-tbl_kpi[[#This Row],[ExpectedQty]]</f>
        <v>1</v>
      </c>
      <c r="H1049" s="2">
        <f>IF(tbl_kpi[[#This Row],[ExpectedQty]]=0, 1, MAX(0, 1 - ABS(tbl_kpi[[#This Row],[VarianceQty]]) / tbl_kpi[[#This Row],[ExpectedQty]]))</f>
        <v>0.9850746268656716</v>
      </c>
      <c r="I1049" s="2" t="str">
        <f>IF(tbl_kpi[[#This Row],[AccuracyPct]] &lt; 0.98, "Y", "N")</f>
        <v>N</v>
      </c>
    </row>
    <row r="1050" spans="1:9">
      <c r="A1050" s="2">
        <v>991</v>
      </c>
      <c r="B1050" s="2">
        <v>7</v>
      </c>
      <c r="C1050" s="2" t="str">
        <f>_xlfn.XLOOKUP(tbl_kpi[[#This Row],[LocationID]], tbl_location[LocationID], tbl_location[LocationName], "UNMAPPED_LOCATION")</f>
        <v>Finished Goods Storage</v>
      </c>
      <c r="D1050" s="2">
        <v>81</v>
      </c>
      <c r="E1050" s="2">
        <v>83</v>
      </c>
      <c r="F1050" s="2">
        <f>tbl_kpi[[#This Row],[OnHandQty]]</f>
        <v>81</v>
      </c>
      <c r="G1050" s="2">
        <f>tbl_kpi[[#This Row],[CountedQty]]-tbl_kpi[[#This Row],[ExpectedQty]]</f>
        <v>2</v>
      </c>
      <c r="H1050" s="2">
        <f>IF(tbl_kpi[[#This Row],[ExpectedQty]]=0, 1, MAX(0, 1 - ABS(tbl_kpi[[#This Row],[VarianceQty]]) / tbl_kpi[[#This Row],[ExpectedQty]]))</f>
        <v>0.97530864197530864</v>
      </c>
      <c r="I1050" s="2" t="str">
        <f>IF(tbl_kpi[[#This Row],[AccuracyPct]] &lt; 0.98, "Y", "N")</f>
        <v>Y</v>
      </c>
    </row>
    <row r="1051" spans="1:9">
      <c r="A1051" s="2">
        <v>991</v>
      </c>
      <c r="B1051" s="2">
        <v>60</v>
      </c>
      <c r="C1051" s="2" t="str">
        <f>_xlfn.XLOOKUP(tbl_kpi[[#This Row],[LocationID]], tbl_location[LocationID], tbl_location[LocationName], "UNMAPPED_LOCATION")</f>
        <v>Final Assembly</v>
      </c>
      <c r="D1051" s="2">
        <v>73</v>
      </c>
      <c r="E1051" s="2">
        <v>73</v>
      </c>
      <c r="F1051" s="2">
        <f>tbl_kpi[[#This Row],[OnHandQty]]</f>
        <v>73</v>
      </c>
      <c r="G1051" s="2">
        <f>tbl_kpi[[#This Row],[CountedQty]]-tbl_kpi[[#This Row],[ExpectedQty]]</f>
        <v>0</v>
      </c>
      <c r="H1051" s="2">
        <f>IF(tbl_kpi[[#This Row],[ExpectedQty]]=0, 1, MAX(0, 1 - ABS(tbl_kpi[[#This Row],[VarianceQty]]) / tbl_kpi[[#This Row],[ExpectedQty]]))</f>
        <v>1</v>
      </c>
      <c r="I1051" s="2" t="str">
        <f>IF(tbl_kpi[[#This Row],[AccuracyPct]] &lt; 0.98, "Y", "N")</f>
        <v>N</v>
      </c>
    </row>
    <row r="1052" spans="1:9">
      <c r="A1052" s="2">
        <v>992</v>
      </c>
      <c r="B1052" s="2">
        <v>7</v>
      </c>
      <c r="C1052" s="2" t="str">
        <f>_xlfn.XLOOKUP(tbl_kpi[[#This Row],[LocationID]], tbl_location[LocationID], tbl_location[LocationName], "UNMAPPED_LOCATION")</f>
        <v>Finished Goods Storage</v>
      </c>
      <c r="D1052" s="2">
        <v>60</v>
      </c>
      <c r="E1052" s="2">
        <v>60</v>
      </c>
      <c r="F1052" s="2">
        <f>tbl_kpi[[#This Row],[OnHandQty]]</f>
        <v>60</v>
      </c>
      <c r="G1052" s="2">
        <f>tbl_kpi[[#This Row],[CountedQty]]-tbl_kpi[[#This Row],[ExpectedQty]]</f>
        <v>0</v>
      </c>
      <c r="H1052" s="2">
        <f>IF(tbl_kpi[[#This Row],[ExpectedQty]]=0, 1, MAX(0, 1 - ABS(tbl_kpi[[#This Row],[VarianceQty]]) / tbl_kpi[[#This Row],[ExpectedQty]]))</f>
        <v>1</v>
      </c>
      <c r="I1052" s="2" t="str">
        <f>IF(tbl_kpi[[#This Row],[AccuracyPct]] &lt; 0.98, "Y", "N")</f>
        <v>N</v>
      </c>
    </row>
    <row r="1053" spans="1:9">
      <c r="A1053" s="2">
        <v>992</v>
      </c>
      <c r="B1053" s="2">
        <v>60</v>
      </c>
      <c r="C1053" s="2" t="str">
        <f>_xlfn.XLOOKUP(tbl_kpi[[#This Row],[LocationID]], tbl_location[LocationID], tbl_location[LocationName], "UNMAPPED_LOCATION")</f>
        <v>Final Assembly</v>
      </c>
      <c r="D1053" s="2">
        <v>104</v>
      </c>
      <c r="E1053" s="2">
        <v>107</v>
      </c>
      <c r="F1053" s="2">
        <f>tbl_kpi[[#This Row],[OnHandQty]]</f>
        <v>104</v>
      </c>
      <c r="G1053" s="2">
        <f>tbl_kpi[[#This Row],[CountedQty]]-tbl_kpi[[#This Row],[ExpectedQty]]</f>
        <v>3</v>
      </c>
      <c r="H1053" s="2">
        <f>IF(tbl_kpi[[#This Row],[ExpectedQty]]=0, 1, MAX(0, 1 - ABS(tbl_kpi[[#This Row],[VarianceQty]]) / tbl_kpi[[#This Row],[ExpectedQty]]))</f>
        <v>0.97115384615384615</v>
      </c>
      <c r="I1053" s="2" t="str">
        <f>IF(tbl_kpi[[#This Row],[AccuracyPct]] &lt; 0.98, "Y", "N")</f>
        <v>Y</v>
      </c>
    </row>
    <row r="1054" spans="1:9">
      <c r="A1054" s="2">
        <v>993</v>
      </c>
      <c r="B1054" s="2">
        <v>7</v>
      </c>
      <c r="C1054" s="2" t="str">
        <f>_xlfn.XLOOKUP(tbl_kpi[[#This Row],[LocationID]], tbl_location[LocationID], tbl_location[LocationName], "UNMAPPED_LOCATION")</f>
        <v>Finished Goods Storage</v>
      </c>
      <c r="D1054" s="2">
        <v>123</v>
      </c>
      <c r="E1054" s="2">
        <v>123</v>
      </c>
      <c r="F1054" s="2">
        <f>tbl_kpi[[#This Row],[OnHandQty]]</f>
        <v>123</v>
      </c>
      <c r="G1054" s="2">
        <f>tbl_kpi[[#This Row],[CountedQty]]-tbl_kpi[[#This Row],[ExpectedQty]]</f>
        <v>0</v>
      </c>
      <c r="H1054" s="2">
        <f>IF(tbl_kpi[[#This Row],[ExpectedQty]]=0, 1, MAX(0, 1 - ABS(tbl_kpi[[#This Row],[VarianceQty]]) / tbl_kpi[[#This Row],[ExpectedQty]]))</f>
        <v>1</v>
      </c>
      <c r="I1054" s="2" t="str">
        <f>IF(tbl_kpi[[#This Row],[AccuracyPct]] &lt; 0.98, "Y", "N")</f>
        <v>N</v>
      </c>
    </row>
    <row r="1055" spans="1:9">
      <c r="A1055" s="2">
        <v>993</v>
      </c>
      <c r="B1055" s="2">
        <v>60</v>
      </c>
      <c r="C1055" s="2" t="str">
        <f>_xlfn.XLOOKUP(tbl_kpi[[#This Row],[LocationID]], tbl_location[LocationID], tbl_location[LocationName], "UNMAPPED_LOCATION")</f>
        <v>Final Assembly</v>
      </c>
      <c r="D1055" s="2">
        <v>30</v>
      </c>
      <c r="E1055" s="2">
        <v>29</v>
      </c>
      <c r="F1055" s="2">
        <f>tbl_kpi[[#This Row],[OnHandQty]]</f>
        <v>30</v>
      </c>
      <c r="G1055" s="2">
        <f>tbl_kpi[[#This Row],[CountedQty]]-tbl_kpi[[#This Row],[ExpectedQty]]</f>
        <v>-1</v>
      </c>
      <c r="H1055" s="2">
        <f>IF(tbl_kpi[[#This Row],[ExpectedQty]]=0, 1, MAX(0, 1 - ABS(tbl_kpi[[#This Row],[VarianceQty]]) / tbl_kpi[[#This Row],[ExpectedQty]]))</f>
        <v>0.96666666666666667</v>
      </c>
      <c r="I1055" s="2" t="str">
        <f>IF(tbl_kpi[[#This Row],[AccuracyPct]] &lt; 0.98, "Y", "N")</f>
        <v>Y</v>
      </c>
    </row>
    <row r="1056" spans="1:9">
      <c r="A1056" s="2">
        <v>994</v>
      </c>
      <c r="B1056" s="2">
        <v>1</v>
      </c>
      <c r="C1056" s="2" t="str">
        <f>_xlfn.XLOOKUP(tbl_kpi[[#This Row],[LocationID]], tbl_location[LocationID], tbl_location[LocationName], "UNMAPPED_LOCATION")</f>
        <v>Tool Crib</v>
      </c>
      <c r="D1056" s="2">
        <v>244</v>
      </c>
      <c r="E1056" s="2">
        <v>251</v>
      </c>
      <c r="F1056" s="2">
        <f>tbl_kpi[[#This Row],[OnHandQty]]</f>
        <v>244</v>
      </c>
      <c r="G1056" s="2">
        <f>tbl_kpi[[#This Row],[CountedQty]]-tbl_kpi[[#This Row],[ExpectedQty]]</f>
        <v>7</v>
      </c>
      <c r="H1056" s="2">
        <f>IF(tbl_kpi[[#This Row],[ExpectedQty]]=0, 1, MAX(0, 1 - ABS(tbl_kpi[[#This Row],[VarianceQty]]) / tbl_kpi[[#This Row],[ExpectedQty]]))</f>
        <v>0.97131147540983609</v>
      </c>
      <c r="I1056" s="2" t="str">
        <f>IF(tbl_kpi[[#This Row],[AccuracyPct]] &lt; 0.98, "Y", "N")</f>
        <v>Y</v>
      </c>
    </row>
    <row r="1057" spans="1:9">
      <c r="A1057" s="2">
        <v>994</v>
      </c>
      <c r="B1057" s="2">
        <v>6</v>
      </c>
      <c r="C1057" s="2" t="str">
        <f>_xlfn.XLOOKUP(tbl_kpi[[#This Row],[LocationID]], tbl_location[LocationID], tbl_location[LocationName], "UNMAPPED_LOCATION")</f>
        <v>Miscellaneous Storage</v>
      </c>
      <c r="D1057" s="2">
        <v>358</v>
      </c>
      <c r="E1057" s="2">
        <v>368</v>
      </c>
      <c r="F1057" s="2">
        <f>tbl_kpi[[#This Row],[OnHandQty]]</f>
        <v>358</v>
      </c>
      <c r="G1057" s="2">
        <f>tbl_kpi[[#This Row],[CountedQty]]-tbl_kpi[[#This Row],[ExpectedQty]]</f>
        <v>10</v>
      </c>
      <c r="H1057" s="2">
        <f>IF(tbl_kpi[[#This Row],[ExpectedQty]]=0, 1, MAX(0, 1 - ABS(tbl_kpi[[#This Row],[VarianceQty]]) / tbl_kpi[[#This Row],[ExpectedQty]]))</f>
        <v>0.97206703910614523</v>
      </c>
      <c r="I1057" s="2" t="str">
        <f>IF(tbl_kpi[[#This Row],[AccuracyPct]] &lt; 0.98, "Y", "N")</f>
        <v>Y</v>
      </c>
    </row>
    <row r="1058" spans="1:9">
      <c r="A1058" s="2">
        <v>994</v>
      </c>
      <c r="B1058" s="2">
        <v>50</v>
      </c>
      <c r="C1058" s="2" t="str">
        <f>_xlfn.XLOOKUP(tbl_kpi[[#This Row],[LocationID]], tbl_location[LocationID], tbl_location[LocationName], "UNMAPPED_LOCATION")</f>
        <v>Subassembly</v>
      </c>
      <c r="D1058" s="2">
        <v>212</v>
      </c>
      <c r="E1058" s="2">
        <v>214</v>
      </c>
      <c r="F1058" s="2">
        <f>tbl_kpi[[#This Row],[OnHandQty]]</f>
        <v>212</v>
      </c>
      <c r="G1058" s="2">
        <f>tbl_kpi[[#This Row],[CountedQty]]-tbl_kpi[[#This Row],[ExpectedQty]]</f>
        <v>2</v>
      </c>
      <c r="H1058" s="2">
        <f>IF(tbl_kpi[[#This Row],[ExpectedQty]]=0, 1, MAX(0, 1 - ABS(tbl_kpi[[#This Row],[VarianceQty]]) / tbl_kpi[[#This Row],[ExpectedQty]]))</f>
        <v>0.99056603773584906</v>
      </c>
      <c r="I1058" s="2" t="str">
        <f>IF(tbl_kpi[[#This Row],[AccuracyPct]] &lt; 0.98, "Y", "N")</f>
        <v>N</v>
      </c>
    </row>
    <row r="1059" spans="1:9">
      <c r="A1059" s="2">
        <v>995</v>
      </c>
      <c r="B1059" s="2">
        <v>1</v>
      </c>
      <c r="C1059" s="2" t="str">
        <f>_xlfn.XLOOKUP(tbl_kpi[[#This Row],[LocationID]], tbl_location[LocationID], tbl_location[LocationName], "UNMAPPED_LOCATION")</f>
        <v>Tool Crib</v>
      </c>
      <c r="D1059" s="2">
        <v>230</v>
      </c>
      <c r="E1059" s="2">
        <v>228</v>
      </c>
      <c r="F1059" s="2">
        <f>tbl_kpi[[#This Row],[OnHandQty]]</f>
        <v>230</v>
      </c>
      <c r="G1059" s="2">
        <f>tbl_kpi[[#This Row],[CountedQty]]-tbl_kpi[[#This Row],[ExpectedQty]]</f>
        <v>-2</v>
      </c>
      <c r="H1059" s="2">
        <f>IF(tbl_kpi[[#This Row],[ExpectedQty]]=0, 1, MAX(0, 1 - ABS(tbl_kpi[[#This Row],[VarianceQty]]) / tbl_kpi[[#This Row],[ExpectedQty]]))</f>
        <v>0.99130434782608701</v>
      </c>
      <c r="I1059" s="2" t="str">
        <f>IF(tbl_kpi[[#This Row],[AccuracyPct]] &lt; 0.98, "Y", "N")</f>
        <v>N</v>
      </c>
    </row>
    <row r="1060" spans="1:9">
      <c r="A1060" s="2">
        <v>995</v>
      </c>
      <c r="B1060" s="2">
        <v>6</v>
      </c>
      <c r="C1060" s="2" t="str">
        <f>_xlfn.XLOOKUP(tbl_kpi[[#This Row],[LocationID]], tbl_location[LocationID], tbl_location[LocationName], "UNMAPPED_LOCATION")</f>
        <v>Miscellaneous Storage</v>
      </c>
      <c r="D1060" s="2">
        <v>321</v>
      </c>
      <c r="E1060" s="2">
        <v>317</v>
      </c>
      <c r="F1060" s="2">
        <f>tbl_kpi[[#This Row],[OnHandQty]]</f>
        <v>321</v>
      </c>
      <c r="G1060" s="2">
        <f>tbl_kpi[[#This Row],[CountedQty]]-tbl_kpi[[#This Row],[ExpectedQty]]</f>
        <v>-4</v>
      </c>
      <c r="H1060" s="2">
        <f>IF(tbl_kpi[[#This Row],[ExpectedQty]]=0, 1, MAX(0, 1 - ABS(tbl_kpi[[#This Row],[VarianceQty]]) / tbl_kpi[[#This Row],[ExpectedQty]]))</f>
        <v>0.98753894080996885</v>
      </c>
      <c r="I1060" s="2" t="str">
        <f>IF(tbl_kpi[[#This Row],[AccuracyPct]] &lt; 0.98, "Y", "N")</f>
        <v>N</v>
      </c>
    </row>
    <row r="1061" spans="1:9">
      <c r="A1061" s="2">
        <v>995</v>
      </c>
      <c r="B1061" s="2">
        <v>50</v>
      </c>
      <c r="C1061" s="2" t="str">
        <f>_xlfn.XLOOKUP(tbl_kpi[[#This Row],[LocationID]], tbl_location[LocationID], tbl_location[LocationName], "UNMAPPED_LOCATION")</f>
        <v>Subassembly</v>
      </c>
      <c r="D1061" s="2">
        <v>265</v>
      </c>
      <c r="E1061" s="2">
        <v>264</v>
      </c>
      <c r="F1061" s="2">
        <f>tbl_kpi[[#This Row],[OnHandQty]]</f>
        <v>265</v>
      </c>
      <c r="G1061" s="2">
        <f>tbl_kpi[[#This Row],[CountedQty]]-tbl_kpi[[#This Row],[ExpectedQty]]</f>
        <v>-1</v>
      </c>
      <c r="H1061" s="2">
        <f>IF(tbl_kpi[[#This Row],[ExpectedQty]]=0, 1, MAX(0, 1 - ABS(tbl_kpi[[#This Row],[VarianceQty]]) / tbl_kpi[[#This Row],[ExpectedQty]]))</f>
        <v>0.99622641509433962</v>
      </c>
      <c r="I1061" s="2" t="str">
        <f>IF(tbl_kpi[[#This Row],[AccuracyPct]] &lt; 0.98, "Y", "N")</f>
        <v>N</v>
      </c>
    </row>
    <row r="1062" spans="1:9">
      <c r="A1062" s="2">
        <v>996</v>
      </c>
      <c r="B1062" s="2">
        <v>1</v>
      </c>
      <c r="C1062" s="2" t="str">
        <f>_xlfn.XLOOKUP(tbl_kpi[[#This Row],[LocationID]], tbl_location[LocationID], tbl_location[LocationName], "UNMAPPED_LOCATION")</f>
        <v>Tool Crib</v>
      </c>
      <c r="D1062" s="2">
        <v>321</v>
      </c>
      <c r="E1062" s="2">
        <v>323</v>
      </c>
      <c r="F1062" s="2">
        <f>tbl_kpi[[#This Row],[OnHandQty]]</f>
        <v>321</v>
      </c>
      <c r="G1062" s="2">
        <f>tbl_kpi[[#This Row],[CountedQty]]-tbl_kpi[[#This Row],[ExpectedQty]]</f>
        <v>2</v>
      </c>
      <c r="H1062" s="2">
        <f>IF(tbl_kpi[[#This Row],[ExpectedQty]]=0, 1, MAX(0, 1 - ABS(tbl_kpi[[#This Row],[VarianceQty]]) / tbl_kpi[[#This Row],[ExpectedQty]]))</f>
        <v>0.99376947040498442</v>
      </c>
      <c r="I1062" s="2" t="str">
        <f>IF(tbl_kpi[[#This Row],[AccuracyPct]] &lt; 0.98, "Y", "N")</f>
        <v>N</v>
      </c>
    </row>
    <row r="1063" spans="1:9">
      <c r="A1063" s="2">
        <v>996</v>
      </c>
      <c r="B1063" s="2">
        <v>6</v>
      </c>
      <c r="C1063" s="2" t="str">
        <f>_xlfn.XLOOKUP(tbl_kpi[[#This Row],[LocationID]], tbl_location[LocationID], tbl_location[LocationName], "UNMAPPED_LOCATION")</f>
        <v>Miscellaneous Storage</v>
      </c>
      <c r="D1063" s="2">
        <v>475</v>
      </c>
      <c r="E1063" s="2">
        <v>467</v>
      </c>
      <c r="F1063" s="2">
        <f>tbl_kpi[[#This Row],[OnHandQty]]</f>
        <v>475</v>
      </c>
      <c r="G1063" s="2">
        <f>tbl_kpi[[#This Row],[CountedQty]]-tbl_kpi[[#This Row],[ExpectedQty]]</f>
        <v>-8</v>
      </c>
      <c r="H1063" s="2">
        <f>IF(tbl_kpi[[#This Row],[ExpectedQty]]=0, 1, MAX(0, 1 - ABS(tbl_kpi[[#This Row],[VarianceQty]]) / tbl_kpi[[#This Row],[ExpectedQty]]))</f>
        <v>0.98315789473684212</v>
      </c>
      <c r="I1063" s="2" t="str">
        <f>IF(tbl_kpi[[#This Row],[AccuracyPct]] &lt; 0.98, "Y", "N")</f>
        <v>N</v>
      </c>
    </row>
    <row r="1064" spans="1:9">
      <c r="A1064" s="2">
        <v>996</v>
      </c>
      <c r="B1064" s="2">
        <v>50</v>
      </c>
      <c r="C1064" s="2" t="str">
        <f>_xlfn.XLOOKUP(tbl_kpi[[#This Row],[LocationID]], tbl_location[LocationID], tbl_location[LocationName], "UNMAPPED_LOCATION")</f>
        <v>Subassembly</v>
      </c>
      <c r="D1064" s="2">
        <v>174</v>
      </c>
      <c r="E1064" s="2">
        <v>170</v>
      </c>
      <c r="F1064" s="2">
        <f>tbl_kpi[[#This Row],[OnHandQty]]</f>
        <v>174</v>
      </c>
      <c r="G1064" s="2">
        <f>tbl_kpi[[#This Row],[CountedQty]]-tbl_kpi[[#This Row],[ExpectedQty]]</f>
        <v>-4</v>
      </c>
      <c r="H1064" s="2">
        <f>IF(tbl_kpi[[#This Row],[ExpectedQty]]=0, 1, MAX(0, 1 - ABS(tbl_kpi[[#This Row],[VarianceQty]]) / tbl_kpi[[#This Row],[ExpectedQty]]))</f>
        <v>0.97701149425287359</v>
      </c>
      <c r="I1064" s="2" t="str">
        <f>IF(tbl_kpi[[#This Row],[AccuracyPct]] &lt; 0.98, "Y", "N")</f>
        <v>Y</v>
      </c>
    </row>
    <row r="1065" spans="1:9">
      <c r="A1065" s="2">
        <v>997</v>
      </c>
      <c r="B1065" s="2">
        <v>7</v>
      </c>
      <c r="C1065" s="2" t="str">
        <f>_xlfn.XLOOKUP(tbl_kpi[[#This Row],[LocationID]], tbl_location[LocationID], tbl_location[LocationName], "UNMAPPED_LOCATION")</f>
        <v>Finished Goods Storage</v>
      </c>
      <c r="D1065" s="2">
        <v>123</v>
      </c>
      <c r="E1065" s="2">
        <v>123</v>
      </c>
      <c r="F1065" s="2">
        <f>tbl_kpi[[#This Row],[OnHandQty]]</f>
        <v>123</v>
      </c>
      <c r="G1065" s="2">
        <f>tbl_kpi[[#This Row],[CountedQty]]-tbl_kpi[[#This Row],[ExpectedQty]]</f>
        <v>0</v>
      </c>
      <c r="H1065" s="2">
        <f>IF(tbl_kpi[[#This Row],[ExpectedQty]]=0, 1, MAX(0, 1 - ABS(tbl_kpi[[#This Row],[VarianceQty]]) / tbl_kpi[[#This Row],[ExpectedQty]]))</f>
        <v>1</v>
      </c>
      <c r="I1065" s="2" t="str">
        <f>IF(tbl_kpi[[#This Row],[AccuracyPct]] &lt; 0.98, "Y", "N")</f>
        <v>N</v>
      </c>
    </row>
    <row r="1066" spans="1:9">
      <c r="A1066" s="2">
        <v>997</v>
      </c>
      <c r="B1066" s="2">
        <v>60</v>
      </c>
      <c r="C1066" s="2" t="str">
        <f>_xlfn.XLOOKUP(tbl_kpi[[#This Row],[LocationID]], tbl_location[LocationID], tbl_location[LocationName], "UNMAPPED_LOCATION")</f>
        <v>Final Assembly</v>
      </c>
      <c r="D1066" s="2">
        <v>30</v>
      </c>
      <c r="E1066" s="2">
        <v>30</v>
      </c>
      <c r="F1066" s="2">
        <f>tbl_kpi[[#This Row],[OnHandQty]]</f>
        <v>30</v>
      </c>
      <c r="G1066" s="2">
        <f>tbl_kpi[[#This Row],[CountedQty]]-tbl_kpi[[#This Row],[ExpectedQty]]</f>
        <v>0</v>
      </c>
      <c r="H1066" s="2">
        <f>IF(tbl_kpi[[#This Row],[ExpectedQty]]=0, 1, MAX(0, 1 - ABS(tbl_kpi[[#This Row],[VarianceQty]]) / tbl_kpi[[#This Row],[ExpectedQty]]))</f>
        <v>1</v>
      </c>
      <c r="I1066" s="2" t="str">
        <f>IF(tbl_kpi[[#This Row],[AccuracyPct]] &lt; 0.98, "Y", "N")</f>
        <v>N</v>
      </c>
    </row>
    <row r="1067" spans="1:9">
      <c r="A1067" s="2">
        <v>998</v>
      </c>
      <c r="B1067" s="2">
        <v>7</v>
      </c>
      <c r="C1067" s="2" t="str">
        <f>_xlfn.XLOOKUP(tbl_kpi[[#This Row],[LocationID]], tbl_location[LocationID], tbl_location[LocationName], "UNMAPPED_LOCATION")</f>
        <v>Finished Goods Storage</v>
      </c>
      <c r="D1067" s="2">
        <v>99</v>
      </c>
      <c r="E1067" s="2">
        <v>100</v>
      </c>
      <c r="F1067" s="2">
        <f>tbl_kpi[[#This Row],[OnHandQty]]</f>
        <v>99</v>
      </c>
      <c r="G1067" s="2">
        <f>tbl_kpi[[#This Row],[CountedQty]]-tbl_kpi[[#This Row],[ExpectedQty]]</f>
        <v>1</v>
      </c>
      <c r="H1067" s="2">
        <f>IF(tbl_kpi[[#This Row],[ExpectedQty]]=0, 1, MAX(0, 1 - ABS(tbl_kpi[[#This Row],[VarianceQty]]) / tbl_kpi[[#This Row],[ExpectedQty]]))</f>
        <v>0.98989898989898994</v>
      </c>
      <c r="I1067" s="2" t="str">
        <f>IF(tbl_kpi[[#This Row],[AccuracyPct]] &lt; 0.98, "Y", "N")</f>
        <v>N</v>
      </c>
    </row>
    <row r="1068" spans="1:9">
      <c r="A1068" s="2">
        <v>998</v>
      </c>
      <c r="B1068" s="2">
        <v>60</v>
      </c>
      <c r="C1068" s="2" t="str">
        <f>_xlfn.XLOOKUP(tbl_kpi[[#This Row],[LocationID]], tbl_location[LocationID], tbl_location[LocationName], "UNMAPPED_LOCATION")</f>
        <v>Final Assembly</v>
      </c>
      <c r="D1068" s="2">
        <v>56</v>
      </c>
      <c r="E1068" s="2">
        <v>55</v>
      </c>
      <c r="F1068" s="2">
        <f>tbl_kpi[[#This Row],[OnHandQty]]</f>
        <v>56</v>
      </c>
      <c r="G1068" s="2">
        <f>tbl_kpi[[#This Row],[CountedQty]]-tbl_kpi[[#This Row],[ExpectedQty]]</f>
        <v>-1</v>
      </c>
      <c r="H1068" s="2">
        <f>IF(tbl_kpi[[#This Row],[ExpectedQty]]=0, 1, MAX(0, 1 - ABS(tbl_kpi[[#This Row],[VarianceQty]]) / tbl_kpi[[#This Row],[ExpectedQty]]))</f>
        <v>0.9821428571428571</v>
      </c>
      <c r="I1068" s="2" t="str">
        <f>IF(tbl_kpi[[#This Row],[AccuracyPct]] &lt; 0.98, "Y", "N")</f>
        <v>N</v>
      </c>
    </row>
    <row r="1069" spans="1:9">
      <c r="A1069" s="2">
        <v>999</v>
      </c>
      <c r="B1069" s="2">
        <v>7</v>
      </c>
      <c r="C1069" s="2" t="str">
        <f>_xlfn.XLOOKUP(tbl_kpi[[#This Row],[LocationID]], tbl_location[LocationID], tbl_location[LocationName], "UNMAPPED_LOCATION")</f>
        <v>Finished Goods Storage</v>
      </c>
      <c r="D1069" s="2">
        <v>78</v>
      </c>
      <c r="E1069" s="2">
        <v>77</v>
      </c>
      <c r="F1069" s="2">
        <f>tbl_kpi[[#This Row],[OnHandQty]]</f>
        <v>78</v>
      </c>
      <c r="G1069" s="2">
        <f>tbl_kpi[[#This Row],[CountedQty]]-tbl_kpi[[#This Row],[ExpectedQty]]</f>
        <v>-1</v>
      </c>
      <c r="H1069" s="2">
        <f>IF(tbl_kpi[[#This Row],[ExpectedQty]]=0, 1, MAX(0, 1 - ABS(tbl_kpi[[#This Row],[VarianceQty]]) / tbl_kpi[[#This Row],[ExpectedQty]]))</f>
        <v>0.98717948717948723</v>
      </c>
      <c r="I1069" s="2" t="str">
        <f>IF(tbl_kpi[[#This Row],[AccuracyPct]] &lt; 0.98, "Y", "N")</f>
        <v>N</v>
      </c>
    </row>
    <row r="1070" spans="1:9">
      <c r="A1070" s="2">
        <v>999</v>
      </c>
      <c r="B1070" s="2">
        <v>60</v>
      </c>
      <c r="C1070" s="2" t="str">
        <f>_xlfn.XLOOKUP(tbl_kpi[[#This Row],[LocationID]], tbl_location[LocationID], tbl_location[LocationName], "UNMAPPED_LOCATION")</f>
        <v>Final Assembly</v>
      </c>
      <c r="D1070" s="2">
        <v>116</v>
      </c>
      <c r="E1070" s="2">
        <v>119</v>
      </c>
      <c r="F1070" s="2">
        <f>tbl_kpi[[#This Row],[OnHandQty]]</f>
        <v>116</v>
      </c>
      <c r="G1070" s="2">
        <f>tbl_kpi[[#This Row],[CountedQty]]-tbl_kpi[[#This Row],[ExpectedQty]]</f>
        <v>3</v>
      </c>
      <c r="H1070" s="2">
        <f>IF(tbl_kpi[[#This Row],[ExpectedQty]]=0, 1, MAX(0, 1 - ABS(tbl_kpi[[#This Row],[VarianceQty]]) / tbl_kpi[[#This Row],[ExpectedQty]]))</f>
        <v>0.97413793103448276</v>
      </c>
      <c r="I1070" s="2" t="str">
        <f>IF(tbl_kpi[[#This Row],[AccuracyPct]] &lt; 0.98, "Y", "N")</f>
        <v>Y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E134-A588-4E3C-9C55-2C7A6369B233}">
  <dimension ref="A1:G1070"/>
  <sheetViews>
    <sheetView topLeftCell="A2" workbookViewId="0">
      <selection activeCell="N26" sqref="N26"/>
    </sheetView>
  </sheetViews>
  <sheetFormatPr defaultRowHeight="14.5"/>
  <cols>
    <col min="1" max="1" width="11.26953125" customWidth="1"/>
    <col min="2" max="2" width="12" bestFit="1" customWidth="1"/>
    <col min="3" max="3" width="29.54296875" bestFit="1" customWidth="1"/>
    <col min="4" max="4" width="16.26953125" customWidth="1"/>
    <col min="5" max="5" width="14.81640625" customWidth="1"/>
    <col min="6" max="6" width="15.81640625" customWidth="1"/>
  </cols>
  <sheetData>
    <row r="1" spans="1:7">
      <c r="A1" t="s">
        <v>1022</v>
      </c>
      <c r="B1" t="s">
        <v>1023</v>
      </c>
      <c r="C1" t="s">
        <v>1025</v>
      </c>
      <c r="D1" t="s">
        <v>1026</v>
      </c>
      <c r="E1" t="s">
        <v>1027</v>
      </c>
      <c r="F1" t="s">
        <v>1028</v>
      </c>
      <c r="G1" t="s">
        <v>1029</v>
      </c>
    </row>
    <row r="2" spans="1:7">
      <c r="A2">
        <v>1</v>
      </c>
      <c r="B2">
        <v>1</v>
      </c>
      <c r="C2" t="str">
        <f>_xlfn.XLOOKUP(tbl_model[[#This Row],[ProductID]],tbl_product[ProductID],tbl_product[ProductName],"UNMAPPED_PRODUCT")</f>
        <v>Adjustable Race</v>
      </c>
      <c r="D2" t="str">
        <f>_xlfn.XLOOKUP(tbl_model[[#This Row],[ProductID]],tbl_product[ProductID],tbl_product[ProductNumber],"UNMAPPED_PRODUCT")</f>
        <v>AR-5381</v>
      </c>
      <c r="E2" t="str">
        <f>_xlfn.XLOOKUP(tbl_model[[#This Row],[LocationID]],tbl_location[LocationID],tbl_location[LocationName],"UNMAPPED_LOCATION")</f>
        <v>Tool Crib</v>
      </c>
      <c r="F2">
        <v>408</v>
      </c>
      <c r="G2" s="1" t="str">
        <f>tbl_model[[#This Row],[ProductID]] &amp; "-" &amp; tbl_model[[#This Row],[LocationID]]</f>
        <v>1-1</v>
      </c>
    </row>
    <row r="3" spans="1:7">
      <c r="A3">
        <v>1</v>
      </c>
      <c r="B3">
        <v>6</v>
      </c>
      <c r="C3" t="str">
        <f>_xlfn.XLOOKUP(tbl_model[[#This Row],[ProductID]],tbl_product[ProductID],tbl_product[ProductName],"UNMAPPED_PRODUCT")</f>
        <v>Adjustable Race</v>
      </c>
      <c r="D3" t="str">
        <f>_xlfn.XLOOKUP(tbl_model[[#This Row],[ProductID]],tbl_product[ProductID],tbl_product[ProductNumber],"UNMAPPED_PRODUCT")</f>
        <v>AR-5381</v>
      </c>
      <c r="E3" t="str">
        <f>_xlfn.XLOOKUP(tbl_model[[#This Row],[LocationID]],tbl_location[LocationID],tbl_location[LocationName],"UNMAPPED_LOCATION")</f>
        <v>Miscellaneous Storage</v>
      </c>
      <c r="F3">
        <v>324</v>
      </c>
      <c r="G3" s="1" t="str">
        <f>tbl_model[[#This Row],[ProductID]] &amp; "-" &amp; tbl_model[[#This Row],[LocationID]]</f>
        <v>1-6</v>
      </c>
    </row>
    <row r="4" spans="1:7">
      <c r="A4">
        <v>1</v>
      </c>
      <c r="B4">
        <v>50</v>
      </c>
      <c r="C4" t="str">
        <f>_xlfn.XLOOKUP(tbl_model[[#This Row],[ProductID]],tbl_product[ProductID],tbl_product[ProductName],"UNMAPPED_PRODUCT")</f>
        <v>Adjustable Race</v>
      </c>
      <c r="D4" t="str">
        <f>_xlfn.XLOOKUP(tbl_model[[#This Row],[ProductID]],tbl_product[ProductID],tbl_product[ProductNumber],"UNMAPPED_PRODUCT")</f>
        <v>AR-5381</v>
      </c>
      <c r="E4" t="str">
        <f>_xlfn.XLOOKUP(tbl_model[[#This Row],[LocationID]],tbl_location[LocationID],tbl_location[LocationName],"UNMAPPED_LOCATION")</f>
        <v>Subassembly</v>
      </c>
      <c r="F4">
        <v>353</v>
      </c>
      <c r="G4" s="1" t="str">
        <f>tbl_model[[#This Row],[ProductID]] &amp; "-" &amp; tbl_model[[#This Row],[LocationID]]</f>
        <v>1-50</v>
      </c>
    </row>
    <row r="5" spans="1:7">
      <c r="A5">
        <v>2</v>
      </c>
      <c r="B5">
        <v>1</v>
      </c>
      <c r="C5" t="str">
        <f>_xlfn.XLOOKUP(tbl_model[[#This Row],[ProductID]],tbl_product[ProductID],tbl_product[ProductName],"UNMAPPED_PRODUCT")</f>
        <v>Bearing Ball</v>
      </c>
      <c r="D5" t="str">
        <f>_xlfn.XLOOKUP(tbl_model[[#This Row],[ProductID]],tbl_product[ProductID],tbl_product[ProductNumber],"UNMAPPED_PRODUCT")</f>
        <v>BA-8327</v>
      </c>
      <c r="E5" t="str">
        <f>_xlfn.XLOOKUP(tbl_model[[#This Row],[LocationID]],tbl_location[LocationID],tbl_location[LocationName],"UNMAPPED_LOCATION")</f>
        <v>Tool Crib</v>
      </c>
      <c r="F5">
        <v>427</v>
      </c>
      <c r="G5" s="1" t="str">
        <f>tbl_model[[#This Row],[ProductID]] &amp; "-" &amp; tbl_model[[#This Row],[LocationID]]</f>
        <v>2-1</v>
      </c>
    </row>
    <row r="6" spans="1:7">
      <c r="A6">
        <v>2</v>
      </c>
      <c r="B6">
        <v>6</v>
      </c>
      <c r="C6" t="str">
        <f>_xlfn.XLOOKUP(tbl_model[[#This Row],[ProductID]],tbl_product[ProductID],tbl_product[ProductName],"UNMAPPED_PRODUCT")</f>
        <v>Bearing Ball</v>
      </c>
      <c r="D6" t="str">
        <f>_xlfn.XLOOKUP(tbl_model[[#This Row],[ProductID]],tbl_product[ProductID],tbl_product[ProductNumber],"UNMAPPED_PRODUCT")</f>
        <v>BA-8327</v>
      </c>
      <c r="E6" t="str">
        <f>_xlfn.XLOOKUP(tbl_model[[#This Row],[LocationID]],tbl_location[LocationID],tbl_location[LocationName],"UNMAPPED_LOCATION")</f>
        <v>Miscellaneous Storage</v>
      </c>
      <c r="F6">
        <v>318</v>
      </c>
      <c r="G6" s="1" t="str">
        <f>tbl_model[[#This Row],[ProductID]] &amp; "-" &amp; tbl_model[[#This Row],[LocationID]]</f>
        <v>2-6</v>
      </c>
    </row>
    <row r="7" spans="1:7">
      <c r="A7">
        <v>2</v>
      </c>
      <c r="B7">
        <v>50</v>
      </c>
      <c r="C7" t="str">
        <f>_xlfn.XLOOKUP(tbl_model[[#This Row],[ProductID]],tbl_product[ProductID],tbl_product[ProductName],"UNMAPPED_PRODUCT")</f>
        <v>Bearing Ball</v>
      </c>
      <c r="D7" t="str">
        <f>_xlfn.XLOOKUP(tbl_model[[#This Row],[ProductID]],tbl_product[ProductID],tbl_product[ProductNumber],"UNMAPPED_PRODUCT")</f>
        <v>BA-8327</v>
      </c>
      <c r="E7" t="str">
        <f>_xlfn.XLOOKUP(tbl_model[[#This Row],[LocationID]],tbl_location[LocationID],tbl_location[LocationName],"UNMAPPED_LOCATION")</f>
        <v>Subassembly</v>
      </c>
      <c r="F7">
        <v>364</v>
      </c>
      <c r="G7" s="1" t="str">
        <f>tbl_model[[#This Row],[ProductID]] &amp; "-" &amp; tbl_model[[#This Row],[LocationID]]</f>
        <v>2-50</v>
      </c>
    </row>
    <row r="8" spans="1:7">
      <c r="A8">
        <v>3</v>
      </c>
      <c r="B8">
        <v>1</v>
      </c>
      <c r="C8" t="str">
        <f>_xlfn.XLOOKUP(tbl_model[[#This Row],[ProductID]],tbl_product[ProductID],tbl_product[ProductName],"UNMAPPED_PRODUCT")</f>
        <v>BB Ball Bearing</v>
      </c>
      <c r="D8" t="str">
        <f>_xlfn.XLOOKUP(tbl_model[[#This Row],[ProductID]],tbl_product[ProductID],tbl_product[ProductNumber],"UNMAPPED_PRODUCT")</f>
        <v>BE-2349</v>
      </c>
      <c r="E8" t="str">
        <f>_xlfn.XLOOKUP(tbl_model[[#This Row],[LocationID]],tbl_location[LocationID],tbl_location[LocationName],"UNMAPPED_LOCATION")</f>
        <v>Tool Crib</v>
      </c>
      <c r="F8">
        <v>585</v>
      </c>
      <c r="G8" s="1" t="str">
        <f>tbl_model[[#This Row],[ProductID]] &amp; "-" &amp; tbl_model[[#This Row],[LocationID]]</f>
        <v>3-1</v>
      </c>
    </row>
    <row r="9" spans="1:7">
      <c r="A9">
        <v>3</v>
      </c>
      <c r="B9">
        <v>6</v>
      </c>
      <c r="C9" t="str">
        <f>_xlfn.XLOOKUP(tbl_model[[#This Row],[ProductID]],tbl_product[ProductID],tbl_product[ProductName],"UNMAPPED_PRODUCT")</f>
        <v>BB Ball Bearing</v>
      </c>
      <c r="D9" t="str">
        <f>_xlfn.XLOOKUP(tbl_model[[#This Row],[ProductID]],tbl_product[ProductID],tbl_product[ProductNumber],"UNMAPPED_PRODUCT")</f>
        <v>BE-2349</v>
      </c>
      <c r="E9" t="str">
        <f>_xlfn.XLOOKUP(tbl_model[[#This Row],[LocationID]],tbl_location[LocationID],tbl_location[LocationName],"UNMAPPED_LOCATION")</f>
        <v>Miscellaneous Storage</v>
      </c>
      <c r="F9">
        <v>443</v>
      </c>
      <c r="G9" s="1" t="str">
        <f>tbl_model[[#This Row],[ProductID]] &amp; "-" &amp; tbl_model[[#This Row],[LocationID]]</f>
        <v>3-6</v>
      </c>
    </row>
    <row r="10" spans="1:7">
      <c r="A10">
        <v>3</v>
      </c>
      <c r="B10">
        <v>50</v>
      </c>
      <c r="C10" t="str">
        <f>_xlfn.XLOOKUP(tbl_model[[#This Row],[ProductID]],tbl_product[ProductID],tbl_product[ProductName],"UNMAPPED_PRODUCT")</f>
        <v>BB Ball Bearing</v>
      </c>
      <c r="D10" t="str">
        <f>_xlfn.XLOOKUP(tbl_model[[#This Row],[ProductID]],tbl_product[ProductID],tbl_product[ProductNumber],"UNMAPPED_PRODUCT")</f>
        <v>BE-2349</v>
      </c>
      <c r="E10" t="str">
        <f>_xlfn.XLOOKUP(tbl_model[[#This Row],[LocationID]],tbl_location[LocationID],tbl_location[LocationName],"UNMAPPED_LOCATION")</f>
        <v>Subassembly</v>
      </c>
      <c r="F10">
        <v>324</v>
      </c>
      <c r="G10" s="1" t="str">
        <f>tbl_model[[#This Row],[ProductID]] &amp; "-" &amp; tbl_model[[#This Row],[LocationID]]</f>
        <v>3-50</v>
      </c>
    </row>
    <row r="11" spans="1:7">
      <c r="A11">
        <v>4</v>
      </c>
      <c r="B11">
        <v>1</v>
      </c>
      <c r="C11" t="str">
        <f>_xlfn.XLOOKUP(tbl_model[[#This Row],[ProductID]],tbl_product[ProductID],tbl_product[ProductName],"UNMAPPED_PRODUCT")</f>
        <v>Headset Ball Bearings</v>
      </c>
      <c r="D11" t="str">
        <f>_xlfn.XLOOKUP(tbl_model[[#This Row],[ProductID]],tbl_product[ProductID],tbl_product[ProductNumber],"UNMAPPED_PRODUCT")</f>
        <v>BE-2908</v>
      </c>
      <c r="E11" t="str">
        <f>_xlfn.XLOOKUP(tbl_model[[#This Row],[LocationID]],tbl_location[LocationID],tbl_location[LocationName],"UNMAPPED_LOCATION")</f>
        <v>Tool Crib</v>
      </c>
      <c r="F11">
        <v>512</v>
      </c>
      <c r="G11" s="1" t="str">
        <f>tbl_model[[#This Row],[ProductID]] &amp; "-" &amp; tbl_model[[#This Row],[LocationID]]</f>
        <v>4-1</v>
      </c>
    </row>
    <row r="12" spans="1:7">
      <c r="A12">
        <v>4</v>
      </c>
      <c r="B12">
        <v>6</v>
      </c>
      <c r="C12" t="str">
        <f>_xlfn.XLOOKUP(tbl_model[[#This Row],[ProductID]],tbl_product[ProductID],tbl_product[ProductName],"UNMAPPED_PRODUCT")</f>
        <v>Headset Ball Bearings</v>
      </c>
      <c r="D12" t="str">
        <f>_xlfn.XLOOKUP(tbl_model[[#This Row],[ProductID]],tbl_product[ProductID],tbl_product[ProductNumber],"UNMAPPED_PRODUCT")</f>
        <v>BE-2908</v>
      </c>
      <c r="E12" t="str">
        <f>_xlfn.XLOOKUP(tbl_model[[#This Row],[LocationID]],tbl_location[LocationID],tbl_location[LocationName],"UNMAPPED_LOCATION")</f>
        <v>Miscellaneous Storage</v>
      </c>
      <c r="F12">
        <v>422</v>
      </c>
      <c r="G12" s="1" t="str">
        <f>tbl_model[[#This Row],[ProductID]] &amp; "-" &amp; tbl_model[[#This Row],[LocationID]]</f>
        <v>4-6</v>
      </c>
    </row>
    <row r="13" spans="1:7">
      <c r="A13">
        <v>4</v>
      </c>
      <c r="B13">
        <v>50</v>
      </c>
      <c r="C13" t="str">
        <f>_xlfn.XLOOKUP(tbl_model[[#This Row],[ProductID]],tbl_product[ProductID],tbl_product[ProductName],"UNMAPPED_PRODUCT")</f>
        <v>Headset Ball Bearings</v>
      </c>
      <c r="D13" t="str">
        <f>_xlfn.XLOOKUP(tbl_model[[#This Row],[ProductID]],tbl_product[ProductID],tbl_product[ProductNumber],"UNMAPPED_PRODUCT")</f>
        <v>BE-2908</v>
      </c>
      <c r="E13" t="str">
        <f>_xlfn.XLOOKUP(tbl_model[[#This Row],[LocationID]],tbl_location[LocationID],tbl_location[LocationName],"UNMAPPED_LOCATION")</f>
        <v>Subassembly</v>
      </c>
      <c r="F13">
        <v>388</v>
      </c>
      <c r="G13" s="1" t="str">
        <f>tbl_model[[#This Row],[ProductID]] &amp; "-" &amp; tbl_model[[#This Row],[LocationID]]</f>
        <v>4-50</v>
      </c>
    </row>
    <row r="14" spans="1:7">
      <c r="A14">
        <v>316</v>
      </c>
      <c r="B14">
        <v>5</v>
      </c>
      <c r="C14" t="str">
        <f>_xlfn.XLOOKUP(tbl_model[[#This Row],[ProductID]],tbl_product[ProductID],tbl_product[ProductName],"UNMAPPED_PRODUCT")</f>
        <v>Blade</v>
      </c>
      <c r="D14" t="str">
        <f>_xlfn.XLOOKUP(tbl_model[[#This Row],[ProductID]],tbl_product[ProductID],tbl_product[ProductNumber],"UNMAPPED_PRODUCT")</f>
        <v>BL-2036</v>
      </c>
      <c r="E14" t="str">
        <f>_xlfn.XLOOKUP(tbl_model[[#This Row],[LocationID]],tbl_location[LocationID],tbl_location[LocationName],"UNMAPPED_LOCATION")</f>
        <v>Metal Storage</v>
      </c>
      <c r="F14">
        <v>532</v>
      </c>
      <c r="G14" s="1" t="str">
        <f>tbl_model[[#This Row],[ProductID]] &amp; "-" &amp; tbl_model[[#This Row],[LocationID]]</f>
        <v>316-5</v>
      </c>
    </row>
    <row r="15" spans="1:7">
      <c r="A15">
        <v>316</v>
      </c>
      <c r="B15">
        <v>10</v>
      </c>
      <c r="C15" t="str">
        <f>_xlfn.XLOOKUP(tbl_model[[#This Row],[ProductID]],tbl_product[ProductID],tbl_product[ProductName],"UNMAPPED_PRODUCT")</f>
        <v>Blade</v>
      </c>
      <c r="D15" t="str">
        <f>_xlfn.XLOOKUP(tbl_model[[#This Row],[ProductID]],tbl_product[ProductID],tbl_product[ProductNumber],"UNMAPPED_PRODUCT")</f>
        <v>BL-2036</v>
      </c>
      <c r="E15" t="str">
        <f>_xlfn.XLOOKUP(tbl_model[[#This Row],[LocationID]],tbl_location[LocationID],tbl_location[LocationName],"UNMAPPED_LOCATION")</f>
        <v>Frame Forming</v>
      </c>
      <c r="F15">
        <v>388</v>
      </c>
      <c r="G15" s="1" t="str">
        <f>tbl_model[[#This Row],[ProductID]] &amp; "-" &amp; tbl_model[[#This Row],[LocationID]]</f>
        <v>316-10</v>
      </c>
    </row>
    <row r="16" spans="1:7">
      <c r="A16">
        <v>316</v>
      </c>
      <c r="B16">
        <v>50</v>
      </c>
      <c r="C16" t="str">
        <f>_xlfn.XLOOKUP(tbl_model[[#This Row],[ProductID]],tbl_product[ProductID],tbl_product[ProductName],"UNMAPPED_PRODUCT")</f>
        <v>Blade</v>
      </c>
      <c r="D16" t="str">
        <f>_xlfn.XLOOKUP(tbl_model[[#This Row],[ProductID]],tbl_product[ProductID],tbl_product[ProductNumber],"UNMAPPED_PRODUCT")</f>
        <v>BL-2036</v>
      </c>
      <c r="E16" t="str">
        <f>_xlfn.XLOOKUP(tbl_model[[#This Row],[LocationID]],tbl_location[LocationID],tbl_location[LocationName],"UNMAPPED_LOCATION")</f>
        <v>Subassembly</v>
      </c>
      <c r="F16">
        <v>441</v>
      </c>
      <c r="G16" s="1" t="str">
        <f>tbl_model[[#This Row],[ProductID]] &amp; "-" &amp; tbl_model[[#This Row],[LocationID]]</f>
        <v>316-50</v>
      </c>
    </row>
    <row r="17" spans="1:7">
      <c r="A17">
        <v>317</v>
      </c>
      <c r="B17">
        <v>1</v>
      </c>
      <c r="C17" t="str">
        <f>_xlfn.XLOOKUP(tbl_model[[#This Row],[ProductID]],tbl_product[ProductID],tbl_product[ProductName],"UNMAPPED_PRODUCT")</f>
        <v>LL Crankarm</v>
      </c>
      <c r="D17" t="str">
        <f>_xlfn.XLOOKUP(tbl_model[[#This Row],[ProductID]],tbl_product[ProductID],tbl_product[ProductNumber],"UNMAPPED_PRODUCT")</f>
        <v>CA-5965</v>
      </c>
      <c r="E17" t="str">
        <f>_xlfn.XLOOKUP(tbl_model[[#This Row],[LocationID]],tbl_location[LocationID],tbl_location[LocationName],"UNMAPPED_LOCATION")</f>
        <v>Tool Crib</v>
      </c>
      <c r="F17">
        <v>283</v>
      </c>
      <c r="G17" s="1" t="str">
        <f>tbl_model[[#This Row],[ProductID]] &amp; "-" &amp; tbl_model[[#This Row],[LocationID]]</f>
        <v>317-1</v>
      </c>
    </row>
    <row r="18" spans="1:7">
      <c r="A18">
        <v>317</v>
      </c>
      <c r="B18">
        <v>5</v>
      </c>
      <c r="C18" t="str">
        <f>_xlfn.XLOOKUP(tbl_model[[#This Row],[ProductID]],tbl_product[ProductID],tbl_product[ProductName],"UNMAPPED_PRODUCT")</f>
        <v>LL Crankarm</v>
      </c>
      <c r="D18" t="str">
        <f>_xlfn.XLOOKUP(tbl_model[[#This Row],[ProductID]],tbl_product[ProductID],tbl_product[ProductNumber],"UNMAPPED_PRODUCT")</f>
        <v>CA-5965</v>
      </c>
      <c r="E18" t="str">
        <f>_xlfn.XLOOKUP(tbl_model[[#This Row],[LocationID]],tbl_location[LocationID],tbl_location[LocationName],"UNMAPPED_LOCATION")</f>
        <v>Metal Storage</v>
      </c>
      <c r="F18">
        <v>158</v>
      </c>
      <c r="G18" s="1" t="str">
        <f>tbl_model[[#This Row],[ProductID]] &amp; "-" &amp; tbl_model[[#This Row],[LocationID]]</f>
        <v>317-5</v>
      </c>
    </row>
    <row r="19" spans="1:7">
      <c r="A19">
        <v>317</v>
      </c>
      <c r="B19">
        <v>50</v>
      </c>
      <c r="C19" t="str">
        <f>_xlfn.XLOOKUP(tbl_model[[#This Row],[ProductID]],tbl_product[ProductID],tbl_product[ProductName],"UNMAPPED_PRODUCT")</f>
        <v>LL Crankarm</v>
      </c>
      <c r="D19" t="str">
        <f>_xlfn.XLOOKUP(tbl_model[[#This Row],[ProductID]],tbl_product[ProductID],tbl_product[ProductNumber],"UNMAPPED_PRODUCT")</f>
        <v>CA-5965</v>
      </c>
      <c r="E19" t="str">
        <f>_xlfn.XLOOKUP(tbl_model[[#This Row],[LocationID]],tbl_location[LocationID],tbl_location[LocationName],"UNMAPPED_LOCATION")</f>
        <v>Subassembly</v>
      </c>
      <c r="F19">
        <v>152</v>
      </c>
      <c r="G19" s="1" t="str">
        <f>tbl_model[[#This Row],[ProductID]] &amp; "-" &amp; tbl_model[[#This Row],[LocationID]]</f>
        <v>317-50</v>
      </c>
    </row>
    <row r="20" spans="1:7">
      <c r="A20">
        <v>318</v>
      </c>
      <c r="B20">
        <v>1</v>
      </c>
      <c r="C20" t="str">
        <f>_xlfn.XLOOKUP(tbl_model[[#This Row],[ProductID]],tbl_product[ProductID],tbl_product[ProductName],"UNMAPPED_PRODUCT")</f>
        <v>ML Crankarm</v>
      </c>
      <c r="D20" t="str">
        <f>_xlfn.XLOOKUP(tbl_model[[#This Row],[ProductID]],tbl_product[ProductID],tbl_product[ProductNumber],"UNMAPPED_PRODUCT")</f>
        <v>CA-6738</v>
      </c>
      <c r="E20" t="str">
        <f>_xlfn.XLOOKUP(tbl_model[[#This Row],[LocationID]],tbl_location[LocationID],tbl_location[LocationName],"UNMAPPED_LOCATION")</f>
        <v>Tool Crib</v>
      </c>
      <c r="F20">
        <v>136</v>
      </c>
      <c r="G20" s="1" t="str">
        <f>tbl_model[[#This Row],[ProductID]] &amp; "-" &amp; tbl_model[[#This Row],[LocationID]]</f>
        <v>318-1</v>
      </c>
    </row>
    <row r="21" spans="1:7">
      <c r="A21">
        <v>318</v>
      </c>
      <c r="B21">
        <v>5</v>
      </c>
      <c r="C21" t="str">
        <f>_xlfn.XLOOKUP(tbl_model[[#This Row],[ProductID]],tbl_product[ProductID],tbl_product[ProductName],"UNMAPPED_PRODUCT")</f>
        <v>ML Crankarm</v>
      </c>
      <c r="D21" t="str">
        <f>_xlfn.XLOOKUP(tbl_model[[#This Row],[ProductID]],tbl_product[ProductID],tbl_product[ProductNumber],"UNMAPPED_PRODUCT")</f>
        <v>CA-6738</v>
      </c>
      <c r="E21" t="str">
        <f>_xlfn.XLOOKUP(tbl_model[[#This Row],[LocationID]],tbl_location[LocationID],tbl_location[LocationName],"UNMAPPED_LOCATION")</f>
        <v>Metal Storage</v>
      </c>
      <c r="F21">
        <v>171</v>
      </c>
      <c r="G21" s="1" t="str">
        <f>tbl_model[[#This Row],[ProductID]] &amp; "-" &amp; tbl_model[[#This Row],[LocationID]]</f>
        <v>318-5</v>
      </c>
    </row>
    <row r="22" spans="1:7">
      <c r="A22">
        <v>318</v>
      </c>
      <c r="B22">
        <v>50</v>
      </c>
      <c r="C22" t="str">
        <f>_xlfn.XLOOKUP(tbl_model[[#This Row],[ProductID]],tbl_product[ProductID],tbl_product[ProductName],"UNMAPPED_PRODUCT")</f>
        <v>ML Crankarm</v>
      </c>
      <c r="D22" t="str">
        <f>_xlfn.XLOOKUP(tbl_model[[#This Row],[ProductID]],tbl_product[ProductID],tbl_product[ProductNumber],"UNMAPPED_PRODUCT")</f>
        <v>CA-6738</v>
      </c>
      <c r="E22" t="str">
        <f>_xlfn.XLOOKUP(tbl_model[[#This Row],[LocationID]],tbl_location[LocationID],tbl_location[LocationName],"UNMAPPED_LOCATION")</f>
        <v>Subassembly</v>
      </c>
      <c r="F22">
        <v>132</v>
      </c>
      <c r="G22" s="1" t="str">
        <f>tbl_model[[#This Row],[ProductID]] &amp; "-" &amp; tbl_model[[#This Row],[LocationID]]</f>
        <v>318-50</v>
      </c>
    </row>
    <row r="23" spans="1:7">
      <c r="A23">
        <v>319</v>
      </c>
      <c r="B23">
        <v>1</v>
      </c>
      <c r="C23" t="str">
        <f>_xlfn.XLOOKUP(tbl_model[[#This Row],[ProductID]],tbl_product[ProductID],tbl_product[ProductName],"UNMAPPED_PRODUCT")</f>
        <v>HL Crankarm</v>
      </c>
      <c r="D23" t="str">
        <f>_xlfn.XLOOKUP(tbl_model[[#This Row],[ProductID]],tbl_product[ProductID],tbl_product[ProductNumber],"UNMAPPED_PRODUCT")</f>
        <v>CA-7457</v>
      </c>
      <c r="E23" t="str">
        <f>_xlfn.XLOOKUP(tbl_model[[#This Row],[LocationID]],tbl_location[LocationID],tbl_location[LocationName],"UNMAPPED_LOCATION")</f>
        <v>Tool Crib</v>
      </c>
      <c r="F23">
        <v>308</v>
      </c>
      <c r="G23" s="1" t="str">
        <f>tbl_model[[#This Row],[ProductID]] &amp; "-" &amp; tbl_model[[#This Row],[LocationID]]</f>
        <v>319-1</v>
      </c>
    </row>
    <row r="24" spans="1:7">
      <c r="A24">
        <v>319</v>
      </c>
      <c r="B24">
        <v>5</v>
      </c>
      <c r="C24" t="str">
        <f>_xlfn.XLOOKUP(tbl_model[[#This Row],[ProductID]],tbl_product[ProductID],tbl_product[ProductName],"UNMAPPED_PRODUCT")</f>
        <v>HL Crankarm</v>
      </c>
      <c r="D24" t="str">
        <f>_xlfn.XLOOKUP(tbl_model[[#This Row],[ProductID]],tbl_product[ProductID],tbl_product[ProductNumber],"UNMAPPED_PRODUCT")</f>
        <v>CA-7457</v>
      </c>
      <c r="E24" t="str">
        <f>_xlfn.XLOOKUP(tbl_model[[#This Row],[LocationID]],tbl_location[LocationID],tbl_location[LocationName],"UNMAPPED_LOCATION")</f>
        <v>Metal Storage</v>
      </c>
      <c r="F24">
        <v>184</v>
      </c>
      <c r="G24" s="1" t="str">
        <f>tbl_model[[#This Row],[ProductID]] &amp; "-" &amp; tbl_model[[#This Row],[LocationID]]</f>
        <v>319-5</v>
      </c>
    </row>
    <row r="25" spans="1:7">
      <c r="A25">
        <v>319</v>
      </c>
      <c r="B25">
        <v>50</v>
      </c>
      <c r="C25" t="str">
        <f>_xlfn.XLOOKUP(tbl_model[[#This Row],[ProductID]],tbl_product[ProductID],tbl_product[ProductName],"UNMAPPED_PRODUCT")</f>
        <v>HL Crankarm</v>
      </c>
      <c r="D25" t="str">
        <f>_xlfn.XLOOKUP(tbl_model[[#This Row],[ProductID]],tbl_product[ProductID],tbl_product[ProductNumber],"UNMAPPED_PRODUCT")</f>
        <v>CA-7457</v>
      </c>
      <c r="E25" t="str">
        <f>_xlfn.XLOOKUP(tbl_model[[#This Row],[LocationID]],tbl_location[LocationID],tbl_location[LocationName],"UNMAPPED_LOCATION")</f>
        <v>Subassembly</v>
      </c>
      <c r="F25">
        <v>305</v>
      </c>
      <c r="G25" s="1" t="str">
        <f>tbl_model[[#This Row],[ProductID]] &amp; "-" &amp; tbl_model[[#This Row],[LocationID]]</f>
        <v>319-50</v>
      </c>
    </row>
    <row r="26" spans="1:7">
      <c r="A26">
        <v>320</v>
      </c>
      <c r="B26">
        <v>1</v>
      </c>
      <c r="C26" t="str">
        <f>_xlfn.XLOOKUP(tbl_model[[#This Row],[ProductID]],tbl_product[ProductID],tbl_product[ProductName],"UNMAPPED_PRODUCT")</f>
        <v>Chainring Bolts</v>
      </c>
      <c r="D26" t="str">
        <f>_xlfn.XLOOKUP(tbl_model[[#This Row],[ProductID]],tbl_product[ProductID],tbl_product[ProductNumber],"UNMAPPED_PRODUCT")</f>
        <v>CB-2903</v>
      </c>
      <c r="E26" t="str">
        <f>_xlfn.XLOOKUP(tbl_model[[#This Row],[LocationID]],tbl_location[LocationID],tbl_location[LocationName],"UNMAPPED_LOCATION")</f>
        <v>Tool Crib</v>
      </c>
      <c r="F26">
        <v>481</v>
      </c>
      <c r="G26" s="1" t="str">
        <f>tbl_model[[#This Row],[ProductID]] &amp; "-" &amp; tbl_model[[#This Row],[LocationID]]</f>
        <v>320-1</v>
      </c>
    </row>
    <row r="27" spans="1:7">
      <c r="A27">
        <v>320</v>
      </c>
      <c r="B27">
        <v>5</v>
      </c>
      <c r="C27" t="str">
        <f>_xlfn.XLOOKUP(tbl_model[[#This Row],[ProductID]],tbl_product[ProductID],tbl_product[ProductName],"UNMAPPED_PRODUCT")</f>
        <v>Chainring Bolts</v>
      </c>
      <c r="D27" t="str">
        <f>_xlfn.XLOOKUP(tbl_model[[#This Row],[ProductID]],tbl_product[ProductID],tbl_product[ProductNumber],"UNMAPPED_PRODUCT")</f>
        <v>CB-2903</v>
      </c>
      <c r="E27" t="str">
        <f>_xlfn.XLOOKUP(tbl_model[[#This Row],[LocationID]],tbl_location[LocationID],tbl_location[LocationName],"UNMAPPED_LOCATION")</f>
        <v>Metal Storage</v>
      </c>
      <c r="F27">
        <v>372</v>
      </c>
      <c r="G27" s="1" t="str">
        <f>tbl_model[[#This Row],[ProductID]] &amp; "-" &amp; tbl_model[[#This Row],[LocationID]]</f>
        <v>320-5</v>
      </c>
    </row>
    <row r="28" spans="1:7">
      <c r="A28">
        <v>320</v>
      </c>
      <c r="B28">
        <v>50</v>
      </c>
      <c r="C28" t="str">
        <f>_xlfn.XLOOKUP(tbl_model[[#This Row],[ProductID]],tbl_product[ProductID],tbl_product[ProductName],"UNMAPPED_PRODUCT")</f>
        <v>Chainring Bolts</v>
      </c>
      <c r="D28" t="str">
        <f>_xlfn.XLOOKUP(tbl_model[[#This Row],[ProductID]],tbl_product[ProductID],tbl_product[ProductNumber],"UNMAPPED_PRODUCT")</f>
        <v>CB-2903</v>
      </c>
      <c r="E28" t="str">
        <f>_xlfn.XLOOKUP(tbl_model[[#This Row],[LocationID]],tbl_location[LocationID],tbl_location[LocationName],"UNMAPPED_LOCATION")</f>
        <v>Subassembly</v>
      </c>
      <c r="F28">
        <v>283</v>
      </c>
      <c r="G28" s="1" t="str">
        <f>tbl_model[[#This Row],[ProductID]] &amp; "-" &amp; tbl_model[[#This Row],[LocationID]]</f>
        <v>320-50</v>
      </c>
    </row>
    <row r="29" spans="1:7">
      <c r="A29">
        <v>321</v>
      </c>
      <c r="B29">
        <v>1</v>
      </c>
      <c r="C29" t="str">
        <f>_xlfn.XLOOKUP(tbl_model[[#This Row],[ProductID]],tbl_product[ProductID],tbl_product[ProductName],"UNMAPPED_PRODUCT")</f>
        <v>Chainring Nut</v>
      </c>
      <c r="D29" t="str">
        <f>_xlfn.XLOOKUP(tbl_model[[#This Row],[ProductID]],tbl_product[ProductID],tbl_product[ProductNumber],"UNMAPPED_PRODUCT")</f>
        <v>CN-6137</v>
      </c>
      <c r="E29" t="str">
        <f>_xlfn.XLOOKUP(tbl_model[[#This Row],[LocationID]],tbl_location[LocationID],tbl_location[LocationName],"UNMAPPED_LOCATION")</f>
        <v>Tool Crib</v>
      </c>
      <c r="F29">
        <v>569</v>
      </c>
      <c r="G29" s="1" t="str">
        <f>tbl_model[[#This Row],[ProductID]] &amp; "-" &amp; tbl_model[[#This Row],[LocationID]]</f>
        <v>321-1</v>
      </c>
    </row>
    <row r="30" spans="1:7">
      <c r="A30">
        <v>321</v>
      </c>
      <c r="B30">
        <v>5</v>
      </c>
      <c r="C30" t="str">
        <f>_xlfn.XLOOKUP(tbl_model[[#This Row],[ProductID]],tbl_product[ProductID],tbl_product[ProductName],"UNMAPPED_PRODUCT")</f>
        <v>Chainring Nut</v>
      </c>
      <c r="D30" t="str">
        <f>_xlfn.XLOOKUP(tbl_model[[#This Row],[ProductID]],tbl_product[ProductID],tbl_product[ProductNumber],"UNMAPPED_PRODUCT")</f>
        <v>CN-6137</v>
      </c>
      <c r="E30" t="str">
        <f>_xlfn.XLOOKUP(tbl_model[[#This Row],[LocationID]],tbl_location[LocationID],tbl_location[LocationName],"UNMAPPED_LOCATION")</f>
        <v>Metal Storage</v>
      </c>
      <c r="F30">
        <v>540</v>
      </c>
      <c r="G30" s="1" t="str">
        <f>tbl_model[[#This Row],[ProductID]] &amp; "-" &amp; tbl_model[[#This Row],[LocationID]]</f>
        <v>321-5</v>
      </c>
    </row>
    <row r="31" spans="1:7">
      <c r="A31">
        <v>321</v>
      </c>
      <c r="B31">
        <v>50</v>
      </c>
      <c r="C31" t="str">
        <f>_xlfn.XLOOKUP(tbl_model[[#This Row],[ProductID]],tbl_product[ProductID],tbl_product[ProductName],"UNMAPPED_PRODUCT")</f>
        <v>Chainring Nut</v>
      </c>
      <c r="D31" t="str">
        <f>_xlfn.XLOOKUP(tbl_model[[#This Row],[ProductID]],tbl_product[ProductID],tbl_product[ProductNumber],"UNMAPPED_PRODUCT")</f>
        <v>CN-6137</v>
      </c>
      <c r="E31" t="str">
        <f>_xlfn.XLOOKUP(tbl_model[[#This Row],[LocationID]],tbl_location[LocationID],tbl_location[LocationName],"UNMAPPED_LOCATION")</f>
        <v>Subassembly</v>
      </c>
      <c r="F31">
        <v>641</v>
      </c>
      <c r="G31" s="1" t="str">
        <f>tbl_model[[#This Row],[ProductID]] &amp; "-" &amp; tbl_model[[#This Row],[LocationID]]</f>
        <v>321-50</v>
      </c>
    </row>
    <row r="32" spans="1:7">
      <c r="A32">
        <v>322</v>
      </c>
      <c r="B32">
        <v>1</v>
      </c>
      <c r="C32" t="str">
        <f>_xlfn.XLOOKUP(tbl_model[[#This Row],[ProductID]],tbl_product[ProductID],tbl_product[ProductName],"UNMAPPED_PRODUCT")</f>
        <v>Chainring</v>
      </c>
      <c r="D32" t="str">
        <f>_xlfn.XLOOKUP(tbl_model[[#This Row],[ProductID]],tbl_product[ProductID],tbl_product[ProductNumber],"UNMAPPED_PRODUCT")</f>
        <v>CR-7833</v>
      </c>
      <c r="E32" t="str">
        <f>_xlfn.XLOOKUP(tbl_model[[#This Row],[LocationID]],tbl_location[LocationID],tbl_location[LocationName],"UNMAPPED_LOCATION")</f>
        <v>Tool Crib</v>
      </c>
      <c r="F32">
        <v>622</v>
      </c>
      <c r="G32" s="1" t="str">
        <f>tbl_model[[#This Row],[ProductID]] &amp; "-" &amp; tbl_model[[#This Row],[LocationID]]</f>
        <v>322-1</v>
      </c>
    </row>
    <row r="33" spans="1:7">
      <c r="A33">
        <v>322</v>
      </c>
      <c r="B33">
        <v>5</v>
      </c>
      <c r="C33" t="str">
        <f>_xlfn.XLOOKUP(tbl_model[[#This Row],[ProductID]],tbl_product[ProductID],tbl_product[ProductName],"UNMAPPED_PRODUCT")</f>
        <v>Chainring</v>
      </c>
      <c r="D33" t="str">
        <f>_xlfn.XLOOKUP(tbl_model[[#This Row],[ProductID]],tbl_product[ProductID],tbl_product[ProductNumber],"UNMAPPED_PRODUCT")</f>
        <v>CR-7833</v>
      </c>
      <c r="E33" t="str">
        <f>_xlfn.XLOOKUP(tbl_model[[#This Row],[LocationID]],tbl_location[LocationID],tbl_location[LocationName],"UNMAPPED_LOCATION")</f>
        <v>Metal Storage</v>
      </c>
      <c r="F33">
        <v>587</v>
      </c>
      <c r="G33" s="1" t="str">
        <f>tbl_model[[#This Row],[ProductID]] &amp; "-" &amp; tbl_model[[#This Row],[LocationID]]</f>
        <v>322-5</v>
      </c>
    </row>
    <row r="34" spans="1:7">
      <c r="A34">
        <v>322</v>
      </c>
      <c r="B34">
        <v>50</v>
      </c>
      <c r="C34" t="str">
        <f>_xlfn.XLOOKUP(tbl_model[[#This Row],[ProductID]],tbl_product[ProductID],tbl_product[ProductName],"UNMAPPED_PRODUCT")</f>
        <v>Chainring</v>
      </c>
      <c r="D34" t="str">
        <f>_xlfn.XLOOKUP(tbl_model[[#This Row],[ProductID]],tbl_product[ProductID],tbl_product[ProductNumber],"UNMAPPED_PRODUCT")</f>
        <v>CR-7833</v>
      </c>
      <c r="E34" t="str">
        <f>_xlfn.XLOOKUP(tbl_model[[#This Row],[LocationID]],tbl_location[LocationID],tbl_location[LocationName],"UNMAPPED_LOCATION")</f>
        <v>Subassembly</v>
      </c>
      <c r="F34">
        <v>475</v>
      </c>
      <c r="G34" s="1" t="str">
        <f>tbl_model[[#This Row],[ProductID]] &amp; "-" &amp; tbl_model[[#This Row],[LocationID]]</f>
        <v>322-50</v>
      </c>
    </row>
    <row r="35" spans="1:7">
      <c r="A35">
        <v>323</v>
      </c>
      <c r="B35">
        <v>1</v>
      </c>
      <c r="C35" t="str">
        <f>_xlfn.XLOOKUP(tbl_model[[#This Row],[ProductID]],tbl_product[ProductID],tbl_product[ProductName],"UNMAPPED_PRODUCT")</f>
        <v>Crown Race</v>
      </c>
      <c r="D35" t="str">
        <f>_xlfn.XLOOKUP(tbl_model[[#This Row],[ProductID]],tbl_product[ProductID],tbl_product[ProductNumber],"UNMAPPED_PRODUCT")</f>
        <v>CR-9981</v>
      </c>
      <c r="E35" t="str">
        <f>_xlfn.XLOOKUP(tbl_model[[#This Row],[LocationID]],tbl_location[LocationID],tbl_location[LocationName],"UNMAPPED_LOCATION")</f>
        <v>Tool Crib</v>
      </c>
      <c r="F35">
        <v>603</v>
      </c>
      <c r="G35" s="1" t="str">
        <f>tbl_model[[#This Row],[ProductID]] &amp; "-" &amp; tbl_model[[#This Row],[LocationID]]</f>
        <v>323-1</v>
      </c>
    </row>
    <row r="36" spans="1:7">
      <c r="A36">
        <v>323</v>
      </c>
      <c r="B36">
        <v>5</v>
      </c>
      <c r="C36" t="str">
        <f>_xlfn.XLOOKUP(tbl_model[[#This Row],[ProductID]],tbl_product[ProductID],tbl_product[ProductName],"UNMAPPED_PRODUCT")</f>
        <v>Crown Race</v>
      </c>
      <c r="D36" t="str">
        <f>_xlfn.XLOOKUP(tbl_model[[#This Row],[ProductID]],tbl_product[ProductID],tbl_product[ProductNumber],"UNMAPPED_PRODUCT")</f>
        <v>CR-9981</v>
      </c>
      <c r="E36" t="str">
        <f>_xlfn.XLOOKUP(tbl_model[[#This Row],[LocationID]],tbl_location[LocationID],tbl_location[LocationName],"UNMAPPED_LOCATION")</f>
        <v>Metal Storage</v>
      </c>
      <c r="F36">
        <v>568</v>
      </c>
      <c r="G36" s="1" t="str">
        <f>tbl_model[[#This Row],[ProductID]] &amp; "-" &amp; tbl_model[[#This Row],[LocationID]]</f>
        <v>323-5</v>
      </c>
    </row>
    <row r="37" spans="1:7">
      <c r="A37">
        <v>323</v>
      </c>
      <c r="B37">
        <v>50</v>
      </c>
      <c r="C37" t="str">
        <f>_xlfn.XLOOKUP(tbl_model[[#This Row],[ProductID]],tbl_product[ProductID],tbl_product[ProductName],"UNMAPPED_PRODUCT")</f>
        <v>Crown Race</v>
      </c>
      <c r="D37" t="str">
        <f>_xlfn.XLOOKUP(tbl_model[[#This Row],[ProductID]],tbl_product[ProductID],tbl_product[ProductNumber],"UNMAPPED_PRODUCT")</f>
        <v>CR-9981</v>
      </c>
      <c r="E37" t="str">
        <f>_xlfn.XLOOKUP(tbl_model[[#This Row],[LocationID]],tbl_location[LocationID],tbl_location[LocationName],"UNMAPPED_LOCATION")</f>
        <v>Subassembly</v>
      </c>
      <c r="F37">
        <v>513</v>
      </c>
      <c r="G37" s="1" t="str">
        <f>tbl_model[[#This Row],[ProductID]] &amp; "-" &amp; tbl_model[[#This Row],[LocationID]]</f>
        <v>323-50</v>
      </c>
    </row>
    <row r="38" spans="1:7">
      <c r="A38">
        <v>324</v>
      </c>
      <c r="B38">
        <v>1</v>
      </c>
      <c r="C38" t="str">
        <f>_xlfn.XLOOKUP(tbl_model[[#This Row],[ProductID]],tbl_product[ProductID],tbl_product[ProductName],"UNMAPPED_PRODUCT")</f>
        <v>Chain Stays</v>
      </c>
      <c r="D38" t="str">
        <f>_xlfn.XLOOKUP(tbl_model[[#This Row],[ProductID]],tbl_product[ProductID],tbl_product[ProductNumber],"UNMAPPED_PRODUCT")</f>
        <v>CS-2812</v>
      </c>
      <c r="E38" t="str">
        <f>_xlfn.XLOOKUP(tbl_model[[#This Row],[LocationID]],tbl_location[LocationID],tbl_location[LocationName],"UNMAPPED_LOCATION")</f>
        <v>Tool Crib</v>
      </c>
      <c r="F38">
        <v>585</v>
      </c>
      <c r="G38" s="1" t="str">
        <f>tbl_model[[#This Row],[ProductID]] &amp; "-" &amp; tbl_model[[#This Row],[LocationID]]</f>
        <v>324-1</v>
      </c>
    </row>
    <row r="39" spans="1:7">
      <c r="A39">
        <v>324</v>
      </c>
      <c r="B39">
        <v>5</v>
      </c>
      <c r="C39" t="str">
        <f>_xlfn.XLOOKUP(tbl_model[[#This Row],[ProductID]],tbl_product[ProductID],tbl_product[ProductName],"UNMAPPED_PRODUCT")</f>
        <v>Chain Stays</v>
      </c>
      <c r="D39" t="str">
        <f>_xlfn.XLOOKUP(tbl_model[[#This Row],[ProductID]],tbl_product[ProductID],tbl_product[ProductNumber],"UNMAPPED_PRODUCT")</f>
        <v>CS-2812</v>
      </c>
      <c r="E39" t="str">
        <f>_xlfn.XLOOKUP(tbl_model[[#This Row],[LocationID]],tbl_location[LocationID],tbl_location[LocationName],"UNMAPPED_LOCATION")</f>
        <v>Metal Storage</v>
      </c>
      <c r="F39">
        <v>568</v>
      </c>
      <c r="G39" s="1" t="str">
        <f>tbl_model[[#This Row],[ProductID]] &amp; "-" &amp; tbl_model[[#This Row],[LocationID]]</f>
        <v>324-5</v>
      </c>
    </row>
    <row r="40" spans="1:7">
      <c r="A40">
        <v>324</v>
      </c>
      <c r="B40">
        <v>50</v>
      </c>
      <c r="C40" t="str">
        <f>_xlfn.XLOOKUP(tbl_model[[#This Row],[ProductID]],tbl_product[ProductID],tbl_product[ProductName],"UNMAPPED_PRODUCT")</f>
        <v>Chain Stays</v>
      </c>
      <c r="D40" t="str">
        <f>_xlfn.XLOOKUP(tbl_model[[#This Row],[ProductID]],tbl_product[ProductID],tbl_product[ProductNumber],"UNMAPPED_PRODUCT")</f>
        <v>CS-2812</v>
      </c>
      <c r="E40" t="str">
        <f>_xlfn.XLOOKUP(tbl_model[[#This Row],[LocationID]],tbl_location[LocationID],tbl_location[LocationName],"UNMAPPED_LOCATION")</f>
        <v>Subassembly</v>
      </c>
      <c r="F40">
        <v>476</v>
      </c>
      <c r="G40" s="1" t="str">
        <f>tbl_model[[#This Row],[ProductID]] &amp; "-" &amp; tbl_model[[#This Row],[LocationID]]</f>
        <v>324-50</v>
      </c>
    </row>
    <row r="41" spans="1:7">
      <c r="A41">
        <v>325</v>
      </c>
      <c r="B41">
        <v>1</v>
      </c>
      <c r="C41" t="str">
        <f>_xlfn.XLOOKUP(tbl_model[[#This Row],[ProductID]],tbl_product[ProductID],tbl_product[ProductName],"UNMAPPED_PRODUCT")</f>
        <v>Decal 1</v>
      </c>
      <c r="D41" t="str">
        <f>_xlfn.XLOOKUP(tbl_model[[#This Row],[ProductID]],tbl_product[ProductID],tbl_product[ProductNumber],"UNMAPPED_PRODUCT")</f>
        <v>DC-8732</v>
      </c>
      <c r="E41" t="str">
        <f>_xlfn.XLOOKUP(tbl_model[[#This Row],[LocationID]],tbl_location[LocationID],tbl_location[LocationName],"UNMAPPED_LOCATION")</f>
        <v>Tool Crib</v>
      </c>
      <c r="F41">
        <v>569</v>
      </c>
      <c r="G41" s="1" t="str">
        <f>tbl_model[[#This Row],[ProductID]] &amp; "-" &amp; tbl_model[[#This Row],[LocationID]]</f>
        <v>325-1</v>
      </c>
    </row>
    <row r="42" spans="1:7">
      <c r="A42">
        <v>325</v>
      </c>
      <c r="B42">
        <v>6</v>
      </c>
      <c r="C42" t="str">
        <f>_xlfn.XLOOKUP(tbl_model[[#This Row],[ProductID]],tbl_product[ProductID],tbl_product[ProductName],"UNMAPPED_PRODUCT")</f>
        <v>Decal 1</v>
      </c>
      <c r="D42" t="str">
        <f>_xlfn.XLOOKUP(tbl_model[[#This Row],[ProductID]],tbl_product[ProductID],tbl_product[ProductNumber],"UNMAPPED_PRODUCT")</f>
        <v>DC-8732</v>
      </c>
      <c r="E42" t="str">
        <f>_xlfn.XLOOKUP(tbl_model[[#This Row],[LocationID]],tbl_location[LocationID],tbl_location[LocationName],"UNMAPPED_LOCATION")</f>
        <v>Miscellaneous Storage</v>
      </c>
      <c r="F42">
        <v>540</v>
      </c>
      <c r="G42" s="1" t="str">
        <f>tbl_model[[#This Row],[ProductID]] &amp; "-" &amp; tbl_model[[#This Row],[LocationID]]</f>
        <v>325-6</v>
      </c>
    </row>
    <row r="43" spans="1:7">
      <c r="A43">
        <v>325</v>
      </c>
      <c r="B43">
        <v>60</v>
      </c>
      <c r="C43" t="str">
        <f>_xlfn.XLOOKUP(tbl_model[[#This Row],[ProductID]],tbl_product[ProductID],tbl_product[ProductName],"UNMAPPED_PRODUCT")</f>
        <v>Decal 1</v>
      </c>
      <c r="D43" t="str">
        <f>_xlfn.XLOOKUP(tbl_model[[#This Row],[ProductID]],tbl_product[ProductID],tbl_product[ProductNumber],"UNMAPPED_PRODUCT")</f>
        <v>DC-8732</v>
      </c>
      <c r="E43" t="str">
        <f>_xlfn.XLOOKUP(tbl_model[[#This Row],[LocationID]],tbl_location[LocationID],tbl_location[LocationName],"UNMAPPED_LOCATION")</f>
        <v>Final Assembly</v>
      </c>
      <c r="F43">
        <v>641</v>
      </c>
      <c r="G43" s="1" t="str">
        <f>tbl_model[[#This Row],[ProductID]] &amp; "-" &amp; tbl_model[[#This Row],[LocationID]]</f>
        <v>325-60</v>
      </c>
    </row>
    <row r="44" spans="1:7">
      <c r="A44">
        <v>326</v>
      </c>
      <c r="B44">
        <v>1</v>
      </c>
      <c r="C44" t="str">
        <f>_xlfn.XLOOKUP(tbl_model[[#This Row],[ProductID]],tbl_product[ProductID],tbl_product[ProductName],"UNMAPPED_PRODUCT")</f>
        <v>Decal 2</v>
      </c>
      <c r="D44" t="str">
        <f>_xlfn.XLOOKUP(tbl_model[[#This Row],[ProductID]],tbl_product[ProductID],tbl_product[ProductNumber],"UNMAPPED_PRODUCT")</f>
        <v>DC-9824</v>
      </c>
      <c r="E44" t="str">
        <f>_xlfn.XLOOKUP(tbl_model[[#This Row],[LocationID]],tbl_location[LocationID],tbl_location[LocationName],"UNMAPPED_LOCATION")</f>
        <v>Tool Crib</v>
      </c>
      <c r="F44">
        <v>622</v>
      </c>
      <c r="G44" s="1" t="str">
        <f>tbl_model[[#This Row],[ProductID]] &amp; "-" &amp; tbl_model[[#This Row],[LocationID]]</f>
        <v>326-1</v>
      </c>
    </row>
    <row r="45" spans="1:7">
      <c r="A45">
        <v>326</v>
      </c>
      <c r="B45">
        <v>6</v>
      </c>
      <c r="C45" t="str">
        <f>_xlfn.XLOOKUP(tbl_model[[#This Row],[ProductID]],tbl_product[ProductID],tbl_product[ProductName],"UNMAPPED_PRODUCT")</f>
        <v>Decal 2</v>
      </c>
      <c r="D45" t="str">
        <f>_xlfn.XLOOKUP(tbl_model[[#This Row],[ProductID]],tbl_product[ProductID],tbl_product[ProductNumber],"UNMAPPED_PRODUCT")</f>
        <v>DC-9824</v>
      </c>
      <c r="E45" t="str">
        <f>_xlfn.XLOOKUP(tbl_model[[#This Row],[LocationID]],tbl_location[LocationID],tbl_location[LocationName],"UNMAPPED_LOCATION")</f>
        <v>Miscellaneous Storage</v>
      </c>
      <c r="F45">
        <v>587</v>
      </c>
      <c r="G45" s="1" t="str">
        <f>tbl_model[[#This Row],[ProductID]] &amp; "-" &amp; tbl_model[[#This Row],[LocationID]]</f>
        <v>326-6</v>
      </c>
    </row>
    <row r="46" spans="1:7">
      <c r="A46">
        <v>326</v>
      </c>
      <c r="B46">
        <v>60</v>
      </c>
      <c r="C46" t="str">
        <f>_xlfn.XLOOKUP(tbl_model[[#This Row],[ProductID]],tbl_product[ProductID],tbl_product[ProductName],"UNMAPPED_PRODUCT")</f>
        <v>Decal 2</v>
      </c>
      <c r="D46" t="str">
        <f>_xlfn.XLOOKUP(tbl_model[[#This Row],[ProductID]],tbl_product[ProductID],tbl_product[ProductNumber],"UNMAPPED_PRODUCT")</f>
        <v>DC-9824</v>
      </c>
      <c r="E46" t="str">
        <f>_xlfn.XLOOKUP(tbl_model[[#This Row],[LocationID]],tbl_location[LocationID],tbl_location[LocationName],"UNMAPPED_LOCATION")</f>
        <v>Final Assembly</v>
      </c>
      <c r="F46">
        <v>475</v>
      </c>
      <c r="G46" s="1" t="str">
        <f>tbl_model[[#This Row],[ProductID]] &amp; "-" &amp; tbl_model[[#This Row],[LocationID]]</f>
        <v>326-60</v>
      </c>
    </row>
    <row r="47" spans="1:7">
      <c r="A47">
        <v>327</v>
      </c>
      <c r="B47">
        <v>5</v>
      </c>
      <c r="C47" t="str">
        <f>_xlfn.XLOOKUP(tbl_model[[#This Row],[ProductID]],tbl_product[ProductID],tbl_product[ProductName],"UNMAPPED_PRODUCT")</f>
        <v>Down Tube</v>
      </c>
      <c r="D47" t="str">
        <f>_xlfn.XLOOKUP(tbl_model[[#This Row],[ProductID]],tbl_product[ProductID],tbl_product[ProductNumber],"UNMAPPED_PRODUCT")</f>
        <v>DT-2377</v>
      </c>
      <c r="E47" t="str">
        <f>_xlfn.XLOOKUP(tbl_model[[#This Row],[LocationID]],tbl_location[LocationID],tbl_location[LocationName],"UNMAPPED_LOCATION")</f>
        <v>Metal Storage</v>
      </c>
      <c r="F47">
        <v>408</v>
      </c>
      <c r="G47" s="1" t="str">
        <f>tbl_model[[#This Row],[ProductID]] &amp; "-" &amp; tbl_model[[#This Row],[LocationID]]</f>
        <v>327-5</v>
      </c>
    </row>
    <row r="48" spans="1:7">
      <c r="A48">
        <v>327</v>
      </c>
      <c r="B48">
        <v>10</v>
      </c>
      <c r="C48" t="str">
        <f>_xlfn.XLOOKUP(tbl_model[[#This Row],[ProductID]],tbl_product[ProductID],tbl_product[ProductName],"UNMAPPED_PRODUCT")</f>
        <v>Down Tube</v>
      </c>
      <c r="D48" t="str">
        <f>_xlfn.XLOOKUP(tbl_model[[#This Row],[ProductID]],tbl_product[ProductID],tbl_product[ProductNumber],"UNMAPPED_PRODUCT")</f>
        <v>DT-2377</v>
      </c>
      <c r="E48" t="str">
        <f>_xlfn.XLOOKUP(tbl_model[[#This Row],[LocationID]],tbl_location[LocationID],tbl_location[LocationName],"UNMAPPED_LOCATION")</f>
        <v>Frame Forming</v>
      </c>
      <c r="F48">
        <v>443</v>
      </c>
      <c r="G48" s="1" t="str">
        <f>tbl_model[[#This Row],[ProductID]] &amp; "-" &amp; tbl_model[[#This Row],[LocationID]]</f>
        <v>327-10</v>
      </c>
    </row>
    <row r="49" spans="1:7">
      <c r="A49">
        <v>327</v>
      </c>
      <c r="B49">
        <v>50</v>
      </c>
      <c r="C49" t="str">
        <f>_xlfn.XLOOKUP(tbl_model[[#This Row],[ProductID]],tbl_product[ProductID],tbl_product[ProductName],"UNMAPPED_PRODUCT")</f>
        <v>Down Tube</v>
      </c>
      <c r="D49" t="str">
        <f>_xlfn.XLOOKUP(tbl_model[[#This Row],[ProductID]],tbl_product[ProductID],tbl_product[ProductNumber],"UNMAPPED_PRODUCT")</f>
        <v>DT-2377</v>
      </c>
      <c r="E49" t="str">
        <f>_xlfn.XLOOKUP(tbl_model[[#This Row],[LocationID]],tbl_location[LocationID],tbl_location[LocationName],"UNMAPPED_LOCATION")</f>
        <v>Subassembly</v>
      </c>
      <c r="F49">
        <v>513</v>
      </c>
      <c r="G49" s="1" t="str">
        <f>tbl_model[[#This Row],[ProductID]] &amp; "-" &amp; tbl_model[[#This Row],[LocationID]]</f>
        <v>327-50</v>
      </c>
    </row>
    <row r="50" spans="1:7">
      <c r="A50">
        <v>328</v>
      </c>
      <c r="B50">
        <v>5</v>
      </c>
      <c r="C50" t="str">
        <f>_xlfn.XLOOKUP(tbl_model[[#This Row],[ProductID]],tbl_product[ProductID],tbl_product[ProductName],"UNMAPPED_PRODUCT")</f>
        <v>Mountain End Caps</v>
      </c>
      <c r="D50" t="str">
        <f>_xlfn.XLOOKUP(tbl_model[[#This Row],[ProductID]],tbl_product[ProductID],tbl_product[ProductNumber],"UNMAPPED_PRODUCT")</f>
        <v>EC-M092</v>
      </c>
      <c r="E50" t="str">
        <f>_xlfn.XLOOKUP(tbl_model[[#This Row],[LocationID]],tbl_location[LocationID],tbl_location[LocationName],"UNMAPPED_LOCATION")</f>
        <v>Metal Storage</v>
      </c>
      <c r="F50">
        <v>568</v>
      </c>
      <c r="G50" s="1" t="str">
        <f>tbl_model[[#This Row],[ProductID]] &amp; "-" &amp; tbl_model[[#This Row],[LocationID]]</f>
        <v>328-5</v>
      </c>
    </row>
    <row r="51" spans="1:7">
      <c r="A51">
        <v>328</v>
      </c>
      <c r="B51">
        <v>10</v>
      </c>
      <c r="C51" t="str">
        <f>_xlfn.XLOOKUP(tbl_model[[#This Row],[ProductID]],tbl_product[ProductID],tbl_product[ProductName],"UNMAPPED_PRODUCT")</f>
        <v>Mountain End Caps</v>
      </c>
      <c r="D51" t="str">
        <f>_xlfn.XLOOKUP(tbl_model[[#This Row],[ProductID]],tbl_product[ProductID],tbl_product[ProductNumber],"UNMAPPED_PRODUCT")</f>
        <v>EC-M092</v>
      </c>
      <c r="E51" t="str">
        <f>_xlfn.XLOOKUP(tbl_model[[#This Row],[LocationID]],tbl_location[LocationID],tbl_location[LocationName],"UNMAPPED_LOCATION")</f>
        <v>Frame Forming</v>
      </c>
      <c r="F51">
        <v>585</v>
      </c>
      <c r="G51" s="1" t="str">
        <f>tbl_model[[#This Row],[ProductID]] &amp; "-" &amp; tbl_model[[#This Row],[LocationID]]</f>
        <v>328-10</v>
      </c>
    </row>
    <row r="52" spans="1:7">
      <c r="A52">
        <v>328</v>
      </c>
      <c r="B52">
        <v>50</v>
      </c>
      <c r="C52" t="str">
        <f>_xlfn.XLOOKUP(tbl_model[[#This Row],[ProductID]],tbl_product[ProductID],tbl_product[ProductName],"UNMAPPED_PRODUCT")</f>
        <v>Mountain End Caps</v>
      </c>
      <c r="D52" t="str">
        <f>_xlfn.XLOOKUP(tbl_model[[#This Row],[ProductID]],tbl_product[ProductID],tbl_product[ProductNumber],"UNMAPPED_PRODUCT")</f>
        <v>EC-M092</v>
      </c>
      <c r="E52" t="str">
        <f>_xlfn.XLOOKUP(tbl_model[[#This Row],[LocationID]],tbl_location[LocationID],tbl_location[LocationName],"UNMAPPED_LOCATION")</f>
        <v>Subassembly</v>
      </c>
      <c r="F52">
        <v>476</v>
      </c>
      <c r="G52" s="1" t="str">
        <f>tbl_model[[#This Row],[ProductID]] &amp; "-" &amp; tbl_model[[#This Row],[LocationID]]</f>
        <v>328-50</v>
      </c>
    </row>
    <row r="53" spans="1:7">
      <c r="A53">
        <v>329</v>
      </c>
      <c r="B53">
        <v>5</v>
      </c>
      <c r="C53" t="str">
        <f>_xlfn.XLOOKUP(tbl_model[[#This Row],[ProductID]],tbl_product[ProductID],tbl_product[ProductName],"UNMAPPED_PRODUCT")</f>
        <v>Road End Caps</v>
      </c>
      <c r="D53" t="str">
        <f>_xlfn.XLOOKUP(tbl_model[[#This Row],[ProductID]],tbl_product[ProductID],tbl_product[ProductNumber],"UNMAPPED_PRODUCT")</f>
        <v>EC-R098</v>
      </c>
      <c r="E53" t="str">
        <f>_xlfn.XLOOKUP(tbl_model[[#This Row],[LocationID]],tbl_location[LocationID],tbl_location[LocationName],"UNMAPPED_LOCATION")</f>
        <v>Metal Storage</v>
      </c>
      <c r="F53">
        <v>558</v>
      </c>
      <c r="G53" s="1" t="str">
        <f>tbl_model[[#This Row],[ProductID]] &amp; "-" &amp; tbl_model[[#This Row],[LocationID]]</f>
        <v>329-5</v>
      </c>
    </row>
    <row r="54" spans="1:7">
      <c r="A54">
        <v>329</v>
      </c>
      <c r="B54">
        <v>10</v>
      </c>
      <c r="C54" t="str">
        <f>_xlfn.XLOOKUP(tbl_model[[#This Row],[ProductID]],tbl_product[ProductID],tbl_product[ProductName],"UNMAPPED_PRODUCT")</f>
        <v>Road End Caps</v>
      </c>
      <c r="D54" t="str">
        <f>_xlfn.XLOOKUP(tbl_model[[#This Row],[ProductID]],tbl_product[ProductID],tbl_product[ProductNumber],"UNMAPPED_PRODUCT")</f>
        <v>EC-R098</v>
      </c>
      <c r="E54" t="str">
        <f>_xlfn.XLOOKUP(tbl_model[[#This Row],[LocationID]],tbl_location[LocationID],tbl_location[LocationName],"UNMAPPED_LOCATION")</f>
        <v>Frame Forming</v>
      </c>
      <c r="F54">
        <v>576</v>
      </c>
      <c r="G54" s="1" t="str">
        <f>tbl_model[[#This Row],[ProductID]] &amp; "-" &amp; tbl_model[[#This Row],[LocationID]]</f>
        <v>329-10</v>
      </c>
    </row>
    <row r="55" spans="1:7">
      <c r="A55">
        <v>329</v>
      </c>
      <c r="B55">
        <v>50</v>
      </c>
      <c r="C55" t="str">
        <f>_xlfn.XLOOKUP(tbl_model[[#This Row],[ProductID]],tbl_product[ProductID],tbl_product[ProductName],"UNMAPPED_PRODUCT")</f>
        <v>Road End Caps</v>
      </c>
      <c r="D55" t="str">
        <f>_xlfn.XLOOKUP(tbl_model[[#This Row],[ProductID]],tbl_product[ProductID],tbl_product[ProductNumber],"UNMAPPED_PRODUCT")</f>
        <v>EC-R098</v>
      </c>
      <c r="E55" t="str">
        <f>_xlfn.XLOOKUP(tbl_model[[#This Row],[LocationID]],tbl_location[LocationID],tbl_location[LocationName],"UNMAPPED_LOCATION")</f>
        <v>Subassembly</v>
      </c>
      <c r="F55">
        <v>467</v>
      </c>
      <c r="G55" s="1" t="str">
        <f>tbl_model[[#This Row],[ProductID]] &amp; "-" &amp; tbl_model[[#This Row],[LocationID]]</f>
        <v>329-50</v>
      </c>
    </row>
    <row r="56" spans="1:7">
      <c r="A56">
        <v>330</v>
      </c>
      <c r="B56">
        <v>5</v>
      </c>
      <c r="C56" t="str">
        <f>_xlfn.XLOOKUP(tbl_model[[#This Row],[ProductID]],tbl_product[ProductID],tbl_product[ProductName],"UNMAPPED_PRODUCT")</f>
        <v>Touring End Caps</v>
      </c>
      <c r="D56" t="str">
        <f>_xlfn.XLOOKUP(tbl_model[[#This Row],[ProductID]],tbl_product[ProductID],tbl_product[ProductNumber],"UNMAPPED_PRODUCT")</f>
        <v>EC-T209</v>
      </c>
      <c r="E56" t="str">
        <f>_xlfn.XLOOKUP(tbl_model[[#This Row],[LocationID]],tbl_location[LocationID],tbl_location[LocationName],"UNMAPPED_LOCATION")</f>
        <v>Metal Storage</v>
      </c>
      <c r="F56">
        <v>548</v>
      </c>
      <c r="G56" s="1" t="str">
        <f>tbl_model[[#This Row],[ProductID]] &amp; "-" &amp; tbl_model[[#This Row],[LocationID]]</f>
        <v>330-5</v>
      </c>
    </row>
    <row r="57" spans="1:7">
      <c r="A57">
        <v>330</v>
      </c>
      <c r="B57">
        <v>10</v>
      </c>
      <c r="C57" t="str">
        <f>_xlfn.XLOOKUP(tbl_model[[#This Row],[ProductID]],tbl_product[ProductID],tbl_product[ProductName],"UNMAPPED_PRODUCT")</f>
        <v>Touring End Caps</v>
      </c>
      <c r="D57" t="str">
        <f>_xlfn.XLOOKUP(tbl_model[[#This Row],[ProductID]],tbl_product[ProductID],tbl_product[ProductNumber],"UNMAPPED_PRODUCT")</f>
        <v>EC-T209</v>
      </c>
      <c r="E57" t="str">
        <f>_xlfn.XLOOKUP(tbl_model[[#This Row],[LocationID]],tbl_location[LocationID],tbl_location[LocationName],"UNMAPPED_LOCATION")</f>
        <v>Frame Forming</v>
      </c>
      <c r="F57">
        <v>566</v>
      </c>
      <c r="G57" s="1" t="str">
        <f>tbl_model[[#This Row],[ProductID]] &amp; "-" &amp; tbl_model[[#This Row],[LocationID]]</f>
        <v>330-10</v>
      </c>
    </row>
    <row r="58" spans="1:7">
      <c r="A58">
        <v>330</v>
      </c>
      <c r="B58">
        <v>50</v>
      </c>
      <c r="C58" t="str">
        <f>_xlfn.XLOOKUP(tbl_model[[#This Row],[ProductID]],tbl_product[ProductID],tbl_product[ProductName],"UNMAPPED_PRODUCT")</f>
        <v>Touring End Caps</v>
      </c>
      <c r="D58" t="str">
        <f>_xlfn.XLOOKUP(tbl_model[[#This Row],[ProductID]],tbl_product[ProductID],tbl_product[ProductNumber],"UNMAPPED_PRODUCT")</f>
        <v>EC-T209</v>
      </c>
      <c r="E58" t="str">
        <f>_xlfn.XLOOKUP(tbl_model[[#This Row],[LocationID]],tbl_location[LocationID],tbl_location[LocationName],"UNMAPPED_LOCATION")</f>
        <v>Subassembly</v>
      </c>
      <c r="F58">
        <v>457</v>
      </c>
      <c r="G58" s="1" t="str">
        <f>tbl_model[[#This Row],[ProductID]] &amp; "-" &amp; tbl_model[[#This Row],[LocationID]]</f>
        <v>330-50</v>
      </c>
    </row>
    <row r="59" spans="1:7">
      <c r="A59">
        <v>331</v>
      </c>
      <c r="B59">
        <v>5</v>
      </c>
      <c r="C59" t="str">
        <f>_xlfn.XLOOKUP(tbl_model[[#This Row],[ProductID]],tbl_product[ProductID],tbl_product[ProductName],"UNMAPPED_PRODUCT")</f>
        <v>Fork End</v>
      </c>
      <c r="D59" t="str">
        <f>_xlfn.XLOOKUP(tbl_model[[#This Row],[ProductID]],tbl_product[ProductID],tbl_product[ProductNumber],"UNMAPPED_PRODUCT")</f>
        <v>FE-3760</v>
      </c>
      <c r="E59" t="str">
        <f>_xlfn.XLOOKUP(tbl_model[[#This Row],[LocationID]],tbl_location[LocationID],tbl_location[LocationName],"UNMAPPED_LOCATION")</f>
        <v>Metal Storage</v>
      </c>
      <c r="F59">
        <v>574</v>
      </c>
      <c r="G59" s="1" t="str">
        <f>tbl_model[[#This Row],[ProductID]] &amp; "-" &amp; tbl_model[[#This Row],[LocationID]]</f>
        <v>331-5</v>
      </c>
    </row>
    <row r="60" spans="1:7">
      <c r="A60">
        <v>331</v>
      </c>
      <c r="B60">
        <v>10</v>
      </c>
      <c r="C60" t="str">
        <f>_xlfn.XLOOKUP(tbl_model[[#This Row],[ProductID]],tbl_product[ProductID],tbl_product[ProductName],"UNMAPPED_PRODUCT")</f>
        <v>Fork End</v>
      </c>
      <c r="D60" t="str">
        <f>_xlfn.XLOOKUP(tbl_model[[#This Row],[ProductID]],tbl_product[ProductID],tbl_product[ProductNumber],"UNMAPPED_PRODUCT")</f>
        <v>FE-3760</v>
      </c>
      <c r="E60" t="str">
        <f>_xlfn.XLOOKUP(tbl_model[[#This Row],[LocationID]],tbl_location[LocationID],tbl_location[LocationName],"UNMAPPED_LOCATION")</f>
        <v>Frame Forming</v>
      </c>
      <c r="F60">
        <v>441</v>
      </c>
      <c r="G60" s="1" t="str">
        <f>tbl_model[[#This Row],[ProductID]] &amp; "-" &amp; tbl_model[[#This Row],[LocationID]]</f>
        <v>331-10</v>
      </c>
    </row>
    <row r="61" spans="1:7">
      <c r="A61">
        <v>331</v>
      </c>
      <c r="B61">
        <v>50</v>
      </c>
      <c r="C61" t="str">
        <f>_xlfn.XLOOKUP(tbl_model[[#This Row],[ProductID]],tbl_product[ProductID],tbl_product[ProductName],"UNMAPPED_PRODUCT")</f>
        <v>Fork End</v>
      </c>
      <c r="D61" t="str">
        <f>_xlfn.XLOOKUP(tbl_model[[#This Row],[ProductID]],tbl_product[ProductID],tbl_product[ProductNumber],"UNMAPPED_PRODUCT")</f>
        <v>FE-3760</v>
      </c>
      <c r="E61" t="str">
        <f>_xlfn.XLOOKUP(tbl_model[[#This Row],[LocationID]],tbl_location[LocationID],tbl_location[LocationName],"UNMAPPED_LOCATION")</f>
        <v>Subassembly</v>
      </c>
      <c r="F61">
        <v>390</v>
      </c>
      <c r="G61" s="1" t="str">
        <f>tbl_model[[#This Row],[ProductID]] &amp; "-" &amp; tbl_model[[#This Row],[LocationID]]</f>
        <v>331-50</v>
      </c>
    </row>
    <row r="62" spans="1:7">
      <c r="A62">
        <v>332</v>
      </c>
      <c r="B62">
        <v>5</v>
      </c>
      <c r="C62" t="str">
        <f>_xlfn.XLOOKUP(tbl_model[[#This Row],[ProductID]],tbl_product[ProductID],tbl_product[ProductName],"UNMAPPED_PRODUCT")</f>
        <v>Freewheel</v>
      </c>
      <c r="D62" t="str">
        <f>_xlfn.XLOOKUP(tbl_model[[#This Row],[ProductID]],tbl_product[ProductID],tbl_product[ProductNumber],"UNMAPPED_PRODUCT")</f>
        <v>FH-2981</v>
      </c>
      <c r="E62" t="str">
        <f>_xlfn.XLOOKUP(tbl_model[[#This Row],[LocationID]],tbl_location[LocationID],tbl_location[LocationName],"UNMAPPED_LOCATION")</f>
        <v>Metal Storage</v>
      </c>
      <c r="F62">
        <v>344</v>
      </c>
      <c r="G62" s="1" t="str">
        <f>tbl_model[[#This Row],[ProductID]] &amp; "-" &amp; tbl_model[[#This Row],[LocationID]]</f>
        <v>332-5</v>
      </c>
    </row>
    <row r="63" spans="1:7">
      <c r="A63">
        <v>332</v>
      </c>
      <c r="B63">
        <v>10</v>
      </c>
      <c r="C63" t="str">
        <f>_xlfn.XLOOKUP(tbl_model[[#This Row],[ProductID]],tbl_product[ProductID],tbl_product[ProductName],"UNMAPPED_PRODUCT")</f>
        <v>Freewheel</v>
      </c>
      <c r="D63" t="str">
        <f>_xlfn.XLOOKUP(tbl_model[[#This Row],[ProductID]],tbl_product[ProductID],tbl_product[ProductNumber],"UNMAPPED_PRODUCT")</f>
        <v>FH-2981</v>
      </c>
      <c r="E63" t="str">
        <f>_xlfn.XLOOKUP(tbl_model[[#This Row],[LocationID]],tbl_location[LocationID],tbl_location[LocationName],"UNMAPPED_LOCATION")</f>
        <v>Frame Forming</v>
      </c>
      <c r="F63">
        <v>233</v>
      </c>
      <c r="G63" s="1" t="str">
        <f>tbl_model[[#This Row],[ProductID]] &amp; "-" &amp; tbl_model[[#This Row],[LocationID]]</f>
        <v>332-10</v>
      </c>
    </row>
    <row r="64" spans="1:7">
      <c r="A64">
        <v>332</v>
      </c>
      <c r="B64">
        <v>50</v>
      </c>
      <c r="C64" t="str">
        <f>_xlfn.XLOOKUP(tbl_model[[#This Row],[ProductID]],tbl_product[ProductID],tbl_product[ProductName],"UNMAPPED_PRODUCT")</f>
        <v>Freewheel</v>
      </c>
      <c r="D64" t="str">
        <f>_xlfn.XLOOKUP(tbl_model[[#This Row],[ProductID]],tbl_product[ProductID],tbl_product[ProductNumber],"UNMAPPED_PRODUCT")</f>
        <v>FH-2981</v>
      </c>
      <c r="E64" t="str">
        <f>_xlfn.XLOOKUP(tbl_model[[#This Row],[LocationID]],tbl_location[LocationID],tbl_location[LocationName],"UNMAPPED_LOCATION")</f>
        <v>Subassembly</v>
      </c>
      <c r="F64">
        <v>267</v>
      </c>
      <c r="G64" s="1" t="str">
        <f>tbl_model[[#This Row],[ProductID]] &amp; "-" &amp; tbl_model[[#This Row],[LocationID]]</f>
        <v>332-50</v>
      </c>
    </row>
    <row r="65" spans="1:7">
      <c r="A65">
        <v>341</v>
      </c>
      <c r="B65">
        <v>1</v>
      </c>
      <c r="C65" t="str">
        <f>_xlfn.XLOOKUP(tbl_model[[#This Row],[ProductID]],tbl_product[ProductID],tbl_product[ProductName],"UNMAPPED_PRODUCT")</f>
        <v>Flat Washer 1</v>
      </c>
      <c r="D65" t="str">
        <f>_xlfn.XLOOKUP(tbl_model[[#This Row],[ProductID]],tbl_product[ProductID],tbl_product[ProductNumber],"UNMAPPED_PRODUCT")</f>
        <v>FW-1000</v>
      </c>
      <c r="E65" t="str">
        <f>_xlfn.XLOOKUP(tbl_model[[#This Row],[LocationID]],tbl_location[LocationID],tbl_location[LocationName],"UNMAPPED_LOCATION")</f>
        <v>Tool Crib</v>
      </c>
      <c r="F65">
        <v>372</v>
      </c>
      <c r="G65" s="1" t="str">
        <f>tbl_model[[#This Row],[ProductID]] &amp; "-" &amp; tbl_model[[#This Row],[LocationID]]</f>
        <v>341-1</v>
      </c>
    </row>
    <row r="66" spans="1:7">
      <c r="A66">
        <v>341</v>
      </c>
      <c r="B66">
        <v>50</v>
      </c>
      <c r="C66" t="str">
        <f>_xlfn.XLOOKUP(tbl_model[[#This Row],[ProductID]],tbl_product[ProductID],tbl_product[ProductName],"UNMAPPED_PRODUCT")</f>
        <v>Flat Washer 1</v>
      </c>
      <c r="D66" t="str">
        <f>_xlfn.XLOOKUP(tbl_model[[#This Row],[ProductID]],tbl_product[ProductID],tbl_product[ProductNumber],"UNMAPPED_PRODUCT")</f>
        <v>FW-1000</v>
      </c>
      <c r="E66" t="str">
        <f>_xlfn.XLOOKUP(tbl_model[[#This Row],[LocationID]],tbl_location[LocationID],tbl_location[LocationName],"UNMAPPED_LOCATION")</f>
        <v>Subassembly</v>
      </c>
      <c r="F66">
        <v>392</v>
      </c>
      <c r="G66" s="1" t="str">
        <f>tbl_model[[#This Row],[ProductID]] &amp; "-" &amp; tbl_model[[#This Row],[LocationID]]</f>
        <v>341-50</v>
      </c>
    </row>
    <row r="67" spans="1:7">
      <c r="A67">
        <v>341</v>
      </c>
      <c r="B67">
        <v>60</v>
      </c>
      <c r="C67" t="str">
        <f>_xlfn.XLOOKUP(tbl_model[[#This Row],[ProductID]],tbl_product[ProductID],tbl_product[ProductName],"UNMAPPED_PRODUCT")</f>
        <v>Flat Washer 1</v>
      </c>
      <c r="D67" t="str">
        <f>_xlfn.XLOOKUP(tbl_model[[#This Row],[ProductID]],tbl_product[ProductID],tbl_product[ProductNumber],"UNMAPPED_PRODUCT")</f>
        <v>FW-1000</v>
      </c>
      <c r="E67" t="str">
        <f>_xlfn.XLOOKUP(tbl_model[[#This Row],[LocationID]],tbl_location[LocationID],tbl_location[LocationName],"UNMAPPED_LOCATION")</f>
        <v>Final Assembly</v>
      </c>
      <c r="F67">
        <v>339</v>
      </c>
      <c r="G67" s="1" t="str">
        <f>tbl_model[[#This Row],[ProductID]] &amp; "-" &amp; tbl_model[[#This Row],[LocationID]]</f>
        <v>341-60</v>
      </c>
    </row>
    <row r="68" spans="1:7">
      <c r="A68">
        <v>342</v>
      </c>
      <c r="B68">
        <v>1</v>
      </c>
      <c r="C68" t="str">
        <f>_xlfn.XLOOKUP(tbl_model[[#This Row],[ProductID]],tbl_product[ProductID],tbl_product[ProductName],"UNMAPPED_PRODUCT")</f>
        <v>Flat Washer 6</v>
      </c>
      <c r="D68" t="str">
        <f>_xlfn.XLOOKUP(tbl_model[[#This Row],[ProductID]],tbl_product[ProductID],tbl_product[ProductNumber],"UNMAPPED_PRODUCT")</f>
        <v>FW-1200</v>
      </c>
      <c r="E68" t="str">
        <f>_xlfn.XLOOKUP(tbl_model[[#This Row],[LocationID]],tbl_location[LocationID],tbl_location[LocationName],"UNMAPPED_LOCATION")</f>
        <v>Tool Crib</v>
      </c>
      <c r="F68">
        <v>369</v>
      </c>
      <c r="G68" s="1" t="str">
        <f>tbl_model[[#This Row],[ProductID]] &amp; "-" &amp; tbl_model[[#This Row],[LocationID]]</f>
        <v>342-1</v>
      </c>
    </row>
    <row r="69" spans="1:7">
      <c r="A69">
        <v>342</v>
      </c>
      <c r="B69">
        <v>50</v>
      </c>
      <c r="C69" t="str">
        <f>_xlfn.XLOOKUP(tbl_model[[#This Row],[ProductID]],tbl_product[ProductID],tbl_product[ProductName],"UNMAPPED_PRODUCT")</f>
        <v>Flat Washer 6</v>
      </c>
      <c r="D69" t="str">
        <f>_xlfn.XLOOKUP(tbl_model[[#This Row],[ProductID]],tbl_product[ProductID],tbl_product[ProductNumber],"UNMAPPED_PRODUCT")</f>
        <v>FW-1200</v>
      </c>
      <c r="E69" t="str">
        <f>_xlfn.XLOOKUP(tbl_model[[#This Row],[LocationID]],tbl_location[LocationID],tbl_location[LocationName],"UNMAPPED_LOCATION")</f>
        <v>Subassembly</v>
      </c>
      <c r="F69">
        <v>388</v>
      </c>
      <c r="G69" s="1" t="str">
        <f>tbl_model[[#This Row],[ProductID]] &amp; "-" &amp; tbl_model[[#This Row],[LocationID]]</f>
        <v>342-50</v>
      </c>
    </row>
    <row r="70" spans="1:7">
      <c r="A70">
        <v>342</v>
      </c>
      <c r="B70">
        <v>60</v>
      </c>
      <c r="C70" t="str">
        <f>_xlfn.XLOOKUP(tbl_model[[#This Row],[ProductID]],tbl_product[ProductID],tbl_product[ProductName],"UNMAPPED_PRODUCT")</f>
        <v>Flat Washer 6</v>
      </c>
      <c r="D70" t="str">
        <f>_xlfn.XLOOKUP(tbl_model[[#This Row],[ProductID]],tbl_product[ProductID],tbl_product[ProductNumber],"UNMAPPED_PRODUCT")</f>
        <v>FW-1200</v>
      </c>
      <c r="E70" t="str">
        <f>_xlfn.XLOOKUP(tbl_model[[#This Row],[LocationID]],tbl_location[LocationID],tbl_location[LocationName],"UNMAPPED_LOCATION")</f>
        <v>Final Assembly</v>
      </c>
      <c r="F70">
        <v>336</v>
      </c>
      <c r="G70" s="1" t="str">
        <f>tbl_model[[#This Row],[ProductID]] &amp; "-" &amp; tbl_model[[#This Row],[LocationID]]</f>
        <v>342-60</v>
      </c>
    </row>
    <row r="71" spans="1:7">
      <c r="A71">
        <v>343</v>
      </c>
      <c r="B71">
        <v>1</v>
      </c>
      <c r="C71" t="str">
        <f>_xlfn.XLOOKUP(tbl_model[[#This Row],[ProductID]],tbl_product[ProductID],tbl_product[ProductName],"UNMAPPED_PRODUCT")</f>
        <v>Flat Washer 2</v>
      </c>
      <c r="D71" t="str">
        <f>_xlfn.XLOOKUP(tbl_model[[#This Row],[ProductID]],tbl_product[ProductID],tbl_product[ProductNumber],"UNMAPPED_PRODUCT")</f>
        <v>FW-1400</v>
      </c>
      <c r="E71" t="str">
        <f>_xlfn.XLOOKUP(tbl_model[[#This Row],[LocationID]],tbl_location[LocationID],tbl_location[LocationName],"UNMAPPED_LOCATION")</f>
        <v>Tool Crib</v>
      </c>
      <c r="F71">
        <v>568</v>
      </c>
      <c r="G71" s="1" t="str">
        <f>tbl_model[[#This Row],[ProductID]] &amp; "-" &amp; tbl_model[[#This Row],[LocationID]]</f>
        <v>343-1</v>
      </c>
    </row>
    <row r="72" spans="1:7">
      <c r="A72">
        <v>343</v>
      </c>
      <c r="B72">
        <v>50</v>
      </c>
      <c r="C72" t="str">
        <f>_xlfn.XLOOKUP(tbl_model[[#This Row],[ProductID]],tbl_product[ProductID],tbl_product[ProductName],"UNMAPPED_PRODUCT")</f>
        <v>Flat Washer 2</v>
      </c>
      <c r="D72" t="str">
        <f>_xlfn.XLOOKUP(tbl_model[[#This Row],[ProductID]],tbl_product[ProductID],tbl_product[ProductNumber],"UNMAPPED_PRODUCT")</f>
        <v>FW-1400</v>
      </c>
      <c r="E72" t="str">
        <f>_xlfn.XLOOKUP(tbl_model[[#This Row],[LocationID]],tbl_location[LocationID],tbl_location[LocationName],"UNMAPPED_LOCATION")</f>
        <v>Subassembly</v>
      </c>
      <c r="F72">
        <v>606</v>
      </c>
      <c r="G72" s="1" t="str">
        <f>tbl_model[[#This Row],[ProductID]] &amp; "-" &amp; tbl_model[[#This Row],[LocationID]]</f>
        <v>343-50</v>
      </c>
    </row>
    <row r="73" spans="1:7">
      <c r="A73">
        <v>343</v>
      </c>
      <c r="B73">
        <v>60</v>
      </c>
      <c r="C73" t="str">
        <f>_xlfn.XLOOKUP(tbl_model[[#This Row],[ProductID]],tbl_product[ProductID],tbl_product[ProductName],"UNMAPPED_PRODUCT")</f>
        <v>Flat Washer 2</v>
      </c>
      <c r="D73" t="str">
        <f>_xlfn.XLOOKUP(tbl_model[[#This Row],[ProductID]],tbl_product[ProductID],tbl_product[ProductNumber],"UNMAPPED_PRODUCT")</f>
        <v>FW-1400</v>
      </c>
      <c r="E73" t="str">
        <f>_xlfn.XLOOKUP(tbl_model[[#This Row],[LocationID]],tbl_location[LocationID],tbl_location[LocationName],"UNMAPPED_LOCATION")</f>
        <v>Final Assembly</v>
      </c>
      <c r="F73">
        <v>499</v>
      </c>
      <c r="G73" s="1" t="str">
        <f>tbl_model[[#This Row],[ProductID]] &amp; "-" &amp; tbl_model[[#This Row],[LocationID]]</f>
        <v>343-60</v>
      </c>
    </row>
    <row r="74" spans="1:7">
      <c r="A74">
        <v>344</v>
      </c>
      <c r="B74">
        <v>1</v>
      </c>
      <c r="C74" t="str">
        <f>_xlfn.XLOOKUP(tbl_model[[#This Row],[ProductID]],tbl_product[ProductID],tbl_product[ProductName],"UNMAPPED_PRODUCT")</f>
        <v>Flat Washer 9</v>
      </c>
      <c r="D74" t="str">
        <f>_xlfn.XLOOKUP(tbl_model[[#This Row],[ProductID]],tbl_product[ProductID],tbl_product[ProductNumber],"UNMAPPED_PRODUCT")</f>
        <v>FW-3400</v>
      </c>
      <c r="E74" t="str">
        <f>_xlfn.XLOOKUP(tbl_model[[#This Row],[LocationID]],tbl_location[LocationID],tbl_location[LocationName],"UNMAPPED_LOCATION")</f>
        <v>Tool Crib</v>
      </c>
      <c r="F74">
        <v>358</v>
      </c>
      <c r="G74" s="1" t="str">
        <f>tbl_model[[#This Row],[ProductID]] &amp; "-" &amp; tbl_model[[#This Row],[LocationID]]</f>
        <v>344-1</v>
      </c>
    </row>
    <row r="75" spans="1:7">
      <c r="A75">
        <v>344</v>
      </c>
      <c r="B75">
        <v>50</v>
      </c>
      <c r="C75" t="str">
        <f>_xlfn.XLOOKUP(tbl_model[[#This Row],[ProductID]],tbl_product[ProductID],tbl_product[ProductName],"UNMAPPED_PRODUCT")</f>
        <v>Flat Washer 9</v>
      </c>
      <c r="D75" t="str">
        <f>_xlfn.XLOOKUP(tbl_model[[#This Row],[ProductID]],tbl_product[ProductID],tbl_product[ProductNumber],"UNMAPPED_PRODUCT")</f>
        <v>FW-3400</v>
      </c>
      <c r="E75" t="str">
        <f>_xlfn.XLOOKUP(tbl_model[[#This Row],[LocationID]],tbl_location[LocationID],tbl_location[LocationName],"UNMAPPED_LOCATION")</f>
        <v>Subassembly</v>
      </c>
      <c r="F75">
        <v>332</v>
      </c>
      <c r="G75" s="1" t="str">
        <f>tbl_model[[#This Row],[ProductID]] &amp; "-" &amp; tbl_model[[#This Row],[LocationID]]</f>
        <v>344-50</v>
      </c>
    </row>
    <row r="76" spans="1:7">
      <c r="A76">
        <v>344</v>
      </c>
      <c r="B76">
        <v>60</v>
      </c>
      <c r="C76" t="str">
        <f>_xlfn.XLOOKUP(tbl_model[[#This Row],[ProductID]],tbl_product[ProductID],tbl_product[ProductName],"UNMAPPED_PRODUCT")</f>
        <v>Flat Washer 9</v>
      </c>
      <c r="D76" t="str">
        <f>_xlfn.XLOOKUP(tbl_model[[#This Row],[ProductID]],tbl_product[ProductID],tbl_product[ProductNumber],"UNMAPPED_PRODUCT")</f>
        <v>FW-3400</v>
      </c>
      <c r="E76" t="str">
        <f>_xlfn.XLOOKUP(tbl_model[[#This Row],[LocationID]],tbl_location[LocationID],tbl_location[LocationName],"UNMAPPED_LOCATION")</f>
        <v>Final Assembly</v>
      </c>
      <c r="F76">
        <v>382</v>
      </c>
      <c r="G76" s="1" t="str">
        <f>tbl_model[[#This Row],[ProductID]] &amp; "-" &amp; tbl_model[[#This Row],[LocationID]]</f>
        <v>344-60</v>
      </c>
    </row>
    <row r="77" spans="1:7">
      <c r="A77">
        <v>345</v>
      </c>
      <c r="B77">
        <v>1</v>
      </c>
      <c r="C77" t="str">
        <f>_xlfn.XLOOKUP(tbl_model[[#This Row],[ProductID]],tbl_product[ProductID],tbl_product[ProductName],"UNMAPPED_PRODUCT")</f>
        <v>Flat Washer 4</v>
      </c>
      <c r="D77" t="str">
        <f>_xlfn.XLOOKUP(tbl_model[[#This Row],[ProductID]],tbl_product[ProductID],tbl_product[ProductNumber],"UNMAPPED_PRODUCT")</f>
        <v>FW-3800</v>
      </c>
      <c r="E77" t="str">
        <f>_xlfn.XLOOKUP(tbl_model[[#This Row],[LocationID]],tbl_location[LocationID],tbl_location[LocationName],"UNMAPPED_LOCATION")</f>
        <v>Tool Crib</v>
      </c>
      <c r="F77">
        <v>321</v>
      </c>
      <c r="G77" s="1" t="str">
        <f>tbl_model[[#This Row],[ProductID]] &amp; "-" &amp; tbl_model[[#This Row],[LocationID]]</f>
        <v>345-1</v>
      </c>
    </row>
    <row r="78" spans="1:7">
      <c r="A78">
        <v>345</v>
      </c>
      <c r="B78">
        <v>50</v>
      </c>
      <c r="C78" t="str">
        <f>_xlfn.XLOOKUP(tbl_model[[#This Row],[ProductID]],tbl_product[ProductID],tbl_product[ProductName],"UNMAPPED_PRODUCT")</f>
        <v>Flat Washer 4</v>
      </c>
      <c r="D78" t="str">
        <f>_xlfn.XLOOKUP(tbl_model[[#This Row],[ProductID]],tbl_product[ProductID],tbl_product[ProductNumber],"UNMAPPED_PRODUCT")</f>
        <v>FW-3800</v>
      </c>
      <c r="E78" t="str">
        <f>_xlfn.XLOOKUP(tbl_model[[#This Row],[LocationID]],tbl_location[LocationID],tbl_location[LocationName],"UNMAPPED_LOCATION")</f>
        <v>Subassembly</v>
      </c>
      <c r="F78">
        <v>315</v>
      </c>
      <c r="G78" s="1" t="str">
        <f>tbl_model[[#This Row],[ProductID]] &amp; "-" &amp; tbl_model[[#This Row],[LocationID]]</f>
        <v>345-50</v>
      </c>
    </row>
    <row r="79" spans="1:7">
      <c r="A79">
        <v>345</v>
      </c>
      <c r="B79">
        <v>60</v>
      </c>
      <c r="C79" t="str">
        <f>_xlfn.XLOOKUP(tbl_model[[#This Row],[ProductID]],tbl_product[ProductID],tbl_product[ProductName],"UNMAPPED_PRODUCT")</f>
        <v>Flat Washer 4</v>
      </c>
      <c r="D79" t="str">
        <f>_xlfn.XLOOKUP(tbl_model[[#This Row],[ProductID]],tbl_product[ProductID],tbl_product[ProductNumber],"UNMAPPED_PRODUCT")</f>
        <v>FW-3800</v>
      </c>
      <c r="E79" t="str">
        <f>_xlfn.XLOOKUP(tbl_model[[#This Row],[LocationID]],tbl_location[LocationID],tbl_location[LocationName],"UNMAPPED_LOCATION")</f>
        <v>Final Assembly</v>
      </c>
      <c r="F79">
        <v>300</v>
      </c>
      <c r="G79" s="1" t="str">
        <f>tbl_model[[#This Row],[ProductID]] &amp; "-" &amp; tbl_model[[#This Row],[LocationID]]</f>
        <v>345-60</v>
      </c>
    </row>
    <row r="80" spans="1:7">
      <c r="A80">
        <v>346</v>
      </c>
      <c r="B80">
        <v>1</v>
      </c>
      <c r="C80" t="str">
        <f>_xlfn.XLOOKUP(tbl_model[[#This Row],[ProductID]],tbl_product[ProductID],tbl_product[ProductName],"UNMAPPED_PRODUCT")</f>
        <v>Flat Washer 3</v>
      </c>
      <c r="D80" t="str">
        <f>_xlfn.XLOOKUP(tbl_model[[#This Row],[ProductID]],tbl_product[ProductID],tbl_product[ProductNumber],"UNMAPPED_PRODUCT")</f>
        <v>FW-5160</v>
      </c>
      <c r="E80" t="str">
        <f>_xlfn.XLOOKUP(tbl_model[[#This Row],[LocationID]],tbl_location[LocationID],tbl_location[LocationName],"UNMAPPED_LOCATION")</f>
        <v>Tool Crib</v>
      </c>
      <c r="F80">
        <v>585</v>
      </c>
      <c r="G80" s="1" t="str">
        <f>tbl_model[[#This Row],[ProductID]] &amp; "-" &amp; tbl_model[[#This Row],[LocationID]]</f>
        <v>346-1</v>
      </c>
    </row>
    <row r="81" spans="1:7">
      <c r="A81">
        <v>346</v>
      </c>
      <c r="B81">
        <v>50</v>
      </c>
      <c r="C81" t="str">
        <f>_xlfn.XLOOKUP(tbl_model[[#This Row],[ProductID]],tbl_product[ProductID],tbl_product[ProductName],"UNMAPPED_PRODUCT")</f>
        <v>Flat Washer 3</v>
      </c>
      <c r="D81" t="str">
        <f>_xlfn.XLOOKUP(tbl_model[[#This Row],[ProductID]],tbl_product[ProductID],tbl_product[ProductNumber],"UNMAPPED_PRODUCT")</f>
        <v>FW-5160</v>
      </c>
      <c r="E81" t="str">
        <f>_xlfn.XLOOKUP(tbl_model[[#This Row],[LocationID]],tbl_location[LocationID],tbl_location[LocationName],"UNMAPPED_LOCATION")</f>
        <v>Subassembly</v>
      </c>
      <c r="F81">
        <v>476</v>
      </c>
      <c r="G81" s="1" t="str">
        <f>tbl_model[[#This Row],[ProductID]] &amp; "-" &amp; tbl_model[[#This Row],[LocationID]]</f>
        <v>346-50</v>
      </c>
    </row>
    <row r="82" spans="1:7">
      <c r="A82">
        <v>346</v>
      </c>
      <c r="B82">
        <v>60</v>
      </c>
      <c r="C82" t="str">
        <f>_xlfn.XLOOKUP(tbl_model[[#This Row],[ProductID]],tbl_product[ProductID],tbl_product[ProductName],"UNMAPPED_PRODUCT")</f>
        <v>Flat Washer 3</v>
      </c>
      <c r="D82" t="str">
        <f>_xlfn.XLOOKUP(tbl_model[[#This Row],[ProductID]],tbl_product[ProductID],tbl_product[ProductNumber],"UNMAPPED_PRODUCT")</f>
        <v>FW-5160</v>
      </c>
      <c r="E82" t="str">
        <f>_xlfn.XLOOKUP(tbl_model[[#This Row],[LocationID]],tbl_location[LocationID],tbl_location[LocationName],"UNMAPPED_LOCATION")</f>
        <v>Final Assembly</v>
      </c>
      <c r="F82">
        <v>641</v>
      </c>
      <c r="G82" s="1" t="str">
        <f>tbl_model[[#This Row],[ProductID]] &amp; "-" &amp; tbl_model[[#This Row],[LocationID]]</f>
        <v>346-60</v>
      </c>
    </row>
    <row r="83" spans="1:7">
      <c r="A83">
        <v>347</v>
      </c>
      <c r="B83">
        <v>1</v>
      </c>
      <c r="C83" t="str">
        <f>_xlfn.XLOOKUP(tbl_model[[#This Row],[ProductID]],tbl_product[ProductID],tbl_product[ProductName],"UNMAPPED_PRODUCT")</f>
        <v>Flat Washer 8</v>
      </c>
      <c r="D83" t="str">
        <f>_xlfn.XLOOKUP(tbl_model[[#This Row],[ProductID]],tbl_product[ProductID],tbl_product[ProductNumber],"UNMAPPED_PRODUCT")</f>
        <v>FW-5800</v>
      </c>
      <c r="E83" t="str">
        <f>_xlfn.XLOOKUP(tbl_model[[#This Row],[LocationID]],tbl_location[LocationID],tbl_location[LocationName],"UNMAPPED_LOCATION")</f>
        <v>Tool Crib</v>
      </c>
      <c r="F83">
        <v>318</v>
      </c>
      <c r="G83" s="1" t="str">
        <f>tbl_model[[#This Row],[ProductID]] &amp; "-" &amp; tbl_model[[#This Row],[LocationID]]</f>
        <v>347-1</v>
      </c>
    </row>
    <row r="84" spans="1:7">
      <c r="A84">
        <v>347</v>
      </c>
      <c r="B84">
        <v>50</v>
      </c>
      <c r="C84" t="str">
        <f>_xlfn.XLOOKUP(tbl_model[[#This Row],[ProductID]],tbl_product[ProductID],tbl_product[ProductName],"UNMAPPED_PRODUCT")</f>
        <v>Flat Washer 8</v>
      </c>
      <c r="D84" t="str">
        <f>_xlfn.XLOOKUP(tbl_model[[#This Row],[ProductID]],tbl_product[ProductID],tbl_product[ProductNumber],"UNMAPPED_PRODUCT")</f>
        <v>FW-5800</v>
      </c>
      <c r="E84" t="str">
        <f>_xlfn.XLOOKUP(tbl_model[[#This Row],[LocationID]],tbl_location[LocationID],tbl_location[LocationName],"UNMAPPED_LOCATION")</f>
        <v>Subassembly</v>
      </c>
      <c r="F84">
        <v>246</v>
      </c>
      <c r="G84" s="1" t="str">
        <f>tbl_model[[#This Row],[ProductID]] &amp; "-" &amp; tbl_model[[#This Row],[LocationID]]</f>
        <v>347-50</v>
      </c>
    </row>
    <row r="85" spans="1:7">
      <c r="A85">
        <v>347</v>
      </c>
      <c r="B85">
        <v>60</v>
      </c>
      <c r="C85" t="str">
        <f>_xlfn.XLOOKUP(tbl_model[[#This Row],[ProductID]],tbl_product[ProductID],tbl_product[ProductName],"UNMAPPED_PRODUCT")</f>
        <v>Flat Washer 8</v>
      </c>
      <c r="D85" t="str">
        <f>_xlfn.XLOOKUP(tbl_model[[#This Row],[ProductID]],tbl_product[ProductID],tbl_product[ProductNumber],"UNMAPPED_PRODUCT")</f>
        <v>FW-5800</v>
      </c>
      <c r="E85" t="str">
        <f>_xlfn.XLOOKUP(tbl_model[[#This Row],[LocationID]],tbl_location[LocationID],tbl_location[LocationName],"UNMAPPED_LOCATION")</f>
        <v>Final Assembly</v>
      </c>
      <c r="F85">
        <v>332</v>
      </c>
      <c r="G85" s="1" t="str">
        <f>tbl_model[[#This Row],[ProductID]] &amp; "-" &amp; tbl_model[[#This Row],[LocationID]]</f>
        <v>347-60</v>
      </c>
    </row>
    <row r="86" spans="1:7">
      <c r="A86">
        <v>348</v>
      </c>
      <c r="B86">
        <v>1</v>
      </c>
      <c r="C86" t="str">
        <f>_xlfn.XLOOKUP(tbl_model[[#This Row],[ProductID]],tbl_product[ProductID],tbl_product[ProductName],"UNMAPPED_PRODUCT")</f>
        <v>Flat Washer 5</v>
      </c>
      <c r="D86" t="str">
        <f>_xlfn.XLOOKUP(tbl_model[[#This Row],[ProductID]],tbl_product[ProductID],tbl_product[ProductNumber],"UNMAPPED_PRODUCT")</f>
        <v>FW-7160</v>
      </c>
      <c r="E86" t="str">
        <f>_xlfn.XLOOKUP(tbl_model[[#This Row],[LocationID]],tbl_location[LocationID],tbl_location[LocationName],"UNMAPPED_LOCATION")</f>
        <v>Tool Crib</v>
      </c>
      <c r="F86">
        <v>323</v>
      </c>
      <c r="G86" s="1" t="str">
        <f>tbl_model[[#This Row],[ProductID]] &amp; "-" &amp; tbl_model[[#This Row],[LocationID]]</f>
        <v>348-1</v>
      </c>
    </row>
    <row r="87" spans="1:7">
      <c r="A87">
        <v>348</v>
      </c>
      <c r="B87">
        <v>50</v>
      </c>
      <c r="C87" t="str">
        <f>_xlfn.XLOOKUP(tbl_model[[#This Row],[ProductID]],tbl_product[ProductID],tbl_product[ProductName],"UNMAPPED_PRODUCT")</f>
        <v>Flat Washer 5</v>
      </c>
      <c r="D87" t="str">
        <f>_xlfn.XLOOKUP(tbl_model[[#This Row],[ProductID]],tbl_product[ProductID],tbl_product[ProductNumber],"UNMAPPED_PRODUCT")</f>
        <v>FW-7160</v>
      </c>
      <c r="E87" t="str">
        <f>_xlfn.XLOOKUP(tbl_model[[#This Row],[LocationID]],tbl_location[LocationID],tbl_location[LocationName],"UNMAPPED_LOCATION")</f>
        <v>Subassembly</v>
      </c>
      <c r="F87">
        <v>251</v>
      </c>
      <c r="G87" s="1" t="str">
        <f>tbl_model[[#This Row],[ProductID]] &amp; "-" &amp; tbl_model[[#This Row],[LocationID]]</f>
        <v>348-50</v>
      </c>
    </row>
    <row r="88" spans="1:7">
      <c r="A88">
        <v>348</v>
      </c>
      <c r="B88">
        <v>60</v>
      </c>
      <c r="C88" t="str">
        <f>_xlfn.XLOOKUP(tbl_model[[#This Row],[ProductID]],tbl_product[ProductID],tbl_product[ProductName],"UNMAPPED_PRODUCT")</f>
        <v>Flat Washer 5</v>
      </c>
      <c r="D88" t="str">
        <f>_xlfn.XLOOKUP(tbl_model[[#This Row],[ProductID]],tbl_product[ProductID],tbl_product[ProductNumber],"UNMAPPED_PRODUCT")</f>
        <v>FW-7160</v>
      </c>
      <c r="E88" t="str">
        <f>_xlfn.XLOOKUP(tbl_model[[#This Row],[LocationID]],tbl_location[LocationID],tbl_location[LocationName],"UNMAPPED_LOCATION")</f>
        <v>Final Assembly</v>
      </c>
      <c r="F88">
        <v>337</v>
      </c>
      <c r="G88" s="1" t="str">
        <f>tbl_model[[#This Row],[ProductID]] &amp; "-" &amp; tbl_model[[#This Row],[LocationID]]</f>
        <v>348-60</v>
      </c>
    </row>
    <row r="89" spans="1:7">
      <c r="A89">
        <v>349</v>
      </c>
      <c r="B89">
        <v>1</v>
      </c>
      <c r="C89" t="str">
        <f>_xlfn.XLOOKUP(tbl_model[[#This Row],[ProductID]],tbl_product[ProductID],tbl_product[ProductName],"UNMAPPED_PRODUCT")</f>
        <v>Flat Washer 7</v>
      </c>
      <c r="D89" t="str">
        <f>_xlfn.XLOOKUP(tbl_model[[#This Row],[ProductID]],tbl_product[ProductID],tbl_product[ProductNumber],"UNMAPPED_PRODUCT")</f>
        <v>FW-9160</v>
      </c>
      <c r="E89" t="str">
        <f>_xlfn.XLOOKUP(tbl_model[[#This Row],[LocationID]],tbl_location[LocationID],tbl_location[LocationName],"UNMAPPED_LOCATION")</f>
        <v>Tool Crib</v>
      </c>
      <c r="F89">
        <v>328</v>
      </c>
      <c r="G89" s="1" t="str">
        <f>tbl_model[[#This Row],[ProductID]] &amp; "-" &amp; tbl_model[[#This Row],[LocationID]]</f>
        <v>349-1</v>
      </c>
    </row>
    <row r="90" spans="1:7">
      <c r="A90">
        <v>349</v>
      </c>
      <c r="B90">
        <v>50</v>
      </c>
      <c r="C90" t="str">
        <f>_xlfn.XLOOKUP(tbl_model[[#This Row],[ProductID]],tbl_product[ProductID],tbl_product[ProductName],"UNMAPPED_PRODUCT")</f>
        <v>Flat Washer 7</v>
      </c>
      <c r="D90" t="str">
        <f>_xlfn.XLOOKUP(tbl_model[[#This Row],[ProductID]],tbl_product[ProductID],tbl_product[ProductNumber],"UNMAPPED_PRODUCT")</f>
        <v>FW-9160</v>
      </c>
      <c r="E90" t="str">
        <f>_xlfn.XLOOKUP(tbl_model[[#This Row],[LocationID]],tbl_location[LocationID],tbl_location[LocationName],"UNMAPPED_LOCATION")</f>
        <v>Subassembly</v>
      </c>
      <c r="F90">
        <v>256</v>
      </c>
      <c r="G90" s="1" t="str">
        <f>tbl_model[[#This Row],[ProductID]] &amp; "-" &amp; tbl_model[[#This Row],[LocationID]]</f>
        <v>349-50</v>
      </c>
    </row>
    <row r="91" spans="1:7">
      <c r="A91">
        <v>349</v>
      </c>
      <c r="B91">
        <v>60</v>
      </c>
      <c r="C91" t="str">
        <f>_xlfn.XLOOKUP(tbl_model[[#This Row],[ProductID]],tbl_product[ProductID],tbl_product[ProductName],"UNMAPPED_PRODUCT")</f>
        <v>Flat Washer 7</v>
      </c>
      <c r="D91" t="str">
        <f>_xlfn.XLOOKUP(tbl_model[[#This Row],[ProductID]],tbl_product[ProductID],tbl_product[ProductNumber],"UNMAPPED_PRODUCT")</f>
        <v>FW-9160</v>
      </c>
      <c r="E91" t="str">
        <f>_xlfn.XLOOKUP(tbl_model[[#This Row],[LocationID]],tbl_location[LocationID],tbl_location[LocationName],"UNMAPPED_LOCATION")</f>
        <v>Final Assembly</v>
      </c>
      <c r="F91">
        <v>342</v>
      </c>
      <c r="G91" s="1" t="str">
        <f>tbl_model[[#This Row],[ProductID]] &amp; "-" &amp; tbl_model[[#This Row],[LocationID]]</f>
        <v>349-60</v>
      </c>
    </row>
    <row r="92" spans="1:7">
      <c r="A92">
        <v>350</v>
      </c>
      <c r="B92">
        <v>5</v>
      </c>
      <c r="C92" t="str">
        <f>_xlfn.XLOOKUP(tbl_model[[#This Row],[ProductID]],tbl_product[ProductID],tbl_product[ProductName],"UNMAPPED_PRODUCT")</f>
        <v>Fork Crown</v>
      </c>
      <c r="D92" t="str">
        <f>_xlfn.XLOOKUP(tbl_model[[#This Row],[ProductID]],tbl_product[ProductID],tbl_product[ProductNumber],"UNMAPPED_PRODUCT")</f>
        <v>FC-3654</v>
      </c>
      <c r="E92" t="str">
        <f>_xlfn.XLOOKUP(tbl_model[[#This Row],[LocationID]],tbl_location[LocationID],tbl_location[LocationName],"UNMAPPED_LOCATION")</f>
        <v>Metal Storage</v>
      </c>
      <c r="F92">
        <v>622</v>
      </c>
      <c r="G92" s="1" t="str">
        <f>tbl_model[[#This Row],[ProductID]] &amp; "-" &amp; tbl_model[[#This Row],[LocationID]]</f>
        <v>350-5</v>
      </c>
    </row>
    <row r="93" spans="1:7">
      <c r="A93">
        <v>350</v>
      </c>
      <c r="B93">
        <v>10</v>
      </c>
      <c r="C93" t="str">
        <f>_xlfn.XLOOKUP(tbl_model[[#This Row],[ProductID]],tbl_product[ProductID],tbl_product[ProductName],"UNMAPPED_PRODUCT")</f>
        <v>Fork Crown</v>
      </c>
      <c r="D93" t="str">
        <f>_xlfn.XLOOKUP(tbl_model[[#This Row],[ProductID]],tbl_product[ProductID],tbl_product[ProductNumber],"UNMAPPED_PRODUCT")</f>
        <v>FC-3654</v>
      </c>
      <c r="E93" t="str">
        <f>_xlfn.XLOOKUP(tbl_model[[#This Row],[LocationID]],tbl_location[LocationID],tbl_location[LocationName],"UNMAPPED_LOCATION")</f>
        <v>Frame Forming</v>
      </c>
      <c r="F93">
        <v>406</v>
      </c>
      <c r="G93" s="1" t="str">
        <f>tbl_model[[#This Row],[ProductID]] &amp; "-" &amp; tbl_model[[#This Row],[LocationID]]</f>
        <v>350-10</v>
      </c>
    </row>
    <row r="94" spans="1:7">
      <c r="A94">
        <v>350</v>
      </c>
      <c r="B94">
        <v>50</v>
      </c>
      <c r="C94" t="str">
        <f>_xlfn.XLOOKUP(tbl_model[[#This Row],[ProductID]],tbl_product[ProductID],tbl_product[ProductName],"UNMAPPED_PRODUCT")</f>
        <v>Fork Crown</v>
      </c>
      <c r="D94" t="str">
        <f>_xlfn.XLOOKUP(tbl_model[[#This Row],[ProductID]],tbl_product[ProductID],tbl_product[ProductNumber],"UNMAPPED_PRODUCT")</f>
        <v>FC-3654</v>
      </c>
      <c r="E94" t="str">
        <f>_xlfn.XLOOKUP(tbl_model[[#This Row],[LocationID]],tbl_location[LocationID],tbl_location[LocationName],"UNMAPPED_LOCATION")</f>
        <v>Subassembly</v>
      </c>
      <c r="F94">
        <v>313</v>
      </c>
      <c r="G94" s="1" t="str">
        <f>tbl_model[[#This Row],[ProductID]] &amp; "-" &amp; tbl_model[[#This Row],[LocationID]]</f>
        <v>350-50</v>
      </c>
    </row>
    <row r="95" spans="1:7">
      <c r="A95">
        <v>351</v>
      </c>
      <c r="B95">
        <v>5</v>
      </c>
      <c r="C95" t="str">
        <f>_xlfn.XLOOKUP(tbl_model[[#This Row],[ProductID]],tbl_product[ProductID],tbl_product[ProductName],"UNMAPPED_PRODUCT")</f>
        <v>Front Derailleur Cage</v>
      </c>
      <c r="D95" t="str">
        <f>_xlfn.XLOOKUP(tbl_model[[#This Row],[ProductID]],tbl_product[ProductID],tbl_product[ProductNumber],"UNMAPPED_PRODUCT")</f>
        <v>FC-3982</v>
      </c>
      <c r="E95" t="str">
        <f>_xlfn.XLOOKUP(tbl_model[[#This Row],[LocationID]],tbl_location[LocationID],tbl_location[LocationName],"UNMAPPED_LOCATION")</f>
        <v>Metal Storage</v>
      </c>
      <c r="F95">
        <v>179</v>
      </c>
      <c r="G95" s="1" t="str">
        <f>tbl_model[[#This Row],[ProductID]] &amp; "-" &amp; tbl_model[[#This Row],[LocationID]]</f>
        <v>351-5</v>
      </c>
    </row>
    <row r="96" spans="1:7">
      <c r="A96">
        <v>351</v>
      </c>
      <c r="B96">
        <v>10</v>
      </c>
      <c r="C96" t="str">
        <f>_xlfn.XLOOKUP(tbl_model[[#This Row],[ProductID]],tbl_product[ProductID],tbl_product[ProductName],"UNMAPPED_PRODUCT")</f>
        <v>Front Derailleur Cage</v>
      </c>
      <c r="D96" t="str">
        <f>_xlfn.XLOOKUP(tbl_model[[#This Row],[ProductID]],tbl_product[ProductID],tbl_product[ProductNumber],"UNMAPPED_PRODUCT")</f>
        <v>FC-3982</v>
      </c>
      <c r="E96" t="str">
        <f>_xlfn.XLOOKUP(tbl_model[[#This Row],[LocationID]],tbl_location[LocationID],tbl_location[LocationName],"UNMAPPED_LOCATION")</f>
        <v>Frame Forming</v>
      </c>
      <c r="F96">
        <v>281</v>
      </c>
      <c r="G96" s="1" t="str">
        <f>tbl_model[[#This Row],[ProductID]] &amp; "-" &amp; tbl_model[[#This Row],[LocationID]]</f>
        <v>351-10</v>
      </c>
    </row>
    <row r="97" spans="1:7">
      <c r="A97">
        <v>351</v>
      </c>
      <c r="B97">
        <v>50</v>
      </c>
      <c r="C97" t="str">
        <f>_xlfn.XLOOKUP(tbl_model[[#This Row],[ProductID]],tbl_product[ProductID],tbl_product[ProductName],"UNMAPPED_PRODUCT")</f>
        <v>Front Derailleur Cage</v>
      </c>
      <c r="D97" t="str">
        <f>_xlfn.XLOOKUP(tbl_model[[#This Row],[ProductID]],tbl_product[ProductID],tbl_product[ProductNumber],"UNMAPPED_PRODUCT")</f>
        <v>FC-3982</v>
      </c>
      <c r="E97" t="str">
        <f>_xlfn.XLOOKUP(tbl_model[[#This Row],[LocationID]],tbl_location[LocationID],tbl_location[LocationName],"UNMAPPED_LOCATION")</f>
        <v>Subassembly</v>
      </c>
      <c r="F97">
        <v>145</v>
      </c>
      <c r="G97" s="1" t="str">
        <f>tbl_model[[#This Row],[ProductID]] &amp; "-" &amp; tbl_model[[#This Row],[LocationID]]</f>
        <v>351-50</v>
      </c>
    </row>
    <row r="98" spans="1:7">
      <c r="A98">
        <v>352</v>
      </c>
      <c r="B98">
        <v>5</v>
      </c>
      <c r="C98" t="str">
        <f>_xlfn.XLOOKUP(tbl_model[[#This Row],[ProductID]],tbl_product[ProductID],tbl_product[ProductName],"UNMAPPED_PRODUCT")</f>
        <v>Front Derailleur Linkage</v>
      </c>
      <c r="D98" t="str">
        <f>_xlfn.XLOOKUP(tbl_model[[#This Row],[ProductID]],tbl_product[ProductID],tbl_product[ProductNumber],"UNMAPPED_PRODUCT")</f>
        <v>FL-2301</v>
      </c>
      <c r="E98" t="str">
        <f>_xlfn.XLOOKUP(tbl_model[[#This Row],[LocationID]],tbl_location[LocationID],tbl_location[LocationName],"UNMAPPED_LOCATION")</f>
        <v>Metal Storage</v>
      </c>
      <c r="F98">
        <v>300</v>
      </c>
      <c r="G98" s="1" t="str">
        <f>tbl_model[[#This Row],[ProductID]] &amp; "-" &amp; tbl_model[[#This Row],[LocationID]]</f>
        <v>352-5</v>
      </c>
    </row>
    <row r="99" spans="1:7">
      <c r="A99">
        <v>352</v>
      </c>
      <c r="B99">
        <v>10</v>
      </c>
      <c r="C99" t="str">
        <f>_xlfn.XLOOKUP(tbl_model[[#This Row],[ProductID]],tbl_product[ProductID],tbl_product[ProductName],"UNMAPPED_PRODUCT")</f>
        <v>Front Derailleur Linkage</v>
      </c>
      <c r="D99" t="str">
        <f>_xlfn.XLOOKUP(tbl_model[[#This Row],[ProductID]],tbl_product[ProductID],tbl_product[ProductNumber],"UNMAPPED_PRODUCT")</f>
        <v>FL-2301</v>
      </c>
      <c r="E99" t="str">
        <f>_xlfn.XLOOKUP(tbl_model[[#This Row],[LocationID]],tbl_location[LocationID],tbl_location[LocationName],"UNMAPPED_LOCATION")</f>
        <v>Frame Forming</v>
      </c>
      <c r="F99">
        <v>278</v>
      </c>
      <c r="G99" s="1" t="str">
        <f>tbl_model[[#This Row],[ProductID]] &amp; "-" &amp; tbl_model[[#This Row],[LocationID]]</f>
        <v>352-10</v>
      </c>
    </row>
    <row r="100" spans="1:7">
      <c r="A100">
        <v>352</v>
      </c>
      <c r="B100">
        <v>50</v>
      </c>
      <c r="C100" t="str">
        <f>_xlfn.XLOOKUP(tbl_model[[#This Row],[ProductID]],tbl_product[ProductID],tbl_product[ProductName],"UNMAPPED_PRODUCT")</f>
        <v>Front Derailleur Linkage</v>
      </c>
      <c r="D100" t="str">
        <f>_xlfn.XLOOKUP(tbl_model[[#This Row],[ProductID]],tbl_product[ProductID],tbl_product[ProductNumber],"UNMAPPED_PRODUCT")</f>
        <v>FL-2301</v>
      </c>
      <c r="E100" t="str">
        <f>_xlfn.XLOOKUP(tbl_model[[#This Row],[LocationID]],tbl_location[LocationID],tbl_location[LocationName],"UNMAPPED_LOCATION")</f>
        <v>Subassembly</v>
      </c>
      <c r="F100">
        <v>195</v>
      </c>
      <c r="G100" s="1" t="str">
        <f>tbl_model[[#This Row],[ProductID]] &amp; "-" &amp; tbl_model[[#This Row],[LocationID]]</f>
        <v>352-50</v>
      </c>
    </row>
    <row r="101" spans="1:7">
      <c r="A101">
        <v>355</v>
      </c>
      <c r="B101">
        <v>1</v>
      </c>
      <c r="C101" t="str">
        <f>_xlfn.XLOOKUP(tbl_model[[#This Row],[ProductID]],tbl_product[ProductID],tbl_product[ProductName],"UNMAPPED_PRODUCT")</f>
        <v>Guide Pulley</v>
      </c>
      <c r="D101" t="str">
        <f>_xlfn.XLOOKUP(tbl_model[[#This Row],[ProductID]],tbl_product[ProductID],tbl_product[ProductNumber],"UNMAPPED_PRODUCT")</f>
        <v>GP-0982</v>
      </c>
      <c r="E101" t="str">
        <f>_xlfn.XLOOKUP(tbl_model[[#This Row],[LocationID]],tbl_location[LocationID],tbl_location[LocationName],"UNMAPPED_LOCATION")</f>
        <v>Tool Crib</v>
      </c>
      <c r="F101">
        <v>276</v>
      </c>
      <c r="G101" s="1" t="str">
        <f>tbl_model[[#This Row],[ProductID]] &amp; "-" &amp; tbl_model[[#This Row],[LocationID]]</f>
        <v>355-1</v>
      </c>
    </row>
    <row r="102" spans="1:7">
      <c r="A102">
        <v>355</v>
      </c>
      <c r="B102">
        <v>6</v>
      </c>
      <c r="C102" t="str">
        <f>_xlfn.XLOOKUP(tbl_model[[#This Row],[ProductID]],tbl_product[ProductID],tbl_product[ProductName],"UNMAPPED_PRODUCT")</f>
        <v>Guide Pulley</v>
      </c>
      <c r="D102" t="str">
        <f>_xlfn.XLOOKUP(tbl_model[[#This Row],[ProductID]],tbl_product[ProductID],tbl_product[ProductNumber],"UNMAPPED_PRODUCT")</f>
        <v>GP-0982</v>
      </c>
      <c r="E102" t="str">
        <f>_xlfn.XLOOKUP(tbl_model[[#This Row],[LocationID]],tbl_location[LocationID],tbl_location[LocationName],"UNMAPPED_LOCATION")</f>
        <v>Miscellaneous Storage</v>
      </c>
      <c r="F102">
        <v>257</v>
      </c>
      <c r="G102" s="1" t="str">
        <f>tbl_model[[#This Row],[ProductID]] &amp; "-" &amp; tbl_model[[#This Row],[LocationID]]</f>
        <v>355-6</v>
      </c>
    </row>
    <row r="103" spans="1:7">
      <c r="A103">
        <v>355</v>
      </c>
      <c r="B103">
        <v>50</v>
      </c>
      <c r="C103" t="str">
        <f>_xlfn.XLOOKUP(tbl_model[[#This Row],[ProductID]],tbl_product[ProductID],tbl_product[ProductName],"UNMAPPED_PRODUCT")</f>
        <v>Guide Pulley</v>
      </c>
      <c r="D103" t="str">
        <f>_xlfn.XLOOKUP(tbl_model[[#This Row],[ProductID]],tbl_product[ProductID],tbl_product[ProductNumber],"UNMAPPED_PRODUCT")</f>
        <v>GP-0982</v>
      </c>
      <c r="E103" t="str">
        <f>_xlfn.XLOOKUP(tbl_model[[#This Row],[LocationID]],tbl_location[LocationID],tbl_location[LocationName],"UNMAPPED_LOCATION")</f>
        <v>Subassembly</v>
      </c>
      <c r="F103">
        <v>289</v>
      </c>
      <c r="G103" s="1" t="str">
        <f>tbl_model[[#This Row],[ProductID]] &amp; "-" &amp; tbl_model[[#This Row],[LocationID]]</f>
        <v>355-50</v>
      </c>
    </row>
    <row r="104" spans="1:7">
      <c r="A104">
        <v>356</v>
      </c>
      <c r="B104">
        <v>1</v>
      </c>
      <c r="C104" t="str">
        <f>_xlfn.XLOOKUP(tbl_model[[#This Row],[ProductID]],tbl_product[ProductID],tbl_product[ProductName],"UNMAPPED_PRODUCT")</f>
        <v>LL Grip Tape</v>
      </c>
      <c r="D104" t="str">
        <f>_xlfn.XLOOKUP(tbl_model[[#This Row],[ProductID]],tbl_product[ProductID],tbl_product[ProductNumber],"UNMAPPED_PRODUCT")</f>
        <v>GT-0820</v>
      </c>
      <c r="E104" t="str">
        <f>_xlfn.XLOOKUP(tbl_model[[#This Row],[LocationID]],tbl_location[LocationID],tbl_location[LocationName],"UNMAPPED_LOCATION")</f>
        <v>Tool Crib</v>
      </c>
      <c r="F104">
        <v>262</v>
      </c>
      <c r="G104" s="1" t="str">
        <f>tbl_model[[#This Row],[ProductID]] &amp; "-" &amp; tbl_model[[#This Row],[LocationID]]</f>
        <v>356-1</v>
      </c>
    </row>
    <row r="105" spans="1:7">
      <c r="A105">
        <v>356</v>
      </c>
      <c r="B105">
        <v>6</v>
      </c>
      <c r="C105" t="str">
        <f>_xlfn.XLOOKUP(tbl_model[[#This Row],[ProductID]],tbl_product[ProductID],tbl_product[ProductName],"UNMAPPED_PRODUCT")</f>
        <v>LL Grip Tape</v>
      </c>
      <c r="D105" t="str">
        <f>_xlfn.XLOOKUP(tbl_model[[#This Row],[ProductID]],tbl_product[ProductID],tbl_product[ProductNumber],"UNMAPPED_PRODUCT")</f>
        <v>GT-0820</v>
      </c>
      <c r="E105" t="str">
        <f>_xlfn.XLOOKUP(tbl_model[[#This Row],[LocationID]],tbl_location[LocationID],tbl_location[LocationName],"UNMAPPED_LOCATION")</f>
        <v>Miscellaneous Storage</v>
      </c>
      <c r="F105">
        <v>243</v>
      </c>
      <c r="G105" s="1" t="str">
        <f>tbl_model[[#This Row],[ProductID]] &amp; "-" &amp; tbl_model[[#This Row],[LocationID]]</f>
        <v>356-6</v>
      </c>
    </row>
    <row r="106" spans="1:7">
      <c r="A106">
        <v>356</v>
      </c>
      <c r="B106">
        <v>50</v>
      </c>
      <c r="C106" t="str">
        <f>_xlfn.XLOOKUP(tbl_model[[#This Row],[ProductID]],tbl_product[ProductID],tbl_product[ProductName],"UNMAPPED_PRODUCT")</f>
        <v>LL Grip Tape</v>
      </c>
      <c r="D106" t="str">
        <f>_xlfn.XLOOKUP(tbl_model[[#This Row],[ProductID]],tbl_product[ProductID],tbl_product[ProductNumber],"UNMAPPED_PRODUCT")</f>
        <v>GT-0820</v>
      </c>
      <c r="E106" t="str">
        <f>_xlfn.XLOOKUP(tbl_model[[#This Row],[LocationID]],tbl_location[LocationID],tbl_location[LocationName],"UNMAPPED_LOCATION")</f>
        <v>Subassembly</v>
      </c>
      <c r="F106">
        <v>275</v>
      </c>
      <c r="G106" s="1" t="str">
        <f>tbl_model[[#This Row],[ProductID]] &amp; "-" &amp; tbl_model[[#This Row],[LocationID]]</f>
        <v>356-50</v>
      </c>
    </row>
    <row r="107" spans="1:7">
      <c r="A107">
        <v>357</v>
      </c>
      <c r="B107">
        <v>1</v>
      </c>
      <c r="C107" t="str">
        <f>_xlfn.XLOOKUP(tbl_model[[#This Row],[ProductID]],tbl_product[ProductID],tbl_product[ProductName],"UNMAPPED_PRODUCT")</f>
        <v>ML Grip Tape</v>
      </c>
      <c r="D107" t="str">
        <f>_xlfn.XLOOKUP(tbl_model[[#This Row],[ProductID]],tbl_product[ProductID],tbl_product[ProductNumber],"UNMAPPED_PRODUCT")</f>
        <v>GT-1209</v>
      </c>
      <c r="E107" t="str">
        <f>_xlfn.XLOOKUP(tbl_model[[#This Row],[LocationID]],tbl_location[LocationID],tbl_location[LocationName],"UNMAPPED_LOCATION")</f>
        <v>Tool Crib</v>
      </c>
      <c r="F107">
        <v>248</v>
      </c>
      <c r="G107" s="1" t="str">
        <f>tbl_model[[#This Row],[ProductID]] &amp; "-" &amp; tbl_model[[#This Row],[LocationID]]</f>
        <v>357-1</v>
      </c>
    </row>
    <row r="108" spans="1:7">
      <c r="A108">
        <v>357</v>
      </c>
      <c r="B108">
        <v>6</v>
      </c>
      <c r="C108" t="str">
        <f>_xlfn.XLOOKUP(tbl_model[[#This Row],[ProductID]],tbl_product[ProductID],tbl_product[ProductName],"UNMAPPED_PRODUCT")</f>
        <v>ML Grip Tape</v>
      </c>
      <c r="D108" t="str">
        <f>_xlfn.XLOOKUP(tbl_model[[#This Row],[ProductID]],tbl_product[ProductID],tbl_product[ProductNumber],"UNMAPPED_PRODUCT")</f>
        <v>GT-1209</v>
      </c>
      <c r="E108" t="str">
        <f>_xlfn.XLOOKUP(tbl_model[[#This Row],[LocationID]],tbl_location[LocationID],tbl_location[LocationName],"UNMAPPED_LOCATION")</f>
        <v>Miscellaneous Storage</v>
      </c>
      <c r="F108">
        <v>228</v>
      </c>
      <c r="G108" s="1" t="str">
        <f>tbl_model[[#This Row],[ProductID]] &amp; "-" &amp; tbl_model[[#This Row],[LocationID]]</f>
        <v>357-6</v>
      </c>
    </row>
    <row r="109" spans="1:7">
      <c r="A109">
        <v>357</v>
      </c>
      <c r="B109">
        <v>50</v>
      </c>
      <c r="C109" t="str">
        <f>_xlfn.XLOOKUP(tbl_model[[#This Row],[ProductID]],tbl_product[ProductID],tbl_product[ProductName],"UNMAPPED_PRODUCT")</f>
        <v>ML Grip Tape</v>
      </c>
      <c r="D109" t="str">
        <f>_xlfn.XLOOKUP(tbl_model[[#This Row],[ProductID]],tbl_product[ProductID],tbl_product[ProductNumber],"UNMAPPED_PRODUCT")</f>
        <v>GT-1209</v>
      </c>
      <c r="E109" t="str">
        <f>_xlfn.XLOOKUP(tbl_model[[#This Row],[LocationID]],tbl_location[LocationID],tbl_location[LocationName],"UNMAPPED_LOCATION")</f>
        <v>Subassembly</v>
      </c>
      <c r="F109">
        <v>260</v>
      </c>
      <c r="G109" s="1" t="str">
        <f>tbl_model[[#This Row],[ProductID]] &amp; "-" &amp; tbl_model[[#This Row],[LocationID]]</f>
        <v>357-50</v>
      </c>
    </row>
    <row r="110" spans="1:7">
      <c r="A110">
        <v>358</v>
      </c>
      <c r="B110">
        <v>1</v>
      </c>
      <c r="C110" t="str">
        <f>_xlfn.XLOOKUP(tbl_model[[#This Row],[ProductID]],tbl_product[ProductID],tbl_product[ProductName],"UNMAPPED_PRODUCT")</f>
        <v>HL Grip Tape</v>
      </c>
      <c r="D110" t="str">
        <f>_xlfn.XLOOKUP(tbl_model[[#This Row],[ProductID]],tbl_product[ProductID],tbl_product[ProductNumber],"UNMAPPED_PRODUCT")</f>
        <v>GT-2908</v>
      </c>
      <c r="E110" t="str">
        <f>_xlfn.XLOOKUP(tbl_model[[#This Row],[LocationID]],tbl_location[LocationID],tbl_location[LocationName],"UNMAPPED_LOCATION")</f>
        <v>Tool Crib</v>
      </c>
      <c r="F110">
        <v>233</v>
      </c>
      <c r="G110" s="1" t="str">
        <f>tbl_model[[#This Row],[ProductID]] &amp; "-" &amp; tbl_model[[#This Row],[LocationID]]</f>
        <v>358-1</v>
      </c>
    </row>
    <row r="111" spans="1:7">
      <c r="A111">
        <v>358</v>
      </c>
      <c r="B111">
        <v>6</v>
      </c>
      <c r="C111" t="str">
        <f>_xlfn.XLOOKUP(tbl_model[[#This Row],[ProductID]],tbl_product[ProductID],tbl_product[ProductName],"UNMAPPED_PRODUCT")</f>
        <v>HL Grip Tape</v>
      </c>
      <c r="D111" t="str">
        <f>_xlfn.XLOOKUP(tbl_model[[#This Row],[ProductID]],tbl_product[ProductID],tbl_product[ProductNumber],"UNMAPPED_PRODUCT")</f>
        <v>GT-2908</v>
      </c>
      <c r="E111" t="str">
        <f>_xlfn.XLOOKUP(tbl_model[[#This Row],[LocationID]],tbl_location[LocationID],tbl_location[LocationName],"UNMAPPED_LOCATION")</f>
        <v>Miscellaneous Storage</v>
      </c>
      <c r="F111">
        <v>214</v>
      </c>
      <c r="G111" s="1" t="str">
        <f>tbl_model[[#This Row],[ProductID]] &amp; "-" &amp; tbl_model[[#This Row],[LocationID]]</f>
        <v>358-6</v>
      </c>
    </row>
    <row r="112" spans="1:7">
      <c r="A112">
        <v>358</v>
      </c>
      <c r="B112">
        <v>50</v>
      </c>
      <c r="C112" t="str">
        <f>_xlfn.XLOOKUP(tbl_model[[#This Row],[ProductID]],tbl_product[ProductID],tbl_product[ProductName],"UNMAPPED_PRODUCT")</f>
        <v>HL Grip Tape</v>
      </c>
      <c r="D112" t="str">
        <f>_xlfn.XLOOKUP(tbl_model[[#This Row],[ProductID]],tbl_product[ProductID],tbl_product[ProductNumber],"UNMAPPED_PRODUCT")</f>
        <v>GT-2908</v>
      </c>
      <c r="E112" t="str">
        <f>_xlfn.XLOOKUP(tbl_model[[#This Row],[LocationID]],tbl_location[LocationID],tbl_location[LocationName],"UNMAPPED_LOCATION")</f>
        <v>Subassembly</v>
      </c>
      <c r="F112">
        <v>246</v>
      </c>
      <c r="G112" s="1" t="str">
        <f>tbl_model[[#This Row],[ProductID]] &amp; "-" &amp; tbl_model[[#This Row],[LocationID]]</f>
        <v>358-50</v>
      </c>
    </row>
    <row r="113" spans="1:7">
      <c r="A113">
        <v>359</v>
      </c>
      <c r="B113">
        <v>1</v>
      </c>
      <c r="C113" t="str">
        <f>_xlfn.XLOOKUP(tbl_model[[#This Row],[ProductID]],tbl_product[ProductID],tbl_product[ProductName],"UNMAPPED_PRODUCT")</f>
        <v>Thin-Jam Hex Nut 9</v>
      </c>
      <c r="D113" t="str">
        <f>_xlfn.XLOOKUP(tbl_model[[#This Row],[ProductID]],tbl_product[ProductID],tbl_product[ProductNumber],"UNMAPPED_PRODUCT")</f>
        <v>HJ-1213</v>
      </c>
      <c r="E113" t="str">
        <f>_xlfn.XLOOKUP(tbl_model[[#This Row],[LocationID]],tbl_location[LocationID],tbl_location[LocationName],"UNMAPPED_LOCATION")</f>
        <v>Tool Crib</v>
      </c>
      <c r="F113">
        <v>369</v>
      </c>
      <c r="G113" s="1" t="str">
        <f>tbl_model[[#This Row],[ProductID]] &amp; "-" &amp; tbl_model[[#This Row],[LocationID]]</f>
        <v>359-1</v>
      </c>
    </row>
    <row r="114" spans="1:7">
      <c r="A114">
        <v>359</v>
      </c>
      <c r="B114">
        <v>6</v>
      </c>
      <c r="C114" t="str">
        <f>_xlfn.XLOOKUP(tbl_model[[#This Row],[ProductID]],tbl_product[ProductID],tbl_product[ProductName],"UNMAPPED_PRODUCT")</f>
        <v>Thin-Jam Hex Nut 9</v>
      </c>
      <c r="D114" t="str">
        <f>_xlfn.XLOOKUP(tbl_model[[#This Row],[ProductID]],tbl_product[ProductID],tbl_product[ProductNumber],"UNMAPPED_PRODUCT")</f>
        <v>HJ-1213</v>
      </c>
      <c r="E114" t="str">
        <f>_xlfn.XLOOKUP(tbl_model[[#This Row],[LocationID]],tbl_location[LocationID],tbl_location[LocationName],"UNMAPPED_LOCATION")</f>
        <v>Miscellaneous Storage</v>
      </c>
      <c r="F114">
        <v>360</v>
      </c>
      <c r="G114" s="1" t="str">
        <f>tbl_model[[#This Row],[ProductID]] &amp; "-" &amp; tbl_model[[#This Row],[LocationID]]</f>
        <v>359-6</v>
      </c>
    </row>
    <row r="115" spans="1:7">
      <c r="A115">
        <v>359</v>
      </c>
      <c r="B115">
        <v>50</v>
      </c>
      <c r="C115" t="str">
        <f>_xlfn.XLOOKUP(tbl_model[[#This Row],[ProductID]],tbl_product[ProductID],tbl_product[ProductName],"UNMAPPED_PRODUCT")</f>
        <v>Thin-Jam Hex Nut 9</v>
      </c>
      <c r="D115" t="str">
        <f>_xlfn.XLOOKUP(tbl_model[[#This Row],[ProductID]],tbl_product[ProductID],tbl_product[ProductNumber],"UNMAPPED_PRODUCT")</f>
        <v>HJ-1213</v>
      </c>
      <c r="E115" t="str">
        <f>_xlfn.XLOOKUP(tbl_model[[#This Row],[LocationID]],tbl_location[LocationID],tbl_location[LocationName],"UNMAPPED_LOCATION")</f>
        <v>Subassembly</v>
      </c>
      <c r="F115">
        <v>374</v>
      </c>
      <c r="G115" s="1" t="str">
        <f>tbl_model[[#This Row],[ProductID]] &amp; "-" &amp; tbl_model[[#This Row],[LocationID]]</f>
        <v>359-50</v>
      </c>
    </row>
    <row r="116" spans="1:7">
      <c r="A116">
        <v>360</v>
      </c>
      <c r="B116">
        <v>1</v>
      </c>
      <c r="C116" t="str">
        <f>_xlfn.XLOOKUP(tbl_model[[#This Row],[ProductID]],tbl_product[ProductID],tbl_product[ProductName],"UNMAPPED_PRODUCT")</f>
        <v>Thin-Jam Hex Nut 10</v>
      </c>
      <c r="D116" t="str">
        <f>_xlfn.XLOOKUP(tbl_model[[#This Row],[ProductID]],tbl_product[ProductID],tbl_product[ProductNumber],"UNMAPPED_PRODUCT")</f>
        <v>HJ-1220</v>
      </c>
      <c r="E116" t="str">
        <f>_xlfn.XLOOKUP(tbl_model[[#This Row],[LocationID]],tbl_location[LocationID],tbl_location[LocationName],"UNMAPPED_LOCATION")</f>
        <v>Tool Crib</v>
      </c>
      <c r="F116">
        <v>363</v>
      </c>
      <c r="G116" s="1" t="str">
        <f>tbl_model[[#This Row],[ProductID]] &amp; "-" &amp; tbl_model[[#This Row],[LocationID]]</f>
        <v>360-1</v>
      </c>
    </row>
    <row r="117" spans="1:7">
      <c r="A117">
        <v>360</v>
      </c>
      <c r="B117">
        <v>6</v>
      </c>
      <c r="C117" t="str">
        <f>_xlfn.XLOOKUP(tbl_model[[#This Row],[ProductID]],tbl_product[ProductID],tbl_product[ProductName],"UNMAPPED_PRODUCT")</f>
        <v>Thin-Jam Hex Nut 10</v>
      </c>
      <c r="D117" t="str">
        <f>_xlfn.XLOOKUP(tbl_model[[#This Row],[ProductID]],tbl_product[ProductID],tbl_product[ProductNumber],"UNMAPPED_PRODUCT")</f>
        <v>HJ-1220</v>
      </c>
      <c r="E117" t="str">
        <f>_xlfn.XLOOKUP(tbl_model[[#This Row],[LocationID]],tbl_location[LocationID],tbl_location[LocationName],"UNMAPPED_LOCATION")</f>
        <v>Miscellaneous Storage</v>
      </c>
      <c r="F117">
        <v>353</v>
      </c>
      <c r="G117" s="1" t="str">
        <f>tbl_model[[#This Row],[ProductID]] &amp; "-" &amp; tbl_model[[#This Row],[LocationID]]</f>
        <v>360-6</v>
      </c>
    </row>
    <row r="118" spans="1:7">
      <c r="A118">
        <v>360</v>
      </c>
      <c r="B118">
        <v>50</v>
      </c>
      <c r="C118" t="str">
        <f>_xlfn.XLOOKUP(tbl_model[[#This Row],[ProductID]],tbl_product[ProductID],tbl_product[ProductName],"UNMAPPED_PRODUCT")</f>
        <v>Thin-Jam Hex Nut 10</v>
      </c>
      <c r="D118" t="str">
        <f>_xlfn.XLOOKUP(tbl_model[[#This Row],[ProductID]],tbl_product[ProductID],tbl_product[ProductNumber],"UNMAPPED_PRODUCT")</f>
        <v>HJ-1220</v>
      </c>
      <c r="E118" t="str">
        <f>_xlfn.XLOOKUP(tbl_model[[#This Row],[LocationID]],tbl_location[LocationID],tbl_location[LocationName],"UNMAPPED_LOCATION")</f>
        <v>Subassembly</v>
      </c>
      <c r="F118">
        <v>368</v>
      </c>
      <c r="G118" s="1" t="str">
        <f>tbl_model[[#This Row],[ProductID]] &amp; "-" &amp; tbl_model[[#This Row],[LocationID]]</f>
        <v>360-50</v>
      </c>
    </row>
    <row r="119" spans="1:7">
      <c r="A119">
        <v>361</v>
      </c>
      <c r="B119">
        <v>1</v>
      </c>
      <c r="C119" t="str">
        <f>_xlfn.XLOOKUP(tbl_model[[#This Row],[ProductID]],tbl_product[ProductID],tbl_product[ProductName],"UNMAPPED_PRODUCT")</f>
        <v>Thin-Jam Hex Nut 1</v>
      </c>
      <c r="D119" t="str">
        <f>_xlfn.XLOOKUP(tbl_model[[#This Row],[ProductID]],tbl_product[ProductID],tbl_product[ProductNumber],"UNMAPPED_PRODUCT")</f>
        <v>HJ-1420</v>
      </c>
      <c r="E119" t="str">
        <f>_xlfn.XLOOKUP(tbl_model[[#This Row],[LocationID]],tbl_location[LocationID],tbl_location[LocationName],"UNMAPPED_LOCATION")</f>
        <v>Tool Crib</v>
      </c>
      <c r="F119">
        <v>499</v>
      </c>
      <c r="G119" s="1" t="str">
        <f>tbl_model[[#This Row],[ProductID]] &amp; "-" &amp; tbl_model[[#This Row],[LocationID]]</f>
        <v>361-1</v>
      </c>
    </row>
    <row r="120" spans="1:7">
      <c r="A120">
        <v>361</v>
      </c>
      <c r="B120">
        <v>6</v>
      </c>
      <c r="C120" t="str">
        <f>_xlfn.XLOOKUP(tbl_model[[#This Row],[ProductID]],tbl_product[ProductID],tbl_product[ProductName],"UNMAPPED_PRODUCT")</f>
        <v>Thin-Jam Hex Nut 1</v>
      </c>
      <c r="D120" t="str">
        <f>_xlfn.XLOOKUP(tbl_model[[#This Row],[ProductID]],tbl_product[ProductID],tbl_product[ProductNumber],"UNMAPPED_PRODUCT")</f>
        <v>HJ-1420</v>
      </c>
      <c r="E120" t="str">
        <f>_xlfn.XLOOKUP(tbl_model[[#This Row],[LocationID]],tbl_location[LocationID],tbl_location[LocationName],"UNMAPPED_LOCATION")</f>
        <v>Miscellaneous Storage</v>
      </c>
      <c r="F120">
        <v>601</v>
      </c>
      <c r="G120" s="1" t="str">
        <f>tbl_model[[#This Row],[ProductID]] &amp; "-" &amp; tbl_model[[#This Row],[LocationID]]</f>
        <v>361-6</v>
      </c>
    </row>
    <row r="121" spans="1:7">
      <c r="A121">
        <v>361</v>
      </c>
      <c r="B121">
        <v>50</v>
      </c>
      <c r="C121" t="str">
        <f>_xlfn.XLOOKUP(tbl_model[[#This Row],[ProductID]],tbl_product[ProductID],tbl_product[ProductName],"UNMAPPED_PRODUCT")</f>
        <v>Thin-Jam Hex Nut 1</v>
      </c>
      <c r="D121" t="str">
        <f>_xlfn.XLOOKUP(tbl_model[[#This Row],[ProductID]],tbl_product[ProductID],tbl_product[ProductNumber],"UNMAPPED_PRODUCT")</f>
        <v>HJ-1420</v>
      </c>
      <c r="E121" t="str">
        <f>_xlfn.XLOOKUP(tbl_model[[#This Row],[LocationID]],tbl_location[LocationID],tbl_location[LocationName],"UNMAPPED_LOCATION")</f>
        <v>Subassembly</v>
      </c>
      <c r="F121">
        <v>531</v>
      </c>
      <c r="G121" s="1" t="str">
        <f>tbl_model[[#This Row],[ProductID]] &amp; "-" &amp; tbl_model[[#This Row],[LocationID]]</f>
        <v>361-50</v>
      </c>
    </row>
    <row r="122" spans="1:7">
      <c r="A122">
        <v>362</v>
      </c>
      <c r="B122">
        <v>1</v>
      </c>
      <c r="C122" t="str">
        <f>_xlfn.XLOOKUP(tbl_model[[#This Row],[ProductID]],tbl_product[ProductID],tbl_product[ProductName],"UNMAPPED_PRODUCT")</f>
        <v>Thin-Jam Hex Nut 2</v>
      </c>
      <c r="D122" t="str">
        <f>_xlfn.XLOOKUP(tbl_model[[#This Row],[ProductID]],tbl_product[ProductID],tbl_product[ProductNumber],"UNMAPPED_PRODUCT")</f>
        <v>HJ-1428</v>
      </c>
      <c r="E122" t="str">
        <f>_xlfn.XLOOKUP(tbl_model[[#This Row],[LocationID]],tbl_location[LocationID],tbl_location[LocationName],"UNMAPPED_LOCATION")</f>
        <v>Tool Crib</v>
      </c>
      <c r="F122">
        <v>377</v>
      </c>
      <c r="G122" s="1" t="str">
        <f>tbl_model[[#This Row],[ProductID]] &amp; "-" &amp; tbl_model[[#This Row],[LocationID]]</f>
        <v>362-1</v>
      </c>
    </row>
    <row r="123" spans="1:7">
      <c r="A123">
        <v>362</v>
      </c>
      <c r="B123">
        <v>6</v>
      </c>
      <c r="C123" t="str">
        <f>_xlfn.XLOOKUP(tbl_model[[#This Row],[ProductID]],tbl_product[ProductID],tbl_product[ProductName],"UNMAPPED_PRODUCT")</f>
        <v>Thin-Jam Hex Nut 2</v>
      </c>
      <c r="D123" t="str">
        <f>_xlfn.XLOOKUP(tbl_model[[#This Row],[ProductID]],tbl_product[ProductID],tbl_product[ProductNumber],"UNMAPPED_PRODUCT")</f>
        <v>HJ-1428</v>
      </c>
      <c r="E123" t="str">
        <f>_xlfn.XLOOKUP(tbl_model[[#This Row],[LocationID]],tbl_location[LocationID],tbl_location[LocationName],"UNMAPPED_LOCATION")</f>
        <v>Miscellaneous Storage</v>
      </c>
      <c r="F123">
        <v>315</v>
      </c>
      <c r="G123" s="1" t="str">
        <f>tbl_model[[#This Row],[ProductID]] &amp; "-" &amp; tbl_model[[#This Row],[LocationID]]</f>
        <v>362-6</v>
      </c>
    </row>
    <row r="124" spans="1:7">
      <c r="A124">
        <v>362</v>
      </c>
      <c r="B124">
        <v>50</v>
      </c>
      <c r="C124" t="str">
        <f>_xlfn.XLOOKUP(tbl_model[[#This Row],[ProductID]],tbl_product[ProductID],tbl_product[ProductName],"UNMAPPED_PRODUCT")</f>
        <v>Thin-Jam Hex Nut 2</v>
      </c>
      <c r="D124" t="str">
        <f>_xlfn.XLOOKUP(tbl_model[[#This Row],[ProductID]],tbl_product[ProductID],tbl_product[ProductNumber],"UNMAPPED_PRODUCT")</f>
        <v>HJ-1428</v>
      </c>
      <c r="E124" t="str">
        <f>_xlfn.XLOOKUP(tbl_model[[#This Row],[LocationID]],tbl_location[LocationID],tbl_location[LocationName],"UNMAPPED_LOCATION")</f>
        <v>Subassembly</v>
      </c>
      <c r="F124">
        <v>334</v>
      </c>
      <c r="G124" s="1" t="str">
        <f>tbl_model[[#This Row],[ProductID]] &amp; "-" &amp; tbl_model[[#This Row],[LocationID]]</f>
        <v>362-50</v>
      </c>
    </row>
    <row r="125" spans="1:7">
      <c r="A125">
        <v>363</v>
      </c>
      <c r="B125">
        <v>1</v>
      </c>
      <c r="C125" t="str">
        <f>_xlfn.XLOOKUP(tbl_model[[#This Row],[ProductID]],tbl_product[ProductID],tbl_product[ProductName],"UNMAPPED_PRODUCT")</f>
        <v>Thin-Jam Hex Nut 15</v>
      </c>
      <c r="D125" t="str">
        <f>_xlfn.XLOOKUP(tbl_model[[#This Row],[ProductID]],tbl_product[ProductID],tbl_product[ProductNumber],"UNMAPPED_PRODUCT")</f>
        <v>HJ-3410</v>
      </c>
      <c r="E125" t="str">
        <f>_xlfn.XLOOKUP(tbl_model[[#This Row],[LocationID]],tbl_location[LocationID],tbl_location[LocationName],"UNMAPPED_LOCATION")</f>
        <v>Tool Crib</v>
      </c>
      <c r="F125">
        <v>499</v>
      </c>
      <c r="G125" s="1" t="str">
        <f>tbl_model[[#This Row],[ProductID]] &amp; "-" &amp; tbl_model[[#This Row],[LocationID]]</f>
        <v>363-1</v>
      </c>
    </row>
    <row r="126" spans="1:7">
      <c r="A126">
        <v>363</v>
      </c>
      <c r="B126">
        <v>6</v>
      </c>
      <c r="C126" t="str">
        <f>_xlfn.XLOOKUP(tbl_model[[#This Row],[ProductID]],tbl_product[ProductID],tbl_product[ProductName],"UNMAPPED_PRODUCT")</f>
        <v>Thin-Jam Hex Nut 15</v>
      </c>
      <c r="D126" t="str">
        <f>_xlfn.XLOOKUP(tbl_model[[#This Row],[ProductID]],tbl_product[ProductID],tbl_product[ProductNumber],"UNMAPPED_PRODUCT")</f>
        <v>HJ-3410</v>
      </c>
      <c r="E126" t="str">
        <f>_xlfn.XLOOKUP(tbl_model[[#This Row],[LocationID]],tbl_location[LocationID],tbl_location[LocationName],"UNMAPPED_LOCATION")</f>
        <v>Miscellaneous Storage</v>
      </c>
      <c r="F126">
        <v>643</v>
      </c>
      <c r="G126" s="1" t="str">
        <f>tbl_model[[#This Row],[ProductID]] &amp; "-" &amp; tbl_model[[#This Row],[LocationID]]</f>
        <v>363-6</v>
      </c>
    </row>
    <row r="127" spans="1:7">
      <c r="A127">
        <v>363</v>
      </c>
      <c r="B127">
        <v>50</v>
      </c>
      <c r="C127" t="str">
        <f>_xlfn.XLOOKUP(tbl_model[[#This Row],[ProductID]],tbl_product[ProductID],tbl_product[ProductName],"UNMAPPED_PRODUCT")</f>
        <v>Thin-Jam Hex Nut 15</v>
      </c>
      <c r="D127" t="str">
        <f>_xlfn.XLOOKUP(tbl_model[[#This Row],[ProductID]],tbl_product[ProductID],tbl_product[ProductNumber],"UNMAPPED_PRODUCT")</f>
        <v>HJ-3410</v>
      </c>
      <c r="E127" t="str">
        <f>_xlfn.XLOOKUP(tbl_model[[#This Row],[LocationID]],tbl_location[LocationID],tbl_location[LocationName],"UNMAPPED_LOCATION")</f>
        <v>Subassembly</v>
      </c>
      <c r="F127">
        <v>619</v>
      </c>
      <c r="G127" s="1" t="str">
        <f>tbl_model[[#This Row],[ProductID]] &amp; "-" &amp; tbl_model[[#This Row],[LocationID]]</f>
        <v>363-50</v>
      </c>
    </row>
    <row r="128" spans="1:7">
      <c r="A128">
        <v>364</v>
      </c>
      <c r="B128">
        <v>1</v>
      </c>
      <c r="C128" t="str">
        <f>_xlfn.XLOOKUP(tbl_model[[#This Row],[ProductID]],tbl_product[ProductID],tbl_product[ProductName],"UNMAPPED_PRODUCT")</f>
        <v>Thin-Jam Hex Nut 16</v>
      </c>
      <c r="D128" t="str">
        <f>_xlfn.XLOOKUP(tbl_model[[#This Row],[ProductID]],tbl_product[ProductID],tbl_product[ProductNumber],"UNMAPPED_PRODUCT")</f>
        <v>HJ-3416</v>
      </c>
      <c r="E128" t="str">
        <f>_xlfn.XLOOKUP(tbl_model[[#This Row],[LocationID]],tbl_location[LocationID],tbl_location[LocationName],"UNMAPPED_LOCATION")</f>
        <v>Tool Crib</v>
      </c>
      <c r="F128">
        <v>368</v>
      </c>
      <c r="G128" s="1" t="str">
        <f>tbl_model[[#This Row],[ProductID]] &amp; "-" &amp; tbl_model[[#This Row],[LocationID]]</f>
        <v>364-1</v>
      </c>
    </row>
    <row r="129" spans="1:7">
      <c r="A129">
        <v>364</v>
      </c>
      <c r="B129">
        <v>6</v>
      </c>
      <c r="C129" t="str">
        <f>_xlfn.XLOOKUP(tbl_model[[#This Row],[ProductID]],tbl_product[ProductID],tbl_product[ProductName],"UNMAPPED_PRODUCT")</f>
        <v>Thin-Jam Hex Nut 16</v>
      </c>
      <c r="D129" t="str">
        <f>_xlfn.XLOOKUP(tbl_model[[#This Row],[ProductID]],tbl_product[ProductID],tbl_product[ProductNumber],"UNMAPPED_PRODUCT")</f>
        <v>HJ-3416</v>
      </c>
      <c r="E129" t="str">
        <f>_xlfn.XLOOKUP(tbl_model[[#This Row],[LocationID]],tbl_location[LocationID],tbl_location[LocationName],"UNMAPPED_LOCATION")</f>
        <v>Miscellaneous Storage</v>
      </c>
      <c r="F129">
        <v>358</v>
      </c>
      <c r="G129" s="1" t="str">
        <f>tbl_model[[#This Row],[ProductID]] &amp; "-" &amp; tbl_model[[#This Row],[LocationID]]</f>
        <v>364-6</v>
      </c>
    </row>
    <row r="130" spans="1:7">
      <c r="A130">
        <v>364</v>
      </c>
      <c r="B130">
        <v>50</v>
      </c>
      <c r="C130" t="str">
        <f>_xlfn.XLOOKUP(tbl_model[[#This Row],[ProductID]],tbl_product[ProductID],tbl_product[ProductName],"UNMAPPED_PRODUCT")</f>
        <v>Thin-Jam Hex Nut 16</v>
      </c>
      <c r="D130" t="str">
        <f>_xlfn.XLOOKUP(tbl_model[[#This Row],[ProductID]],tbl_product[ProductID],tbl_product[ProductNumber],"UNMAPPED_PRODUCT")</f>
        <v>HJ-3416</v>
      </c>
      <c r="E130" t="str">
        <f>_xlfn.XLOOKUP(tbl_model[[#This Row],[LocationID]],tbl_location[LocationID],tbl_location[LocationName],"UNMAPPED_LOCATION")</f>
        <v>Subassembly</v>
      </c>
      <c r="F130">
        <v>326</v>
      </c>
      <c r="G130" s="1" t="str">
        <f>tbl_model[[#This Row],[ProductID]] &amp; "-" &amp; tbl_model[[#This Row],[LocationID]]</f>
        <v>364-50</v>
      </c>
    </row>
    <row r="131" spans="1:7">
      <c r="A131">
        <v>365</v>
      </c>
      <c r="B131">
        <v>1</v>
      </c>
      <c r="C131" t="str">
        <f>_xlfn.XLOOKUP(tbl_model[[#This Row],[ProductID]],tbl_product[ProductID],tbl_product[ProductName],"UNMAPPED_PRODUCT")</f>
        <v>Thin-Jam Hex Nut 5</v>
      </c>
      <c r="D131" t="str">
        <f>_xlfn.XLOOKUP(tbl_model[[#This Row],[ProductID]],tbl_product[ProductID],tbl_product[ProductNumber],"UNMAPPED_PRODUCT")</f>
        <v>HJ-3816</v>
      </c>
      <c r="E131" t="str">
        <f>_xlfn.XLOOKUP(tbl_model[[#This Row],[LocationID]],tbl_location[LocationID],tbl_location[LocationName],"UNMAPPED_LOCATION")</f>
        <v>Tool Crib</v>
      </c>
      <c r="F131">
        <v>411</v>
      </c>
      <c r="G131" s="1" t="str">
        <f>tbl_model[[#This Row],[ProductID]] &amp; "-" &amp; tbl_model[[#This Row],[LocationID]]</f>
        <v>365-1</v>
      </c>
    </row>
    <row r="132" spans="1:7">
      <c r="A132">
        <v>365</v>
      </c>
      <c r="B132">
        <v>6</v>
      </c>
      <c r="C132" t="str">
        <f>_xlfn.XLOOKUP(tbl_model[[#This Row],[ProductID]],tbl_product[ProductID],tbl_product[ProductName],"UNMAPPED_PRODUCT")</f>
        <v>Thin-Jam Hex Nut 5</v>
      </c>
      <c r="D132" t="str">
        <f>_xlfn.XLOOKUP(tbl_model[[#This Row],[ProductID]],tbl_product[ProductID],tbl_product[ProductNumber],"UNMAPPED_PRODUCT")</f>
        <v>HJ-3816</v>
      </c>
      <c r="E132" t="str">
        <f>_xlfn.XLOOKUP(tbl_model[[#This Row],[LocationID]],tbl_location[LocationID],tbl_location[LocationName],"UNMAPPED_LOCATION")</f>
        <v>Miscellaneous Storage</v>
      </c>
      <c r="F132">
        <v>691</v>
      </c>
      <c r="G132" s="1" t="str">
        <f>tbl_model[[#This Row],[ProductID]] &amp; "-" &amp; tbl_model[[#This Row],[LocationID]]</f>
        <v>365-6</v>
      </c>
    </row>
    <row r="133" spans="1:7">
      <c r="A133">
        <v>365</v>
      </c>
      <c r="B133">
        <v>50</v>
      </c>
      <c r="C133" t="str">
        <f>_xlfn.XLOOKUP(tbl_model[[#This Row],[ProductID]],tbl_product[ProductID],tbl_product[ProductName],"UNMAPPED_PRODUCT")</f>
        <v>Thin-Jam Hex Nut 5</v>
      </c>
      <c r="D133" t="str">
        <f>_xlfn.XLOOKUP(tbl_model[[#This Row],[ProductID]],tbl_product[ProductID],tbl_product[ProductNumber],"UNMAPPED_PRODUCT")</f>
        <v>HJ-3816</v>
      </c>
      <c r="E133" t="str">
        <f>_xlfn.XLOOKUP(tbl_model[[#This Row],[LocationID]],tbl_location[LocationID],tbl_location[LocationName],"UNMAPPED_LOCATION")</f>
        <v>Subassembly</v>
      </c>
      <c r="F133">
        <v>619</v>
      </c>
      <c r="G133" s="1" t="str">
        <f>tbl_model[[#This Row],[ProductID]] &amp; "-" &amp; tbl_model[[#This Row],[LocationID]]</f>
        <v>365-50</v>
      </c>
    </row>
    <row r="134" spans="1:7">
      <c r="A134">
        <v>366</v>
      </c>
      <c r="B134">
        <v>1</v>
      </c>
      <c r="C134" t="str">
        <f>_xlfn.XLOOKUP(tbl_model[[#This Row],[ProductID]],tbl_product[ProductID],tbl_product[ProductName],"UNMAPPED_PRODUCT")</f>
        <v>Thin-Jam Hex Nut 6</v>
      </c>
      <c r="D134" t="str">
        <f>_xlfn.XLOOKUP(tbl_model[[#This Row],[ProductID]],tbl_product[ProductID],tbl_product[ProductNumber],"UNMAPPED_PRODUCT")</f>
        <v>HJ-3824</v>
      </c>
      <c r="E134" t="str">
        <f>_xlfn.XLOOKUP(tbl_model[[#This Row],[LocationID]],tbl_location[LocationID],tbl_location[LocationName],"UNMAPPED_LOCATION")</f>
        <v>Tool Crib</v>
      </c>
      <c r="F134">
        <v>318</v>
      </c>
      <c r="G134" s="1" t="str">
        <f>tbl_model[[#This Row],[ProductID]] &amp; "-" &amp; tbl_model[[#This Row],[LocationID]]</f>
        <v>366-1</v>
      </c>
    </row>
    <row r="135" spans="1:7">
      <c r="A135">
        <v>366</v>
      </c>
      <c r="B135">
        <v>6</v>
      </c>
      <c r="C135" t="str">
        <f>_xlfn.XLOOKUP(tbl_model[[#This Row],[ProductID]],tbl_product[ProductID],tbl_product[ProductName],"UNMAPPED_PRODUCT")</f>
        <v>Thin-Jam Hex Nut 6</v>
      </c>
      <c r="D135" t="str">
        <f>_xlfn.XLOOKUP(tbl_model[[#This Row],[ProductID]],tbl_product[ProductID],tbl_product[ProductNumber],"UNMAPPED_PRODUCT")</f>
        <v>HJ-3824</v>
      </c>
      <c r="E135" t="str">
        <f>_xlfn.XLOOKUP(tbl_model[[#This Row],[LocationID]],tbl_location[LocationID],tbl_location[LocationName],"UNMAPPED_LOCATION")</f>
        <v>Miscellaneous Storage</v>
      </c>
      <c r="F135">
        <v>299</v>
      </c>
      <c r="G135" s="1" t="str">
        <f>tbl_model[[#This Row],[ProductID]] &amp; "-" &amp; tbl_model[[#This Row],[LocationID]]</f>
        <v>366-6</v>
      </c>
    </row>
    <row r="136" spans="1:7">
      <c r="A136">
        <v>366</v>
      </c>
      <c r="B136">
        <v>50</v>
      </c>
      <c r="C136" t="str">
        <f>_xlfn.XLOOKUP(tbl_model[[#This Row],[ProductID]],tbl_product[ProductID],tbl_product[ProductName],"UNMAPPED_PRODUCT")</f>
        <v>Thin-Jam Hex Nut 6</v>
      </c>
      <c r="D136" t="str">
        <f>_xlfn.XLOOKUP(tbl_model[[#This Row],[ProductID]],tbl_product[ProductID],tbl_product[ProductNumber],"UNMAPPED_PRODUCT")</f>
        <v>HJ-3824</v>
      </c>
      <c r="E136" t="str">
        <f>_xlfn.XLOOKUP(tbl_model[[#This Row],[LocationID]],tbl_location[LocationID],tbl_location[LocationName],"UNMAPPED_LOCATION")</f>
        <v>Subassembly</v>
      </c>
      <c r="F136">
        <v>412</v>
      </c>
      <c r="G136" s="1" t="str">
        <f>tbl_model[[#This Row],[ProductID]] &amp; "-" &amp; tbl_model[[#This Row],[LocationID]]</f>
        <v>366-50</v>
      </c>
    </row>
    <row r="137" spans="1:7">
      <c r="A137">
        <v>367</v>
      </c>
      <c r="B137">
        <v>1</v>
      </c>
      <c r="C137" t="str">
        <f>_xlfn.XLOOKUP(tbl_model[[#This Row],[ProductID]],tbl_product[ProductID],tbl_product[ProductName],"UNMAPPED_PRODUCT")</f>
        <v>Thin-Jam Hex Nut 3</v>
      </c>
      <c r="D137" t="str">
        <f>_xlfn.XLOOKUP(tbl_model[[#This Row],[ProductID]],tbl_product[ProductID],tbl_product[ProductNumber],"UNMAPPED_PRODUCT")</f>
        <v>HJ-5161</v>
      </c>
      <c r="E137" t="str">
        <f>_xlfn.XLOOKUP(tbl_model[[#This Row],[LocationID]],tbl_location[LocationID],tbl_location[LocationName],"UNMAPPED_LOCATION")</f>
        <v>Tool Crib</v>
      </c>
      <c r="F137">
        <v>643</v>
      </c>
      <c r="G137" s="1" t="str">
        <f>tbl_model[[#This Row],[ProductID]] &amp; "-" &amp; tbl_model[[#This Row],[LocationID]]</f>
        <v>367-1</v>
      </c>
    </row>
    <row r="138" spans="1:7">
      <c r="A138">
        <v>367</v>
      </c>
      <c r="B138">
        <v>6</v>
      </c>
      <c r="C138" t="str">
        <f>_xlfn.XLOOKUP(tbl_model[[#This Row],[ProductID]],tbl_product[ProductID],tbl_product[ProductName],"UNMAPPED_PRODUCT")</f>
        <v>Thin-Jam Hex Nut 3</v>
      </c>
      <c r="D138" t="str">
        <f>_xlfn.XLOOKUP(tbl_model[[#This Row],[ProductID]],tbl_product[ProductID],tbl_product[ProductNumber],"UNMAPPED_PRODUCT")</f>
        <v>HJ-5161</v>
      </c>
      <c r="E138" t="str">
        <f>_xlfn.XLOOKUP(tbl_model[[#This Row],[LocationID]],tbl_location[LocationID],tbl_location[LocationName],"UNMAPPED_LOCATION")</f>
        <v>Miscellaneous Storage</v>
      </c>
      <c r="F138">
        <v>689</v>
      </c>
      <c r="G138" s="1" t="str">
        <f>tbl_model[[#This Row],[ProductID]] &amp; "-" &amp; tbl_model[[#This Row],[LocationID]]</f>
        <v>367-6</v>
      </c>
    </row>
    <row r="139" spans="1:7">
      <c r="A139">
        <v>367</v>
      </c>
      <c r="B139">
        <v>50</v>
      </c>
      <c r="C139" t="str">
        <f>_xlfn.XLOOKUP(tbl_model[[#This Row],[ProductID]],tbl_product[ProductID],tbl_product[ProductName],"UNMAPPED_PRODUCT")</f>
        <v>Thin-Jam Hex Nut 3</v>
      </c>
      <c r="D139" t="str">
        <f>_xlfn.XLOOKUP(tbl_model[[#This Row],[ProductID]],tbl_product[ProductID],tbl_product[ProductNumber],"UNMAPPED_PRODUCT")</f>
        <v>HJ-5161</v>
      </c>
      <c r="E139" t="str">
        <f>_xlfn.XLOOKUP(tbl_model[[#This Row],[LocationID]],tbl_location[LocationID],tbl_location[LocationName],"UNMAPPED_LOCATION")</f>
        <v>Subassembly</v>
      </c>
      <c r="F139">
        <v>569</v>
      </c>
      <c r="G139" s="1" t="str">
        <f>tbl_model[[#This Row],[ProductID]] &amp; "-" &amp; tbl_model[[#This Row],[LocationID]]</f>
        <v>367-50</v>
      </c>
    </row>
    <row r="140" spans="1:7">
      <c r="A140">
        <v>368</v>
      </c>
      <c r="B140">
        <v>1</v>
      </c>
      <c r="C140" t="str">
        <f>_xlfn.XLOOKUP(tbl_model[[#This Row],[ProductID]],tbl_product[ProductID],tbl_product[ProductName],"UNMAPPED_PRODUCT")</f>
        <v>Thin-Jam Hex Nut 4</v>
      </c>
      <c r="D140" t="str">
        <f>_xlfn.XLOOKUP(tbl_model[[#This Row],[ProductID]],tbl_product[ProductID],tbl_product[ProductNumber],"UNMAPPED_PRODUCT")</f>
        <v>HJ-5162</v>
      </c>
      <c r="E140" t="str">
        <f>_xlfn.XLOOKUP(tbl_model[[#This Row],[LocationID]],tbl_location[LocationID],tbl_location[LocationName],"UNMAPPED_LOCATION")</f>
        <v>Tool Crib</v>
      </c>
      <c r="F140">
        <v>369</v>
      </c>
      <c r="G140" s="1" t="str">
        <f>tbl_model[[#This Row],[ProductID]] &amp; "-" &amp; tbl_model[[#This Row],[LocationID]]</f>
        <v>368-1</v>
      </c>
    </row>
    <row r="141" spans="1:7">
      <c r="A141">
        <v>368</v>
      </c>
      <c r="B141">
        <v>6</v>
      </c>
      <c r="C141" t="str">
        <f>_xlfn.XLOOKUP(tbl_model[[#This Row],[ProductID]],tbl_product[ProductID],tbl_product[ProductName],"UNMAPPED_PRODUCT")</f>
        <v>Thin-Jam Hex Nut 4</v>
      </c>
      <c r="D141" t="str">
        <f>_xlfn.XLOOKUP(tbl_model[[#This Row],[ProductID]],tbl_product[ProductID],tbl_product[ProductNumber],"UNMAPPED_PRODUCT")</f>
        <v>HJ-5162</v>
      </c>
      <c r="E141" t="str">
        <f>_xlfn.XLOOKUP(tbl_model[[#This Row],[LocationID]],tbl_location[LocationID],tbl_location[LocationName],"UNMAPPED_LOCATION")</f>
        <v>Miscellaneous Storage</v>
      </c>
      <c r="F141">
        <v>360</v>
      </c>
      <c r="G141" s="1" t="str">
        <f>tbl_model[[#This Row],[ProductID]] &amp; "-" &amp; tbl_model[[#This Row],[LocationID]]</f>
        <v>368-6</v>
      </c>
    </row>
    <row r="142" spans="1:7">
      <c r="A142">
        <v>368</v>
      </c>
      <c r="B142">
        <v>50</v>
      </c>
      <c r="C142" t="str">
        <f>_xlfn.XLOOKUP(tbl_model[[#This Row],[ProductID]],tbl_product[ProductID],tbl_product[ProductName],"UNMAPPED_PRODUCT")</f>
        <v>Thin-Jam Hex Nut 4</v>
      </c>
      <c r="D142" t="str">
        <f>_xlfn.XLOOKUP(tbl_model[[#This Row],[ProductID]],tbl_product[ProductID],tbl_product[ProductNumber],"UNMAPPED_PRODUCT")</f>
        <v>HJ-5162</v>
      </c>
      <c r="E142" t="str">
        <f>_xlfn.XLOOKUP(tbl_model[[#This Row],[LocationID]],tbl_location[LocationID],tbl_location[LocationName],"UNMAPPED_LOCATION")</f>
        <v>Subassembly</v>
      </c>
      <c r="F142">
        <v>374</v>
      </c>
      <c r="G142" s="1" t="str">
        <f>tbl_model[[#This Row],[ProductID]] &amp; "-" &amp; tbl_model[[#This Row],[LocationID]]</f>
        <v>368-50</v>
      </c>
    </row>
    <row r="143" spans="1:7">
      <c r="A143">
        <v>369</v>
      </c>
      <c r="B143">
        <v>1</v>
      </c>
      <c r="C143" t="str">
        <f>_xlfn.XLOOKUP(tbl_model[[#This Row],[ProductID]],tbl_product[ProductID],tbl_product[ProductName],"UNMAPPED_PRODUCT")</f>
        <v>Thin-Jam Hex Nut 13</v>
      </c>
      <c r="D143" t="str">
        <f>_xlfn.XLOOKUP(tbl_model[[#This Row],[ProductID]],tbl_product[ProductID],tbl_product[ProductNumber],"UNMAPPED_PRODUCT")</f>
        <v>HJ-5811</v>
      </c>
      <c r="E143" t="str">
        <f>_xlfn.XLOOKUP(tbl_model[[#This Row],[LocationID]],tbl_location[LocationID],tbl_location[LocationName],"UNMAPPED_LOCATION")</f>
        <v>Tool Crib</v>
      </c>
      <c r="F143">
        <v>363</v>
      </c>
      <c r="G143" s="1" t="str">
        <f>tbl_model[[#This Row],[ProductID]] &amp; "-" &amp; tbl_model[[#This Row],[LocationID]]</f>
        <v>369-1</v>
      </c>
    </row>
    <row r="144" spans="1:7">
      <c r="A144">
        <v>369</v>
      </c>
      <c r="B144">
        <v>6</v>
      </c>
      <c r="C144" t="str">
        <f>_xlfn.XLOOKUP(tbl_model[[#This Row],[ProductID]],tbl_product[ProductID],tbl_product[ProductName],"UNMAPPED_PRODUCT")</f>
        <v>Thin-Jam Hex Nut 13</v>
      </c>
      <c r="D144" t="str">
        <f>_xlfn.XLOOKUP(tbl_model[[#This Row],[ProductID]],tbl_product[ProductID],tbl_product[ProductNumber],"UNMAPPED_PRODUCT")</f>
        <v>HJ-5811</v>
      </c>
      <c r="E144" t="str">
        <f>_xlfn.XLOOKUP(tbl_model[[#This Row],[LocationID]],tbl_location[LocationID],tbl_location[LocationName],"UNMAPPED_LOCATION")</f>
        <v>Miscellaneous Storage</v>
      </c>
      <c r="F144">
        <v>353</v>
      </c>
      <c r="G144" s="1" t="str">
        <f>tbl_model[[#This Row],[ProductID]] &amp; "-" &amp; tbl_model[[#This Row],[LocationID]]</f>
        <v>369-6</v>
      </c>
    </row>
    <row r="145" spans="1:7">
      <c r="A145">
        <v>369</v>
      </c>
      <c r="B145">
        <v>50</v>
      </c>
      <c r="C145" t="str">
        <f>_xlfn.XLOOKUP(tbl_model[[#This Row],[ProductID]],tbl_product[ProductID],tbl_product[ProductName],"UNMAPPED_PRODUCT")</f>
        <v>Thin-Jam Hex Nut 13</v>
      </c>
      <c r="D145" t="str">
        <f>_xlfn.XLOOKUP(tbl_model[[#This Row],[ProductID]],tbl_product[ProductID],tbl_product[ProductNumber],"UNMAPPED_PRODUCT")</f>
        <v>HJ-5811</v>
      </c>
      <c r="E145" t="str">
        <f>_xlfn.XLOOKUP(tbl_model[[#This Row],[LocationID]],tbl_location[LocationID],tbl_location[LocationName],"UNMAPPED_LOCATION")</f>
        <v>Subassembly</v>
      </c>
      <c r="F145">
        <v>368</v>
      </c>
      <c r="G145" s="1" t="str">
        <f>tbl_model[[#This Row],[ProductID]] &amp; "-" &amp; tbl_model[[#This Row],[LocationID]]</f>
        <v>369-50</v>
      </c>
    </row>
    <row r="146" spans="1:7">
      <c r="A146">
        <v>370</v>
      </c>
      <c r="B146">
        <v>1</v>
      </c>
      <c r="C146" t="str">
        <f>_xlfn.XLOOKUP(tbl_model[[#This Row],[ProductID]],tbl_product[ProductID],tbl_product[ProductName],"UNMAPPED_PRODUCT")</f>
        <v>Thin-Jam Hex Nut 14</v>
      </c>
      <c r="D146" t="str">
        <f>_xlfn.XLOOKUP(tbl_model[[#This Row],[ProductID]],tbl_product[ProductID],tbl_product[ProductNumber],"UNMAPPED_PRODUCT")</f>
        <v>HJ-5818</v>
      </c>
      <c r="E146" t="str">
        <f>_xlfn.XLOOKUP(tbl_model[[#This Row],[LocationID]],tbl_location[LocationID],tbl_location[LocationName],"UNMAPPED_LOCATION")</f>
        <v>Tool Crib</v>
      </c>
      <c r="F146">
        <v>252</v>
      </c>
      <c r="G146" s="1" t="str">
        <f>tbl_model[[#This Row],[ProductID]] &amp; "-" &amp; tbl_model[[#This Row],[LocationID]]</f>
        <v>370-1</v>
      </c>
    </row>
    <row r="147" spans="1:7">
      <c r="A147">
        <v>370</v>
      </c>
      <c r="B147">
        <v>6</v>
      </c>
      <c r="C147" t="str">
        <f>_xlfn.XLOOKUP(tbl_model[[#This Row],[ProductID]],tbl_product[ProductID],tbl_product[ProductName],"UNMAPPED_PRODUCT")</f>
        <v>Thin-Jam Hex Nut 14</v>
      </c>
      <c r="D147" t="str">
        <f>_xlfn.XLOOKUP(tbl_model[[#This Row],[ProductID]],tbl_product[ProductID],tbl_product[ProductNumber],"UNMAPPED_PRODUCT")</f>
        <v>HJ-5818</v>
      </c>
      <c r="E147" t="str">
        <f>_xlfn.XLOOKUP(tbl_model[[#This Row],[LocationID]],tbl_location[LocationID],tbl_location[LocationName],"UNMAPPED_LOCATION")</f>
        <v>Miscellaneous Storage</v>
      </c>
      <c r="F147">
        <v>155</v>
      </c>
      <c r="G147" s="1" t="str">
        <f>tbl_model[[#This Row],[ProductID]] &amp; "-" &amp; tbl_model[[#This Row],[LocationID]]</f>
        <v>370-6</v>
      </c>
    </row>
    <row r="148" spans="1:7">
      <c r="A148">
        <v>370</v>
      </c>
      <c r="B148">
        <v>50</v>
      </c>
      <c r="C148" t="str">
        <f>_xlfn.XLOOKUP(tbl_model[[#This Row],[ProductID]],tbl_product[ProductID],tbl_product[ProductName],"UNMAPPED_PRODUCT")</f>
        <v>Thin-Jam Hex Nut 14</v>
      </c>
      <c r="D148" t="str">
        <f>_xlfn.XLOOKUP(tbl_model[[#This Row],[ProductID]],tbl_product[ProductID],tbl_product[ProductNumber],"UNMAPPED_PRODUCT")</f>
        <v>HJ-5818</v>
      </c>
      <c r="E148" t="str">
        <f>_xlfn.XLOOKUP(tbl_model[[#This Row],[LocationID]],tbl_location[LocationID],tbl_location[LocationName],"UNMAPPED_LOCATION")</f>
        <v>Subassembly</v>
      </c>
      <c r="F148">
        <v>476</v>
      </c>
      <c r="G148" s="1" t="str">
        <f>tbl_model[[#This Row],[ProductID]] &amp; "-" &amp; tbl_model[[#This Row],[LocationID]]</f>
        <v>370-50</v>
      </c>
    </row>
    <row r="149" spans="1:7">
      <c r="A149">
        <v>371</v>
      </c>
      <c r="B149">
        <v>1</v>
      </c>
      <c r="C149" t="str">
        <f>_xlfn.XLOOKUP(tbl_model[[#This Row],[ProductID]],tbl_product[ProductID],tbl_product[ProductName],"UNMAPPED_PRODUCT")</f>
        <v>Thin-Jam Hex Nut 7</v>
      </c>
      <c r="D149" t="str">
        <f>_xlfn.XLOOKUP(tbl_model[[#This Row],[ProductID]],tbl_product[ProductID],tbl_product[ProductNumber],"UNMAPPED_PRODUCT")</f>
        <v>HJ-7161</v>
      </c>
      <c r="E149" t="str">
        <f>_xlfn.XLOOKUP(tbl_model[[#This Row],[LocationID]],tbl_location[LocationID],tbl_location[LocationName],"UNMAPPED_LOCATION")</f>
        <v>Tool Crib</v>
      </c>
      <c r="F149">
        <v>585</v>
      </c>
      <c r="G149" s="1" t="str">
        <f>tbl_model[[#This Row],[ProductID]] &amp; "-" &amp; tbl_model[[#This Row],[LocationID]]</f>
        <v>371-1</v>
      </c>
    </row>
    <row r="150" spans="1:7">
      <c r="A150">
        <v>371</v>
      </c>
      <c r="B150">
        <v>6</v>
      </c>
      <c r="C150" t="str">
        <f>_xlfn.XLOOKUP(tbl_model[[#This Row],[ProductID]],tbl_product[ProductID],tbl_product[ProductName],"UNMAPPED_PRODUCT")</f>
        <v>Thin-Jam Hex Nut 7</v>
      </c>
      <c r="D150" t="str">
        <f>_xlfn.XLOOKUP(tbl_model[[#This Row],[ProductID]],tbl_product[ProductID],tbl_product[ProductNumber],"UNMAPPED_PRODUCT")</f>
        <v>HJ-7161</v>
      </c>
      <c r="E150" t="str">
        <f>_xlfn.XLOOKUP(tbl_model[[#This Row],[LocationID]],tbl_location[LocationID],tbl_location[LocationName],"UNMAPPED_LOCATION")</f>
        <v>Miscellaneous Storage</v>
      </c>
      <c r="F150">
        <v>649</v>
      </c>
      <c r="G150" s="1" t="str">
        <f>tbl_model[[#This Row],[ProductID]] &amp; "-" &amp; tbl_model[[#This Row],[LocationID]]</f>
        <v>371-6</v>
      </c>
    </row>
    <row r="151" spans="1:7">
      <c r="A151">
        <v>371</v>
      </c>
      <c r="B151">
        <v>50</v>
      </c>
      <c r="C151" t="str">
        <f>_xlfn.XLOOKUP(tbl_model[[#This Row],[ProductID]],tbl_product[ProductID],tbl_product[ProductName],"UNMAPPED_PRODUCT")</f>
        <v>Thin-Jam Hex Nut 7</v>
      </c>
      <c r="D151" t="str">
        <f>_xlfn.XLOOKUP(tbl_model[[#This Row],[ProductID]],tbl_product[ProductID],tbl_product[ProductNumber],"UNMAPPED_PRODUCT")</f>
        <v>HJ-7161</v>
      </c>
      <c r="E151" t="str">
        <f>_xlfn.XLOOKUP(tbl_model[[#This Row],[LocationID]],tbl_location[LocationID],tbl_location[LocationName],"UNMAPPED_LOCATION")</f>
        <v>Subassembly</v>
      </c>
      <c r="F151">
        <v>547</v>
      </c>
      <c r="G151" s="1" t="str">
        <f>tbl_model[[#This Row],[ProductID]] &amp; "-" &amp; tbl_model[[#This Row],[LocationID]]</f>
        <v>371-50</v>
      </c>
    </row>
    <row r="152" spans="1:7">
      <c r="A152">
        <v>372</v>
      </c>
      <c r="B152">
        <v>1</v>
      </c>
      <c r="C152" t="str">
        <f>_xlfn.XLOOKUP(tbl_model[[#This Row],[ProductID]],tbl_product[ProductID],tbl_product[ProductName],"UNMAPPED_PRODUCT")</f>
        <v>Thin-Jam Hex Nut 8</v>
      </c>
      <c r="D152" t="str">
        <f>_xlfn.XLOOKUP(tbl_model[[#This Row],[ProductID]],tbl_product[ProductID],tbl_product[ProductNumber],"UNMAPPED_PRODUCT")</f>
        <v>HJ-7162</v>
      </c>
      <c r="E152" t="str">
        <f>_xlfn.XLOOKUP(tbl_model[[#This Row],[LocationID]],tbl_location[LocationID],tbl_location[LocationName],"UNMAPPED_LOCATION")</f>
        <v>Tool Crib</v>
      </c>
      <c r="F152">
        <v>281</v>
      </c>
      <c r="G152" s="1" t="str">
        <f>tbl_model[[#This Row],[ProductID]] &amp; "-" &amp; tbl_model[[#This Row],[LocationID]]</f>
        <v>372-1</v>
      </c>
    </row>
    <row r="153" spans="1:7">
      <c r="A153">
        <v>372</v>
      </c>
      <c r="B153">
        <v>6</v>
      </c>
      <c r="C153" t="str">
        <f>_xlfn.XLOOKUP(tbl_model[[#This Row],[ProductID]],tbl_product[ProductID],tbl_product[ProductName],"UNMAPPED_PRODUCT")</f>
        <v>Thin-Jam Hex Nut 8</v>
      </c>
      <c r="D153" t="str">
        <f>_xlfn.XLOOKUP(tbl_model[[#This Row],[ProductID]],tbl_product[ProductID],tbl_product[ProductNumber],"UNMAPPED_PRODUCT")</f>
        <v>HJ-7162</v>
      </c>
      <c r="E153" t="str">
        <f>_xlfn.XLOOKUP(tbl_model[[#This Row],[LocationID]],tbl_location[LocationID],tbl_location[LocationName],"UNMAPPED_LOCATION")</f>
        <v>Miscellaneous Storage</v>
      </c>
      <c r="F153">
        <v>344</v>
      </c>
      <c r="G153" s="1" t="str">
        <f>tbl_model[[#This Row],[ProductID]] &amp; "-" &amp; tbl_model[[#This Row],[LocationID]]</f>
        <v>372-6</v>
      </c>
    </row>
    <row r="154" spans="1:7">
      <c r="A154">
        <v>372</v>
      </c>
      <c r="B154">
        <v>50</v>
      </c>
      <c r="C154" t="str">
        <f>_xlfn.XLOOKUP(tbl_model[[#This Row],[ProductID]],tbl_product[ProductID],tbl_product[ProductName],"UNMAPPED_PRODUCT")</f>
        <v>Thin-Jam Hex Nut 8</v>
      </c>
      <c r="D154" t="str">
        <f>_xlfn.XLOOKUP(tbl_model[[#This Row],[ProductID]],tbl_product[ProductID],tbl_product[ProductNumber],"UNMAPPED_PRODUCT")</f>
        <v>HJ-7162</v>
      </c>
      <c r="E154" t="str">
        <f>_xlfn.XLOOKUP(tbl_model[[#This Row],[LocationID]],tbl_location[LocationID],tbl_location[LocationName],"UNMAPPED_LOCATION")</f>
        <v>Subassembly</v>
      </c>
      <c r="F154">
        <v>272</v>
      </c>
      <c r="G154" s="1" t="str">
        <f>tbl_model[[#This Row],[ProductID]] &amp; "-" &amp; tbl_model[[#This Row],[LocationID]]</f>
        <v>372-50</v>
      </c>
    </row>
    <row r="155" spans="1:7">
      <c r="A155">
        <v>373</v>
      </c>
      <c r="B155">
        <v>1</v>
      </c>
      <c r="C155" t="str">
        <f>_xlfn.XLOOKUP(tbl_model[[#This Row],[ProductID]],tbl_product[ProductID],tbl_product[ProductName],"UNMAPPED_PRODUCT")</f>
        <v>Thin-Jam Hex Nut 12</v>
      </c>
      <c r="D155" t="str">
        <f>_xlfn.XLOOKUP(tbl_model[[#This Row],[ProductID]],tbl_product[ProductID],tbl_product[ProductNumber],"UNMAPPED_PRODUCT")</f>
        <v>HJ-9080</v>
      </c>
      <c r="E155" t="str">
        <f>_xlfn.XLOOKUP(tbl_model[[#This Row],[LocationID]],tbl_location[LocationID],tbl_location[LocationName],"UNMAPPED_LOCATION")</f>
        <v>Tool Crib</v>
      </c>
      <c r="F155">
        <v>284</v>
      </c>
      <c r="G155" s="1" t="str">
        <f>tbl_model[[#This Row],[ProductID]] &amp; "-" &amp; tbl_model[[#This Row],[LocationID]]</f>
        <v>373-1</v>
      </c>
    </row>
    <row r="156" spans="1:7">
      <c r="A156">
        <v>373</v>
      </c>
      <c r="B156">
        <v>6</v>
      </c>
      <c r="C156" t="str">
        <f>_xlfn.XLOOKUP(tbl_model[[#This Row],[ProductID]],tbl_product[ProductID],tbl_product[ProductName],"UNMAPPED_PRODUCT")</f>
        <v>Thin-Jam Hex Nut 12</v>
      </c>
      <c r="D156" t="str">
        <f>_xlfn.XLOOKUP(tbl_model[[#This Row],[ProductID]],tbl_product[ProductID],tbl_product[ProductNumber],"UNMAPPED_PRODUCT")</f>
        <v>HJ-9080</v>
      </c>
      <c r="E156" t="str">
        <f>_xlfn.XLOOKUP(tbl_model[[#This Row],[LocationID]],tbl_location[LocationID],tbl_location[LocationName],"UNMAPPED_LOCATION")</f>
        <v>Miscellaneous Storage</v>
      </c>
      <c r="F156">
        <v>347</v>
      </c>
      <c r="G156" s="1" t="str">
        <f>tbl_model[[#This Row],[ProductID]] &amp; "-" &amp; tbl_model[[#This Row],[LocationID]]</f>
        <v>373-6</v>
      </c>
    </row>
    <row r="157" spans="1:7">
      <c r="A157">
        <v>373</v>
      </c>
      <c r="B157">
        <v>50</v>
      </c>
      <c r="C157" t="str">
        <f>_xlfn.XLOOKUP(tbl_model[[#This Row],[ProductID]],tbl_product[ProductID],tbl_product[ProductName],"UNMAPPED_PRODUCT")</f>
        <v>Thin-Jam Hex Nut 12</v>
      </c>
      <c r="D157" t="str">
        <f>_xlfn.XLOOKUP(tbl_model[[#This Row],[ProductID]],tbl_product[ProductID],tbl_product[ProductNumber],"UNMAPPED_PRODUCT")</f>
        <v>HJ-9080</v>
      </c>
      <c r="E157" t="str">
        <f>_xlfn.XLOOKUP(tbl_model[[#This Row],[LocationID]],tbl_location[LocationID],tbl_location[LocationName],"UNMAPPED_LOCATION")</f>
        <v>Subassembly</v>
      </c>
      <c r="F157">
        <v>275</v>
      </c>
      <c r="G157" s="1" t="str">
        <f>tbl_model[[#This Row],[ProductID]] &amp; "-" &amp; tbl_model[[#This Row],[LocationID]]</f>
        <v>373-50</v>
      </c>
    </row>
    <row r="158" spans="1:7">
      <c r="A158">
        <v>374</v>
      </c>
      <c r="B158">
        <v>1</v>
      </c>
      <c r="C158" t="str">
        <f>_xlfn.XLOOKUP(tbl_model[[#This Row],[ProductID]],tbl_product[ProductID],tbl_product[ProductName],"UNMAPPED_PRODUCT")</f>
        <v>Thin-Jam Hex Nut 11</v>
      </c>
      <c r="D158" t="str">
        <f>_xlfn.XLOOKUP(tbl_model[[#This Row],[ProductID]],tbl_product[ProductID],tbl_product[ProductNumber],"UNMAPPED_PRODUCT")</f>
        <v>HJ-9161</v>
      </c>
      <c r="E158" t="str">
        <f>_xlfn.XLOOKUP(tbl_model[[#This Row],[LocationID]],tbl_location[LocationID],tbl_location[LocationName],"UNMAPPED_LOCATION")</f>
        <v>Tool Crib</v>
      </c>
      <c r="F158">
        <v>288</v>
      </c>
      <c r="G158" s="1" t="str">
        <f>tbl_model[[#This Row],[ProductID]] &amp; "-" &amp; tbl_model[[#This Row],[LocationID]]</f>
        <v>374-1</v>
      </c>
    </row>
    <row r="159" spans="1:7">
      <c r="A159">
        <v>374</v>
      </c>
      <c r="B159">
        <v>6</v>
      </c>
      <c r="C159" t="str">
        <f>_xlfn.XLOOKUP(tbl_model[[#This Row],[ProductID]],tbl_product[ProductID],tbl_product[ProductName],"UNMAPPED_PRODUCT")</f>
        <v>Thin-Jam Hex Nut 11</v>
      </c>
      <c r="D159" t="str">
        <f>_xlfn.XLOOKUP(tbl_model[[#This Row],[ProductID]],tbl_product[ProductID],tbl_product[ProductNumber],"UNMAPPED_PRODUCT")</f>
        <v>HJ-9161</v>
      </c>
      <c r="E159" t="str">
        <f>_xlfn.XLOOKUP(tbl_model[[#This Row],[LocationID]],tbl_location[LocationID],tbl_location[LocationName],"UNMAPPED_LOCATION")</f>
        <v>Miscellaneous Storage</v>
      </c>
      <c r="F159">
        <v>350</v>
      </c>
      <c r="G159" s="1" t="str">
        <f>tbl_model[[#This Row],[ProductID]] &amp; "-" &amp; tbl_model[[#This Row],[LocationID]]</f>
        <v>374-6</v>
      </c>
    </row>
    <row r="160" spans="1:7">
      <c r="A160">
        <v>374</v>
      </c>
      <c r="B160">
        <v>50</v>
      </c>
      <c r="C160" t="str">
        <f>_xlfn.XLOOKUP(tbl_model[[#This Row],[ProductID]],tbl_product[ProductID],tbl_product[ProductName],"UNMAPPED_PRODUCT")</f>
        <v>Thin-Jam Hex Nut 11</v>
      </c>
      <c r="D160" t="str">
        <f>_xlfn.XLOOKUP(tbl_model[[#This Row],[ProductID]],tbl_product[ProductID],tbl_product[ProductNumber],"UNMAPPED_PRODUCT")</f>
        <v>HJ-9161</v>
      </c>
      <c r="E160" t="str">
        <f>_xlfn.XLOOKUP(tbl_model[[#This Row],[LocationID]],tbl_location[LocationID],tbl_location[LocationName],"UNMAPPED_LOCATION")</f>
        <v>Subassembly</v>
      </c>
      <c r="F160">
        <v>278</v>
      </c>
      <c r="G160" s="1" t="str">
        <f>tbl_model[[#This Row],[ProductID]] &amp; "-" &amp; tbl_model[[#This Row],[LocationID]]</f>
        <v>374-50</v>
      </c>
    </row>
    <row r="161" spans="1:7">
      <c r="A161">
        <v>375</v>
      </c>
      <c r="B161">
        <v>1</v>
      </c>
      <c r="C161" t="str">
        <f>_xlfn.XLOOKUP(tbl_model[[#This Row],[ProductID]],tbl_product[ProductID],tbl_product[ProductName],"UNMAPPED_PRODUCT")</f>
        <v>Hex Nut 5</v>
      </c>
      <c r="D161" t="str">
        <f>_xlfn.XLOOKUP(tbl_model[[#This Row],[ProductID]],tbl_product[ProductID],tbl_product[ProductNumber],"UNMAPPED_PRODUCT")</f>
        <v>HN-1024</v>
      </c>
      <c r="E161" t="str">
        <f>_xlfn.XLOOKUP(tbl_model[[#This Row],[LocationID]],tbl_location[LocationID],tbl_location[LocationName],"UNMAPPED_LOCATION")</f>
        <v>Tool Crib</v>
      </c>
      <c r="F161">
        <v>291</v>
      </c>
      <c r="G161" s="1" t="str">
        <f>tbl_model[[#This Row],[ProductID]] &amp; "-" &amp; tbl_model[[#This Row],[LocationID]]</f>
        <v>375-1</v>
      </c>
    </row>
    <row r="162" spans="1:7">
      <c r="A162">
        <v>375</v>
      </c>
      <c r="B162">
        <v>6</v>
      </c>
      <c r="C162" t="str">
        <f>_xlfn.XLOOKUP(tbl_model[[#This Row],[ProductID]],tbl_product[ProductID],tbl_product[ProductName],"UNMAPPED_PRODUCT")</f>
        <v>Hex Nut 5</v>
      </c>
      <c r="D162" t="str">
        <f>_xlfn.XLOOKUP(tbl_model[[#This Row],[ProductID]],tbl_product[ProductID],tbl_product[ProductNumber],"UNMAPPED_PRODUCT")</f>
        <v>HN-1024</v>
      </c>
      <c r="E162" t="str">
        <f>_xlfn.XLOOKUP(tbl_model[[#This Row],[LocationID]],tbl_location[LocationID],tbl_location[LocationName],"UNMAPPED_LOCATION")</f>
        <v>Miscellaneous Storage</v>
      </c>
      <c r="F162">
        <v>353</v>
      </c>
      <c r="G162" s="1" t="str">
        <f>tbl_model[[#This Row],[ProductID]] &amp; "-" &amp; tbl_model[[#This Row],[LocationID]]</f>
        <v>375-6</v>
      </c>
    </row>
    <row r="163" spans="1:7">
      <c r="A163">
        <v>375</v>
      </c>
      <c r="B163">
        <v>50</v>
      </c>
      <c r="C163" t="str">
        <f>_xlfn.XLOOKUP(tbl_model[[#This Row],[ProductID]],tbl_product[ProductID],tbl_product[ProductName],"UNMAPPED_PRODUCT")</f>
        <v>Hex Nut 5</v>
      </c>
      <c r="D163" t="str">
        <f>_xlfn.XLOOKUP(tbl_model[[#This Row],[ProductID]],tbl_product[ProductID],tbl_product[ProductNumber],"UNMAPPED_PRODUCT")</f>
        <v>HN-1024</v>
      </c>
      <c r="E163" t="str">
        <f>_xlfn.XLOOKUP(tbl_model[[#This Row],[LocationID]],tbl_location[LocationID],tbl_location[LocationName],"UNMAPPED_LOCATION")</f>
        <v>Subassembly</v>
      </c>
      <c r="F163">
        <v>281</v>
      </c>
      <c r="G163" s="1" t="str">
        <f>tbl_model[[#This Row],[ProductID]] &amp; "-" &amp; tbl_model[[#This Row],[LocationID]]</f>
        <v>375-50</v>
      </c>
    </row>
    <row r="164" spans="1:7">
      <c r="A164">
        <v>376</v>
      </c>
      <c r="B164">
        <v>1</v>
      </c>
      <c r="C164" t="str">
        <f>_xlfn.XLOOKUP(tbl_model[[#This Row],[ProductID]],tbl_product[ProductID],tbl_product[ProductName],"UNMAPPED_PRODUCT")</f>
        <v>Hex Nut 6</v>
      </c>
      <c r="D164" t="str">
        <f>_xlfn.XLOOKUP(tbl_model[[#This Row],[ProductID]],tbl_product[ProductID],tbl_product[ProductNumber],"UNMAPPED_PRODUCT")</f>
        <v>HN-1032</v>
      </c>
      <c r="E164" t="str">
        <f>_xlfn.XLOOKUP(tbl_model[[#This Row],[LocationID]],tbl_location[LocationID],tbl_location[LocationName],"UNMAPPED_LOCATION")</f>
        <v>Tool Crib</v>
      </c>
      <c r="F164">
        <v>585</v>
      </c>
      <c r="G164" s="1" t="str">
        <f>tbl_model[[#This Row],[ProductID]] &amp; "-" &amp; tbl_model[[#This Row],[LocationID]]</f>
        <v>376-1</v>
      </c>
    </row>
    <row r="165" spans="1:7">
      <c r="A165">
        <v>376</v>
      </c>
      <c r="B165">
        <v>6</v>
      </c>
      <c r="C165" t="str">
        <f>_xlfn.XLOOKUP(tbl_model[[#This Row],[ProductID]],tbl_product[ProductID],tbl_product[ProductName],"UNMAPPED_PRODUCT")</f>
        <v>Hex Nut 6</v>
      </c>
      <c r="D165" t="str">
        <f>_xlfn.XLOOKUP(tbl_model[[#This Row],[ProductID]],tbl_product[ProductID],tbl_product[ProductNumber],"UNMAPPED_PRODUCT")</f>
        <v>HN-1032</v>
      </c>
      <c r="E165" t="str">
        <f>_xlfn.XLOOKUP(tbl_model[[#This Row],[LocationID]],tbl_location[LocationID],tbl_location[LocationName],"UNMAPPED_LOCATION")</f>
        <v>Miscellaneous Storage</v>
      </c>
      <c r="F165">
        <v>649</v>
      </c>
      <c r="G165" s="1" t="str">
        <f>tbl_model[[#This Row],[ProductID]] &amp; "-" &amp; tbl_model[[#This Row],[LocationID]]</f>
        <v>376-6</v>
      </c>
    </row>
    <row r="166" spans="1:7">
      <c r="A166">
        <v>376</v>
      </c>
      <c r="B166">
        <v>50</v>
      </c>
      <c r="C166" t="str">
        <f>_xlfn.XLOOKUP(tbl_model[[#This Row],[ProductID]],tbl_product[ProductID],tbl_product[ProductName],"UNMAPPED_PRODUCT")</f>
        <v>Hex Nut 6</v>
      </c>
      <c r="D166" t="str">
        <f>_xlfn.XLOOKUP(tbl_model[[#This Row],[ProductID]],tbl_product[ProductID],tbl_product[ProductNumber],"UNMAPPED_PRODUCT")</f>
        <v>HN-1032</v>
      </c>
      <c r="E166" t="str">
        <f>_xlfn.XLOOKUP(tbl_model[[#This Row],[LocationID]],tbl_location[LocationID],tbl_location[LocationName],"UNMAPPED_LOCATION")</f>
        <v>Subassembly</v>
      </c>
      <c r="F166">
        <v>547</v>
      </c>
      <c r="G166" s="1" t="str">
        <f>tbl_model[[#This Row],[ProductID]] &amp; "-" &amp; tbl_model[[#This Row],[LocationID]]</f>
        <v>376-50</v>
      </c>
    </row>
    <row r="167" spans="1:7">
      <c r="A167">
        <v>377</v>
      </c>
      <c r="B167">
        <v>1</v>
      </c>
      <c r="C167" t="str">
        <f>_xlfn.XLOOKUP(tbl_model[[#This Row],[ProductID]],tbl_product[ProductID],tbl_product[ProductName],"UNMAPPED_PRODUCT")</f>
        <v>Hex Nut 16</v>
      </c>
      <c r="D167" t="str">
        <f>_xlfn.XLOOKUP(tbl_model[[#This Row],[ProductID]],tbl_product[ProductID],tbl_product[ProductNumber],"UNMAPPED_PRODUCT")</f>
        <v>HN-1213</v>
      </c>
      <c r="E167" t="str">
        <f>_xlfn.XLOOKUP(tbl_model[[#This Row],[LocationID]],tbl_location[LocationID],tbl_location[LocationName],"UNMAPPED_LOCATION")</f>
        <v>Tool Crib</v>
      </c>
      <c r="F167">
        <v>249</v>
      </c>
      <c r="G167" s="1" t="str">
        <f>tbl_model[[#This Row],[ProductID]] &amp; "-" &amp; tbl_model[[#This Row],[LocationID]]</f>
        <v>377-1</v>
      </c>
    </row>
    <row r="168" spans="1:7">
      <c r="A168">
        <v>377</v>
      </c>
      <c r="B168">
        <v>6</v>
      </c>
      <c r="C168" t="str">
        <f>_xlfn.XLOOKUP(tbl_model[[#This Row],[ProductID]],tbl_product[ProductID],tbl_product[ProductName],"UNMAPPED_PRODUCT")</f>
        <v>Hex Nut 16</v>
      </c>
      <c r="D168" t="str">
        <f>_xlfn.XLOOKUP(tbl_model[[#This Row],[ProductID]],tbl_product[ProductID],tbl_product[ProductNumber],"UNMAPPED_PRODUCT")</f>
        <v>HN-1213</v>
      </c>
      <c r="E168" t="str">
        <f>_xlfn.XLOOKUP(tbl_model[[#This Row],[LocationID]],tbl_location[LocationID],tbl_location[LocationName],"UNMAPPED_LOCATION")</f>
        <v>Miscellaneous Storage</v>
      </c>
      <c r="F168">
        <v>299</v>
      </c>
      <c r="G168" s="1" t="str">
        <f>tbl_model[[#This Row],[ProductID]] &amp; "-" &amp; tbl_model[[#This Row],[LocationID]]</f>
        <v>377-6</v>
      </c>
    </row>
    <row r="169" spans="1:7">
      <c r="A169">
        <v>377</v>
      </c>
      <c r="B169">
        <v>50</v>
      </c>
      <c r="C169" t="str">
        <f>_xlfn.XLOOKUP(tbl_model[[#This Row],[ProductID]],tbl_product[ProductID],tbl_product[ProductName],"UNMAPPED_PRODUCT")</f>
        <v>Hex Nut 16</v>
      </c>
      <c r="D169" t="str">
        <f>_xlfn.XLOOKUP(tbl_model[[#This Row],[ProductID]],tbl_product[ProductID],tbl_product[ProductNumber],"UNMAPPED_PRODUCT")</f>
        <v>HN-1213</v>
      </c>
      <c r="E169" t="str">
        <f>_xlfn.XLOOKUP(tbl_model[[#This Row],[LocationID]],tbl_location[LocationID],tbl_location[LocationName],"UNMAPPED_LOCATION")</f>
        <v>Subassembly</v>
      </c>
      <c r="F169">
        <v>393</v>
      </c>
      <c r="G169" s="1" t="str">
        <f>tbl_model[[#This Row],[ProductID]] &amp; "-" &amp; tbl_model[[#This Row],[LocationID]]</f>
        <v>377-50</v>
      </c>
    </row>
    <row r="170" spans="1:7">
      <c r="A170">
        <v>378</v>
      </c>
      <c r="B170">
        <v>1</v>
      </c>
      <c r="C170" t="str">
        <f>_xlfn.XLOOKUP(tbl_model[[#This Row],[ProductID]],tbl_product[ProductID],tbl_product[ProductName],"UNMAPPED_PRODUCT")</f>
        <v>Hex Nut 17</v>
      </c>
      <c r="D170" t="str">
        <f>_xlfn.XLOOKUP(tbl_model[[#This Row],[ProductID]],tbl_product[ProductID],tbl_product[ProductNumber],"UNMAPPED_PRODUCT")</f>
        <v>HN-1220</v>
      </c>
      <c r="E170" t="str">
        <f>_xlfn.XLOOKUP(tbl_model[[#This Row],[LocationID]],tbl_location[LocationID],tbl_location[LocationName],"UNMAPPED_LOCATION")</f>
        <v>Tool Crib</v>
      </c>
      <c r="F170">
        <v>244</v>
      </c>
      <c r="G170" s="1" t="str">
        <f>tbl_model[[#This Row],[ProductID]] &amp; "-" &amp; tbl_model[[#This Row],[LocationID]]</f>
        <v>378-1</v>
      </c>
    </row>
    <row r="171" spans="1:7">
      <c r="A171">
        <v>378</v>
      </c>
      <c r="B171">
        <v>6</v>
      </c>
      <c r="C171" t="str">
        <f>_xlfn.XLOOKUP(tbl_model[[#This Row],[ProductID]],tbl_product[ProductID],tbl_product[ProductName],"UNMAPPED_PRODUCT")</f>
        <v>Hex Nut 17</v>
      </c>
      <c r="D171" t="str">
        <f>_xlfn.XLOOKUP(tbl_model[[#This Row],[ProductID]],tbl_product[ProductID],tbl_product[ProductNumber],"UNMAPPED_PRODUCT")</f>
        <v>HN-1220</v>
      </c>
      <c r="E171" t="str">
        <f>_xlfn.XLOOKUP(tbl_model[[#This Row],[LocationID]],tbl_location[LocationID],tbl_location[LocationName],"UNMAPPED_LOCATION")</f>
        <v>Miscellaneous Storage</v>
      </c>
      <c r="F171">
        <v>294</v>
      </c>
      <c r="G171" s="1" t="str">
        <f>tbl_model[[#This Row],[ProductID]] &amp; "-" &amp; tbl_model[[#This Row],[LocationID]]</f>
        <v>378-6</v>
      </c>
    </row>
    <row r="172" spans="1:7">
      <c r="A172">
        <v>378</v>
      </c>
      <c r="B172">
        <v>50</v>
      </c>
      <c r="C172" t="str">
        <f>_xlfn.XLOOKUP(tbl_model[[#This Row],[ProductID]],tbl_product[ProductID],tbl_product[ProductName],"UNMAPPED_PRODUCT")</f>
        <v>Hex Nut 17</v>
      </c>
      <c r="D172" t="str">
        <f>_xlfn.XLOOKUP(tbl_model[[#This Row],[ProductID]],tbl_product[ProductID],tbl_product[ProductNumber],"UNMAPPED_PRODUCT")</f>
        <v>HN-1220</v>
      </c>
      <c r="E172" t="str">
        <f>_xlfn.XLOOKUP(tbl_model[[#This Row],[LocationID]],tbl_location[LocationID],tbl_location[LocationName],"UNMAPPED_LOCATION")</f>
        <v>Subassembly</v>
      </c>
      <c r="F172">
        <v>388</v>
      </c>
      <c r="G172" s="1" t="str">
        <f>tbl_model[[#This Row],[ProductID]] &amp; "-" &amp; tbl_model[[#This Row],[LocationID]]</f>
        <v>378-50</v>
      </c>
    </row>
    <row r="173" spans="1:7">
      <c r="A173">
        <v>379</v>
      </c>
      <c r="B173">
        <v>1</v>
      </c>
      <c r="C173" t="str">
        <f>_xlfn.XLOOKUP(tbl_model[[#This Row],[ProductID]],tbl_product[ProductID],tbl_product[ProductName],"UNMAPPED_PRODUCT")</f>
        <v>Hex Nut 7</v>
      </c>
      <c r="D173" t="str">
        <f>_xlfn.XLOOKUP(tbl_model[[#This Row],[ProductID]],tbl_product[ProductID],tbl_product[ProductNumber],"UNMAPPED_PRODUCT")</f>
        <v>HN-1224</v>
      </c>
      <c r="E173" t="str">
        <f>_xlfn.XLOOKUP(tbl_model[[#This Row],[LocationID]],tbl_location[LocationID],tbl_location[LocationName],"UNMAPPED_LOCATION")</f>
        <v>Tool Crib</v>
      </c>
      <c r="F173">
        <v>323</v>
      </c>
      <c r="G173" s="1" t="str">
        <f>tbl_model[[#This Row],[ProductID]] &amp; "-" &amp; tbl_model[[#This Row],[LocationID]]</f>
        <v>379-1</v>
      </c>
    </row>
    <row r="174" spans="1:7">
      <c r="A174">
        <v>379</v>
      </c>
      <c r="B174">
        <v>6</v>
      </c>
      <c r="C174" t="str">
        <f>_xlfn.XLOOKUP(tbl_model[[#This Row],[ProductID]],tbl_product[ProductID],tbl_product[ProductName],"UNMAPPED_PRODUCT")</f>
        <v>Hex Nut 7</v>
      </c>
      <c r="D174" t="str">
        <f>_xlfn.XLOOKUP(tbl_model[[#This Row],[ProductID]],tbl_product[ProductID],tbl_product[ProductNumber],"UNMAPPED_PRODUCT")</f>
        <v>HN-1224</v>
      </c>
      <c r="E174" t="str">
        <f>_xlfn.XLOOKUP(tbl_model[[#This Row],[LocationID]],tbl_location[LocationID],tbl_location[LocationName],"UNMAPPED_LOCATION")</f>
        <v>Miscellaneous Storage</v>
      </c>
      <c r="F174">
        <v>897</v>
      </c>
      <c r="G174" s="1" t="str">
        <f>tbl_model[[#This Row],[ProductID]] &amp; "-" &amp; tbl_model[[#This Row],[LocationID]]</f>
        <v>379-6</v>
      </c>
    </row>
    <row r="175" spans="1:7">
      <c r="A175">
        <v>379</v>
      </c>
      <c r="B175">
        <v>50</v>
      </c>
      <c r="C175" t="str">
        <f>_xlfn.XLOOKUP(tbl_model[[#This Row],[ProductID]],tbl_product[ProductID],tbl_product[ProductName],"UNMAPPED_PRODUCT")</f>
        <v>Hex Nut 7</v>
      </c>
      <c r="D175" t="str">
        <f>_xlfn.XLOOKUP(tbl_model[[#This Row],[ProductID]],tbl_product[ProductID],tbl_product[ProductNumber],"UNMAPPED_PRODUCT")</f>
        <v>HN-1224</v>
      </c>
      <c r="E175" t="str">
        <f>_xlfn.XLOOKUP(tbl_model[[#This Row],[LocationID]],tbl_location[LocationID],tbl_location[LocationName],"UNMAPPED_LOCATION")</f>
        <v>Subassembly</v>
      </c>
      <c r="F175">
        <v>691</v>
      </c>
      <c r="G175" s="1" t="str">
        <f>tbl_model[[#This Row],[ProductID]] &amp; "-" &amp; tbl_model[[#This Row],[LocationID]]</f>
        <v>379-50</v>
      </c>
    </row>
    <row r="176" spans="1:7">
      <c r="A176">
        <v>380</v>
      </c>
      <c r="B176">
        <v>1</v>
      </c>
      <c r="C176" t="str">
        <f>_xlfn.XLOOKUP(tbl_model[[#This Row],[ProductID]],tbl_product[ProductID],tbl_product[ProductName],"UNMAPPED_PRODUCT")</f>
        <v>Hex Nut 8</v>
      </c>
      <c r="D176" t="str">
        <f>_xlfn.XLOOKUP(tbl_model[[#This Row],[ProductID]],tbl_product[ProductID],tbl_product[ProductNumber],"UNMAPPED_PRODUCT")</f>
        <v>HN-1420</v>
      </c>
      <c r="E176" t="str">
        <f>_xlfn.XLOOKUP(tbl_model[[#This Row],[LocationID]],tbl_location[LocationID],tbl_location[LocationName],"UNMAPPED_LOCATION")</f>
        <v>Tool Crib</v>
      </c>
      <c r="F176">
        <v>156</v>
      </c>
      <c r="G176" s="1" t="str">
        <f>tbl_model[[#This Row],[ProductID]] &amp; "-" &amp; tbl_model[[#This Row],[LocationID]]</f>
        <v>380-1</v>
      </c>
    </row>
    <row r="177" spans="1:7">
      <c r="A177">
        <v>380</v>
      </c>
      <c r="B177">
        <v>6</v>
      </c>
      <c r="C177" t="str">
        <f>_xlfn.XLOOKUP(tbl_model[[#This Row],[ProductID]],tbl_product[ProductID],tbl_product[ProductName],"UNMAPPED_PRODUCT")</f>
        <v>Hex Nut 8</v>
      </c>
      <c r="D177" t="str">
        <f>_xlfn.XLOOKUP(tbl_model[[#This Row],[ProductID]],tbl_product[ProductID],tbl_product[ProductNumber],"UNMAPPED_PRODUCT")</f>
        <v>HN-1420</v>
      </c>
      <c r="E177" t="str">
        <f>_xlfn.XLOOKUP(tbl_model[[#This Row],[LocationID]],tbl_location[LocationID],tbl_location[LocationName],"UNMAPPED_LOCATION")</f>
        <v>Miscellaneous Storage</v>
      </c>
      <c r="F177">
        <v>264</v>
      </c>
      <c r="G177" s="1" t="str">
        <f>tbl_model[[#This Row],[ProductID]] &amp; "-" &amp; tbl_model[[#This Row],[LocationID]]</f>
        <v>380-6</v>
      </c>
    </row>
    <row r="178" spans="1:7">
      <c r="A178">
        <v>380</v>
      </c>
      <c r="B178">
        <v>50</v>
      </c>
      <c r="C178" t="str">
        <f>_xlfn.XLOOKUP(tbl_model[[#This Row],[ProductID]],tbl_product[ProductID],tbl_product[ProductName],"UNMAPPED_PRODUCT")</f>
        <v>Hex Nut 8</v>
      </c>
      <c r="D178" t="str">
        <f>_xlfn.XLOOKUP(tbl_model[[#This Row],[ProductID]],tbl_product[ProductID],tbl_product[ProductNumber],"UNMAPPED_PRODUCT")</f>
        <v>HN-1420</v>
      </c>
      <c r="E178" t="str">
        <f>_xlfn.XLOOKUP(tbl_model[[#This Row],[LocationID]],tbl_location[LocationID],tbl_location[LocationName],"UNMAPPED_LOCATION")</f>
        <v>Subassembly</v>
      </c>
      <c r="F178">
        <v>350</v>
      </c>
      <c r="G178" s="1" t="str">
        <f>tbl_model[[#This Row],[ProductID]] &amp; "-" &amp; tbl_model[[#This Row],[LocationID]]</f>
        <v>380-50</v>
      </c>
    </row>
    <row r="179" spans="1:7">
      <c r="A179">
        <v>381</v>
      </c>
      <c r="B179">
        <v>1</v>
      </c>
      <c r="C179" t="str">
        <f>_xlfn.XLOOKUP(tbl_model[[#This Row],[ProductID]],tbl_product[ProductID],tbl_product[ProductName],"UNMAPPED_PRODUCT")</f>
        <v>Hex Nut 9</v>
      </c>
      <c r="D179" t="str">
        <f>_xlfn.XLOOKUP(tbl_model[[#This Row],[ProductID]],tbl_product[ProductID],tbl_product[ProductNumber],"UNMAPPED_PRODUCT")</f>
        <v>HN-1428</v>
      </c>
      <c r="E179" t="str">
        <f>_xlfn.XLOOKUP(tbl_model[[#This Row],[LocationID]],tbl_location[LocationID],tbl_location[LocationName],"UNMAPPED_LOCATION")</f>
        <v>Tool Crib</v>
      </c>
      <c r="F179">
        <v>163</v>
      </c>
      <c r="G179" s="1" t="str">
        <f>tbl_model[[#This Row],[ProductID]] &amp; "-" &amp; tbl_model[[#This Row],[LocationID]]</f>
        <v>381-1</v>
      </c>
    </row>
    <row r="180" spans="1:7">
      <c r="A180">
        <v>381</v>
      </c>
      <c r="B180">
        <v>6</v>
      </c>
      <c r="C180" t="str">
        <f>_xlfn.XLOOKUP(tbl_model[[#This Row],[ProductID]],tbl_product[ProductID],tbl_product[ProductName],"UNMAPPED_PRODUCT")</f>
        <v>Hex Nut 9</v>
      </c>
      <c r="D180" t="str">
        <f>_xlfn.XLOOKUP(tbl_model[[#This Row],[ProductID]],tbl_product[ProductID],tbl_product[ProductNumber],"UNMAPPED_PRODUCT")</f>
        <v>HN-1428</v>
      </c>
      <c r="E180" t="str">
        <f>_xlfn.XLOOKUP(tbl_model[[#This Row],[LocationID]],tbl_location[LocationID],tbl_location[LocationName],"UNMAPPED_LOCATION")</f>
        <v>Miscellaneous Storage</v>
      </c>
      <c r="F180">
        <v>270</v>
      </c>
      <c r="G180" s="1" t="str">
        <f>tbl_model[[#This Row],[ProductID]] &amp; "-" &amp; tbl_model[[#This Row],[LocationID]]</f>
        <v>381-6</v>
      </c>
    </row>
    <row r="181" spans="1:7">
      <c r="A181">
        <v>381</v>
      </c>
      <c r="B181">
        <v>50</v>
      </c>
      <c r="C181" t="str">
        <f>_xlfn.XLOOKUP(tbl_model[[#This Row],[ProductID]],tbl_product[ProductID],tbl_product[ProductName],"UNMAPPED_PRODUCT")</f>
        <v>Hex Nut 9</v>
      </c>
      <c r="D181" t="str">
        <f>_xlfn.XLOOKUP(tbl_model[[#This Row],[ProductID]],tbl_product[ProductID],tbl_product[ProductNumber],"UNMAPPED_PRODUCT")</f>
        <v>HN-1428</v>
      </c>
      <c r="E181" t="str">
        <f>_xlfn.XLOOKUP(tbl_model[[#This Row],[LocationID]],tbl_location[LocationID],tbl_location[LocationName],"UNMAPPED_LOCATION")</f>
        <v>Subassembly</v>
      </c>
      <c r="F181">
        <v>356</v>
      </c>
      <c r="G181" s="1" t="str">
        <f>tbl_model[[#This Row],[ProductID]] &amp; "-" &amp; tbl_model[[#This Row],[LocationID]]</f>
        <v>381-50</v>
      </c>
    </row>
    <row r="182" spans="1:7">
      <c r="A182">
        <v>382</v>
      </c>
      <c r="B182">
        <v>1</v>
      </c>
      <c r="C182" t="str">
        <f>_xlfn.XLOOKUP(tbl_model[[#This Row],[ProductID]],tbl_product[ProductID],tbl_product[ProductName],"UNMAPPED_PRODUCT")</f>
        <v>Hex Nut 22</v>
      </c>
      <c r="D182" t="str">
        <f>_xlfn.XLOOKUP(tbl_model[[#This Row],[ProductID]],tbl_product[ProductID],tbl_product[ProductNumber],"UNMAPPED_PRODUCT")</f>
        <v>HN-3410</v>
      </c>
      <c r="E182" t="str">
        <f>_xlfn.XLOOKUP(tbl_model[[#This Row],[LocationID]],tbl_location[LocationID],tbl_location[LocationName],"UNMAPPED_LOCATION")</f>
        <v>Tool Crib</v>
      </c>
      <c r="F182">
        <v>169</v>
      </c>
      <c r="G182" s="1" t="str">
        <f>tbl_model[[#This Row],[ProductID]] &amp; "-" &amp; tbl_model[[#This Row],[LocationID]]</f>
        <v>382-1</v>
      </c>
    </row>
    <row r="183" spans="1:7">
      <c r="A183">
        <v>382</v>
      </c>
      <c r="B183">
        <v>6</v>
      </c>
      <c r="C183" t="str">
        <f>_xlfn.XLOOKUP(tbl_model[[#This Row],[ProductID]],tbl_product[ProductID],tbl_product[ProductName],"UNMAPPED_PRODUCT")</f>
        <v>Hex Nut 22</v>
      </c>
      <c r="D183" t="str">
        <f>_xlfn.XLOOKUP(tbl_model[[#This Row],[ProductID]],tbl_product[ProductID],tbl_product[ProductNumber],"UNMAPPED_PRODUCT")</f>
        <v>HN-3410</v>
      </c>
      <c r="E183" t="str">
        <f>_xlfn.XLOOKUP(tbl_model[[#This Row],[LocationID]],tbl_location[LocationID],tbl_location[LocationName],"UNMAPPED_LOCATION")</f>
        <v>Miscellaneous Storage</v>
      </c>
      <c r="F183">
        <v>276</v>
      </c>
      <c r="G183" s="1" t="str">
        <f>tbl_model[[#This Row],[ProductID]] &amp; "-" &amp; tbl_model[[#This Row],[LocationID]]</f>
        <v>382-6</v>
      </c>
    </row>
    <row r="184" spans="1:7">
      <c r="A184">
        <v>382</v>
      </c>
      <c r="B184">
        <v>50</v>
      </c>
      <c r="C184" t="str">
        <f>_xlfn.XLOOKUP(tbl_model[[#This Row],[ProductID]],tbl_product[ProductID],tbl_product[ProductName],"UNMAPPED_PRODUCT")</f>
        <v>Hex Nut 22</v>
      </c>
      <c r="D184" t="str">
        <f>_xlfn.XLOOKUP(tbl_model[[#This Row],[ProductID]],tbl_product[ProductID],tbl_product[ProductNumber],"UNMAPPED_PRODUCT")</f>
        <v>HN-3410</v>
      </c>
      <c r="E184" t="str">
        <f>_xlfn.XLOOKUP(tbl_model[[#This Row],[LocationID]],tbl_location[LocationID],tbl_location[LocationName],"UNMAPPED_LOCATION")</f>
        <v>Subassembly</v>
      </c>
      <c r="F184">
        <v>363</v>
      </c>
      <c r="G184" s="1" t="str">
        <f>tbl_model[[#This Row],[ProductID]] &amp; "-" &amp; tbl_model[[#This Row],[LocationID]]</f>
        <v>382-50</v>
      </c>
    </row>
    <row r="185" spans="1:7">
      <c r="A185">
        <v>383</v>
      </c>
      <c r="B185">
        <v>1</v>
      </c>
      <c r="C185" t="str">
        <f>_xlfn.XLOOKUP(tbl_model[[#This Row],[ProductID]],tbl_product[ProductID],tbl_product[ProductName],"UNMAPPED_PRODUCT")</f>
        <v>Hex Nut 23</v>
      </c>
      <c r="D185" t="str">
        <f>_xlfn.XLOOKUP(tbl_model[[#This Row],[ProductID]],tbl_product[ProductID],tbl_product[ProductNumber],"UNMAPPED_PRODUCT")</f>
        <v>HN-3416</v>
      </c>
      <c r="E185" t="str">
        <f>_xlfn.XLOOKUP(tbl_model[[#This Row],[LocationID]],tbl_location[LocationID],tbl_location[LocationName],"UNMAPPED_LOCATION")</f>
        <v>Tool Crib</v>
      </c>
      <c r="F185">
        <v>587</v>
      </c>
      <c r="G185" s="1" t="str">
        <f>tbl_model[[#This Row],[ProductID]] &amp; "-" &amp; tbl_model[[#This Row],[LocationID]]</f>
        <v>383-1</v>
      </c>
    </row>
    <row r="186" spans="1:7">
      <c r="A186">
        <v>383</v>
      </c>
      <c r="B186">
        <v>6</v>
      </c>
      <c r="C186" t="str">
        <f>_xlfn.XLOOKUP(tbl_model[[#This Row],[ProductID]],tbl_product[ProductID],tbl_product[ProductName],"UNMAPPED_PRODUCT")</f>
        <v>Hex Nut 23</v>
      </c>
      <c r="D186" t="str">
        <f>_xlfn.XLOOKUP(tbl_model[[#This Row],[ProductID]],tbl_product[ProductID],tbl_product[ProductNumber],"UNMAPPED_PRODUCT")</f>
        <v>HN-3416</v>
      </c>
      <c r="E186" t="str">
        <f>_xlfn.XLOOKUP(tbl_model[[#This Row],[LocationID]],tbl_location[LocationID],tbl_location[LocationName],"UNMAPPED_LOCATION")</f>
        <v>Miscellaneous Storage</v>
      </c>
      <c r="F186">
        <v>676</v>
      </c>
      <c r="G186" s="1" t="str">
        <f>tbl_model[[#This Row],[ProductID]] &amp; "-" &amp; tbl_model[[#This Row],[LocationID]]</f>
        <v>383-6</v>
      </c>
    </row>
    <row r="187" spans="1:7">
      <c r="A187">
        <v>383</v>
      </c>
      <c r="B187">
        <v>50</v>
      </c>
      <c r="C187" t="str">
        <f>_xlfn.XLOOKUP(tbl_model[[#This Row],[ProductID]],tbl_product[ProductID],tbl_product[ProductName],"UNMAPPED_PRODUCT")</f>
        <v>Hex Nut 23</v>
      </c>
      <c r="D187" t="str">
        <f>_xlfn.XLOOKUP(tbl_model[[#This Row],[ProductID]],tbl_product[ProductID],tbl_product[ProductNumber],"UNMAPPED_PRODUCT")</f>
        <v>HN-3416</v>
      </c>
      <c r="E187" t="str">
        <f>_xlfn.XLOOKUP(tbl_model[[#This Row],[LocationID]],tbl_location[LocationID],tbl_location[LocationName],"UNMAPPED_LOCATION")</f>
        <v>Subassembly</v>
      </c>
      <c r="F187">
        <v>638</v>
      </c>
      <c r="G187" s="1" t="str">
        <f>tbl_model[[#This Row],[ProductID]] &amp; "-" &amp; tbl_model[[#This Row],[LocationID]]</f>
        <v>383-50</v>
      </c>
    </row>
    <row r="188" spans="1:7">
      <c r="A188">
        <v>384</v>
      </c>
      <c r="B188">
        <v>1</v>
      </c>
      <c r="C188" t="str">
        <f>_xlfn.XLOOKUP(tbl_model[[#This Row],[ProductID]],tbl_product[ProductID],tbl_product[ProductName],"UNMAPPED_PRODUCT")</f>
        <v>Hex Nut 12</v>
      </c>
      <c r="D188" t="str">
        <f>_xlfn.XLOOKUP(tbl_model[[#This Row],[ProductID]],tbl_product[ProductID],tbl_product[ProductNumber],"UNMAPPED_PRODUCT")</f>
        <v>HN-3816</v>
      </c>
      <c r="E188" t="str">
        <f>_xlfn.XLOOKUP(tbl_model[[#This Row],[LocationID]],tbl_location[LocationID],tbl_location[LocationName],"UNMAPPED_LOCATION")</f>
        <v>Tool Crib</v>
      </c>
      <c r="F188">
        <v>299</v>
      </c>
      <c r="G188" s="1" t="str">
        <f>tbl_model[[#This Row],[ProductID]] &amp; "-" &amp; tbl_model[[#This Row],[LocationID]]</f>
        <v>384-1</v>
      </c>
    </row>
    <row r="189" spans="1:7">
      <c r="A189">
        <v>384</v>
      </c>
      <c r="B189">
        <v>6</v>
      </c>
      <c r="C189" t="str">
        <f>_xlfn.XLOOKUP(tbl_model[[#This Row],[ProductID]],tbl_product[ProductID],tbl_product[ProductName],"UNMAPPED_PRODUCT")</f>
        <v>Hex Nut 12</v>
      </c>
      <c r="D189" t="str">
        <f>_xlfn.XLOOKUP(tbl_model[[#This Row],[ProductID]],tbl_product[ProductID],tbl_product[ProductNumber],"UNMAPPED_PRODUCT")</f>
        <v>HN-3816</v>
      </c>
      <c r="E189" t="str">
        <f>_xlfn.XLOOKUP(tbl_model[[#This Row],[LocationID]],tbl_location[LocationID],tbl_location[LocationName],"UNMAPPED_LOCATION")</f>
        <v>Miscellaneous Storage</v>
      </c>
      <c r="F189">
        <v>217</v>
      </c>
      <c r="G189" s="1" t="str">
        <f>tbl_model[[#This Row],[ProductID]] &amp; "-" &amp; tbl_model[[#This Row],[LocationID]]</f>
        <v>384-6</v>
      </c>
    </row>
    <row r="190" spans="1:7">
      <c r="A190">
        <v>384</v>
      </c>
      <c r="B190">
        <v>50</v>
      </c>
      <c r="C190" t="str">
        <f>_xlfn.XLOOKUP(tbl_model[[#This Row],[ProductID]],tbl_product[ProductID],tbl_product[ProductName],"UNMAPPED_PRODUCT")</f>
        <v>Hex Nut 12</v>
      </c>
      <c r="D190" t="str">
        <f>_xlfn.XLOOKUP(tbl_model[[#This Row],[ProductID]],tbl_product[ProductID],tbl_product[ProductNumber],"UNMAPPED_PRODUCT")</f>
        <v>HN-3816</v>
      </c>
      <c r="E190" t="str">
        <f>_xlfn.XLOOKUP(tbl_model[[#This Row],[LocationID]],tbl_location[LocationID],tbl_location[LocationName],"UNMAPPED_LOCATION")</f>
        <v>Subassembly</v>
      </c>
      <c r="F190">
        <v>304</v>
      </c>
      <c r="G190" s="1" t="str">
        <f>tbl_model[[#This Row],[ProductID]] &amp; "-" &amp; tbl_model[[#This Row],[LocationID]]</f>
        <v>384-50</v>
      </c>
    </row>
    <row r="191" spans="1:7">
      <c r="A191">
        <v>385</v>
      </c>
      <c r="B191">
        <v>1</v>
      </c>
      <c r="C191" t="str">
        <f>_xlfn.XLOOKUP(tbl_model[[#This Row],[ProductID]],tbl_product[ProductID],tbl_product[ProductName],"UNMAPPED_PRODUCT")</f>
        <v>Hex Nut 13</v>
      </c>
      <c r="D191" t="str">
        <f>_xlfn.XLOOKUP(tbl_model[[#This Row],[ProductID]],tbl_product[ProductID],tbl_product[ProductNumber],"UNMAPPED_PRODUCT")</f>
        <v>HN-3824</v>
      </c>
      <c r="E191" t="str">
        <f>_xlfn.XLOOKUP(tbl_model[[#This Row],[LocationID]],tbl_location[LocationID],tbl_location[LocationName],"UNMAPPED_LOCATION")</f>
        <v>Tool Crib</v>
      </c>
      <c r="F191">
        <v>619</v>
      </c>
      <c r="G191" s="1" t="str">
        <f>tbl_model[[#This Row],[ProductID]] &amp; "-" &amp; tbl_model[[#This Row],[LocationID]]</f>
        <v>385-1</v>
      </c>
    </row>
    <row r="192" spans="1:7">
      <c r="A192">
        <v>385</v>
      </c>
      <c r="B192">
        <v>6</v>
      </c>
      <c r="C192" t="str">
        <f>_xlfn.XLOOKUP(tbl_model[[#This Row],[ProductID]],tbl_product[ProductID],tbl_product[ProductName],"UNMAPPED_PRODUCT")</f>
        <v>Hex Nut 13</v>
      </c>
      <c r="D192" t="str">
        <f>_xlfn.XLOOKUP(tbl_model[[#This Row],[ProductID]],tbl_product[ProductID],tbl_product[ProductNumber],"UNMAPPED_PRODUCT")</f>
        <v>HN-3824</v>
      </c>
      <c r="E192" t="str">
        <f>_xlfn.XLOOKUP(tbl_model[[#This Row],[LocationID]],tbl_location[LocationID],tbl_location[LocationName],"UNMAPPED_LOCATION")</f>
        <v>Miscellaneous Storage</v>
      </c>
      <c r="F192">
        <v>526</v>
      </c>
      <c r="G192" s="1" t="str">
        <f>tbl_model[[#This Row],[ProductID]] &amp; "-" &amp; tbl_model[[#This Row],[LocationID]]</f>
        <v>385-6</v>
      </c>
    </row>
    <row r="193" spans="1:7">
      <c r="A193">
        <v>385</v>
      </c>
      <c r="B193">
        <v>50</v>
      </c>
      <c r="C193" t="str">
        <f>_xlfn.XLOOKUP(tbl_model[[#This Row],[ProductID]],tbl_product[ProductID],tbl_product[ProductName],"UNMAPPED_PRODUCT")</f>
        <v>Hex Nut 13</v>
      </c>
      <c r="D193" t="str">
        <f>_xlfn.XLOOKUP(tbl_model[[#This Row],[ProductID]],tbl_product[ProductID],tbl_product[ProductNumber],"UNMAPPED_PRODUCT")</f>
        <v>HN-3824</v>
      </c>
      <c r="E193" t="str">
        <f>_xlfn.XLOOKUP(tbl_model[[#This Row],[LocationID]],tbl_location[LocationID],tbl_location[LocationName],"UNMAPPED_LOCATION")</f>
        <v>Subassembly</v>
      </c>
      <c r="F193">
        <v>633</v>
      </c>
      <c r="G193" s="1" t="str">
        <f>tbl_model[[#This Row],[ProductID]] &amp; "-" &amp; tbl_model[[#This Row],[LocationID]]</f>
        <v>385-50</v>
      </c>
    </row>
    <row r="194" spans="1:7">
      <c r="A194">
        <v>386</v>
      </c>
      <c r="B194">
        <v>1</v>
      </c>
      <c r="C194" t="str">
        <f>_xlfn.XLOOKUP(tbl_model[[#This Row],[ProductID]],tbl_product[ProductID],tbl_product[ProductName],"UNMAPPED_PRODUCT")</f>
        <v>Hex Nut 1</v>
      </c>
      <c r="D194" t="str">
        <f>_xlfn.XLOOKUP(tbl_model[[#This Row],[ProductID]],tbl_product[ProductID],tbl_product[ProductNumber],"UNMAPPED_PRODUCT")</f>
        <v>HN-4402</v>
      </c>
      <c r="E194" t="str">
        <f>_xlfn.XLOOKUP(tbl_model[[#This Row],[LocationID]],tbl_location[LocationID],tbl_location[LocationName],"UNMAPPED_LOCATION")</f>
        <v>Tool Crib</v>
      </c>
      <c r="F194">
        <v>148</v>
      </c>
      <c r="G194" s="1" t="str">
        <f>tbl_model[[#This Row],[ProductID]] &amp; "-" &amp; tbl_model[[#This Row],[LocationID]]</f>
        <v>386-1</v>
      </c>
    </row>
    <row r="195" spans="1:7">
      <c r="A195">
        <v>386</v>
      </c>
      <c r="B195">
        <v>6</v>
      </c>
      <c r="C195" t="str">
        <f>_xlfn.XLOOKUP(tbl_model[[#This Row],[ProductID]],tbl_product[ProductID],tbl_product[ProductName],"UNMAPPED_PRODUCT")</f>
        <v>Hex Nut 1</v>
      </c>
      <c r="D195" t="str">
        <f>_xlfn.XLOOKUP(tbl_model[[#This Row],[ProductID]],tbl_product[ProductID],tbl_product[ProductNumber],"UNMAPPED_PRODUCT")</f>
        <v>HN-4402</v>
      </c>
      <c r="E195" t="str">
        <f>_xlfn.XLOOKUP(tbl_model[[#This Row],[LocationID]],tbl_location[LocationID],tbl_location[LocationName],"UNMAPPED_LOCATION")</f>
        <v>Miscellaneous Storage</v>
      </c>
      <c r="F195">
        <v>192</v>
      </c>
      <c r="G195" s="1" t="str">
        <f>tbl_model[[#This Row],[ProductID]] &amp; "-" &amp; tbl_model[[#This Row],[LocationID]]</f>
        <v>386-6</v>
      </c>
    </row>
    <row r="196" spans="1:7">
      <c r="A196">
        <v>386</v>
      </c>
      <c r="B196">
        <v>50</v>
      </c>
      <c r="C196" t="str">
        <f>_xlfn.XLOOKUP(tbl_model[[#This Row],[ProductID]],tbl_product[ProductID],tbl_product[ProductName],"UNMAPPED_PRODUCT")</f>
        <v>Hex Nut 1</v>
      </c>
      <c r="D196" t="str">
        <f>_xlfn.XLOOKUP(tbl_model[[#This Row],[ProductID]],tbl_product[ProductID],tbl_product[ProductNumber],"UNMAPPED_PRODUCT")</f>
        <v>HN-4402</v>
      </c>
      <c r="E196" t="str">
        <f>_xlfn.XLOOKUP(tbl_model[[#This Row],[LocationID]],tbl_location[LocationID],tbl_location[LocationName],"UNMAPPED_LOCATION")</f>
        <v>Subassembly</v>
      </c>
      <c r="F196">
        <v>385</v>
      </c>
      <c r="G196" s="1" t="str">
        <f>tbl_model[[#This Row],[ProductID]] &amp; "-" &amp; tbl_model[[#This Row],[LocationID]]</f>
        <v>386-50</v>
      </c>
    </row>
    <row r="197" spans="1:7">
      <c r="A197">
        <v>387</v>
      </c>
      <c r="B197">
        <v>1</v>
      </c>
      <c r="C197" t="str">
        <f>_xlfn.XLOOKUP(tbl_model[[#This Row],[ProductID]],tbl_product[ProductID],tbl_product[ProductName],"UNMAPPED_PRODUCT")</f>
        <v>Hex Nut 10</v>
      </c>
      <c r="D197" t="str">
        <f>_xlfn.XLOOKUP(tbl_model[[#This Row],[ProductID]],tbl_product[ProductID],tbl_product[ProductNumber],"UNMAPPED_PRODUCT")</f>
        <v>HN-5161</v>
      </c>
      <c r="E197" t="str">
        <f>_xlfn.XLOOKUP(tbl_model[[#This Row],[LocationID]],tbl_location[LocationID],tbl_location[LocationName],"UNMAPPED_LOCATION")</f>
        <v>Tool Crib</v>
      </c>
      <c r="F197">
        <v>524</v>
      </c>
      <c r="G197" s="1" t="str">
        <f>tbl_model[[#This Row],[ProductID]] &amp; "-" &amp; tbl_model[[#This Row],[LocationID]]</f>
        <v>387-1</v>
      </c>
    </row>
    <row r="198" spans="1:7">
      <c r="A198">
        <v>387</v>
      </c>
      <c r="B198">
        <v>6</v>
      </c>
      <c r="C198" t="str">
        <f>_xlfn.XLOOKUP(tbl_model[[#This Row],[ProductID]],tbl_product[ProductID],tbl_product[ProductName],"UNMAPPED_PRODUCT")</f>
        <v>Hex Nut 10</v>
      </c>
      <c r="D198" t="str">
        <f>_xlfn.XLOOKUP(tbl_model[[#This Row],[ProductID]],tbl_product[ProductID],tbl_product[ProductNumber],"UNMAPPED_PRODUCT")</f>
        <v>HN-5161</v>
      </c>
      <c r="E198" t="str">
        <f>_xlfn.XLOOKUP(tbl_model[[#This Row],[LocationID]],tbl_location[LocationID],tbl_location[LocationName],"UNMAPPED_LOCATION")</f>
        <v>Miscellaneous Storage</v>
      </c>
      <c r="F198">
        <v>710</v>
      </c>
      <c r="G198" s="1" t="str">
        <f>tbl_model[[#This Row],[ProductID]] &amp; "-" &amp; tbl_model[[#This Row],[LocationID]]</f>
        <v>387-6</v>
      </c>
    </row>
    <row r="199" spans="1:7">
      <c r="A199">
        <v>387</v>
      </c>
      <c r="B199">
        <v>50</v>
      </c>
      <c r="C199" t="str">
        <f>_xlfn.XLOOKUP(tbl_model[[#This Row],[ProductID]],tbl_product[ProductID],tbl_product[ProductName],"UNMAPPED_PRODUCT")</f>
        <v>Hex Nut 10</v>
      </c>
      <c r="D199" t="str">
        <f>_xlfn.XLOOKUP(tbl_model[[#This Row],[ProductID]],tbl_product[ProductID],tbl_product[ProductNumber],"UNMAPPED_PRODUCT")</f>
        <v>HN-5161</v>
      </c>
      <c r="E199" t="str">
        <f>_xlfn.XLOOKUP(tbl_model[[#This Row],[LocationID]],tbl_location[LocationID],tbl_location[LocationName],"UNMAPPED_LOCATION")</f>
        <v>Subassembly</v>
      </c>
      <c r="F199">
        <v>654</v>
      </c>
      <c r="G199" s="1" t="str">
        <f>tbl_model[[#This Row],[ProductID]] &amp; "-" &amp; tbl_model[[#This Row],[LocationID]]</f>
        <v>387-50</v>
      </c>
    </row>
    <row r="200" spans="1:7">
      <c r="A200">
        <v>388</v>
      </c>
      <c r="B200">
        <v>1</v>
      </c>
      <c r="C200" t="str">
        <f>_xlfn.XLOOKUP(tbl_model[[#This Row],[ProductID]],tbl_product[ProductID],tbl_product[ProductName],"UNMAPPED_PRODUCT")</f>
        <v>Hex Nut 11</v>
      </c>
      <c r="D200" t="str">
        <f>_xlfn.XLOOKUP(tbl_model[[#This Row],[ProductID]],tbl_product[ProductID],tbl_product[ProductNumber],"UNMAPPED_PRODUCT")</f>
        <v>HN-5162</v>
      </c>
      <c r="E200" t="str">
        <f>_xlfn.XLOOKUP(tbl_model[[#This Row],[LocationID]],tbl_location[LocationID],tbl_location[LocationName],"UNMAPPED_LOCATION")</f>
        <v>Tool Crib</v>
      </c>
      <c r="F200">
        <v>292</v>
      </c>
      <c r="G200" s="1" t="str">
        <f>tbl_model[[#This Row],[ProductID]] &amp; "-" &amp; tbl_model[[#This Row],[LocationID]]</f>
        <v>388-1</v>
      </c>
    </row>
    <row r="201" spans="1:7">
      <c r="A201">
        <v>388</v>
      </c>
      <c r="B201">
        <v>6</v>
      </c>
      <c r="C201" t="str">
        <f>_xlfn.XLOOKUP(tbl_model[[#This Row],[ProductID]],tbl_product[ProductID],tbl_product[ProductName],"UNMAPPED_PRODUCT")</f>
        <v>Hex Nut 11</v>
      </c>
      <c r="D201" t="str">
        <f>_xlfn.XLOOKUP(tbl_model[[#This Row],[ProductID]],tbl_product[ProductID],tbl_product[ProductNumber],"UNMAPPED_PRODUCT")</f>
        <v>HN-5162</v>
      </c>
      <c r="E201" t="str">
        <f>_xlfn.XLOOKUP(tbl_model[[#This Row],[LocationID]],tbl_location[LocationID],tbl_location[LocationName],"UNMAPPED_LOCATION")</f>
        <v>Miscellaneous Storage</v>
      </c>
      <c r="F201">
        <v>140</v>
      </c>
      <c r="G201" s="1" t="str">
        <f>tbl_model[[#This Row],[ProductID]] &amp; "-" &amp; tbl_model[[#This Row],[LocationID]]</f>
        <v>388-6</v>
      </c>
    </row>
    <row r="202" spans="1:7">
      <c r="A202">
        <v>388</v>
      </c>
      <c r="B202">
        <v>50</v>
      </c>
      <c r="C202" t="str">
        <f>_xlfn.XLOOKUP(tbl_model[[#This Row],[ProductID]],tbl_product[ProductID],tbl_product[ProductName],"UNMAPPED_PRODUCT")</f>
        <v>Hex Nut 11</v>
      </c>
      <c r="D202" t="str">
        <f>_xlfn.XLOOKUP(tbl_model[[#This Row],[ProductID]],tbl_product[ProductID],tbl_product[ProductNumber],"UNMAPPED_PRODUCT")</f>
        <v>HN-5162</v>
      </c>
      <c r="E202" t="str">
        <f>_xlfn.XLOOKUP(tbl_model[[#This Row],[LocationID]],tbl_location[LocationID],tbl_location[LocationName],"UNMAPPED_LOCATION")</f>
        <v>Subassembly</v>
      </c>
      <c r="F202">
        <v>366</v>
      </c>
      <c r="G202" s="1" t="str">
        <f>tbl_model[[#This Row],[ProductID]] &amp; "-" &amp; tbl_model[[#This Row],[LocationID]]</f>
        <v>388-50</v>
      </c>
    </row>
    <row r="203" spans="1:7">
      <c r="A203">
        <v>389</v>
      </c>
      <c r="B203">
        <v>1</v>
      </c>
      <c r="C203" t="str">
        <f>_xlfn.XLOOKUP(tbl_model[[#This Row],[ProductID]],tbl_product[ProductID],tbl_product[ProductName],"UNMAPPED_PRODUCT")</f>
        <v>Hex Nut 2</v>
      </c>
      <c r="D203" t="str">
        <f>_xlfn.XLOOKUP(tbl_model[[#This Row],[ProductID]],tbl_product[ProductID],tbl_product[ProductNumber],"UNMAPPED_PRODUCT")</f>
        <v>HN-5400</v>
      </c>
      <c r="E203" t="str">
        <f>_xlfn.XLOOKUP(tbl_model[[#This Row],[LocationID]],tbl_location[LocationID],tbl_location[LocationName],"UNMAPPED_LOCATION")</f>
        <v>Tool Crib</v>
      </c>
      <c r="F203">
        <v>657</v>
      </c>
      <c r="G203" s="1" t="str">
        <f>tbl_model[[#This Row],[ProductID]] &amp; "-" &amp; tbl_model[[#This Row],[LocationID]]</f>
        <v>389-1</v>
      </c>
    </row>
    <row r="204" spans="1:7">
      <c r="A204">
        <v>389</v>
      </c>
      <c r="B204">
        <v>6</v>
      </c>
      <c r="C204" t="str">
        <f>_xlfn.XLOOKUP(tbl_model[[#This Row],[ProductID]],tbl_product[ProductID],tbl_product[ProductName],"UNMAPPED_PRODUCT")</f>
        <v>Hex Nut 2</v>
      </c>
      <c r="D204" t="str">
        <f>_xlfn.XLOOKUP(tbl_model[[#This Row],[ProductID]],tbl_product[ProductID],tbl_product[ProductNumber],"UNMAPPED_PRODUCT")</f>
        <v>HN-5400</v>
      </c>
      <c r="E204" t="str">
        <f>_xlfn.XLOOKUP(tbl_model[[#This Row],[LocationID]],tbl_location[LocationID],tbl_location[LocationName],"UNMAPPED_LOCATION")</f>
        <v>Miscellaneous Storage</v>
      </c>
      <c r="F204">
        <v>691</v>
      </c>
      <c r="G204" s="1" t="str">
        <f>tbl_model[[#This Row],[ProductID]] &amp; "-" &amp; tbl_model[[#This Row],[LocationID]]</f>
        <v>389-6</v>
      </c>
    </row>
    <row r="205" spans="1:7">
      <c r="A205">
        <v>389</v>
      </c>
      <c r="B205">
        <v>50</v>
      </c>
      <c r="C205" t="str">
        <f>_xlfn.XLOOKUP(tbl_model[[#This Row],[ProductID]],tbl_product[ProductID],tbl_product[ProductName],"UNMAPPED_PRODUCT")</f>
        <v>Hex Nut 2</v>
      </c>
      <c r="D205" t="str">
        <f>_xlfn.XLOOKUP(tbl_model[[#This Row],[ProductID]],tbl_product[ProductID],tbl_product[ProductNumber],"UNMAPPED_PRODUCT")</f>
        <v>HN-5400</v>
      </c>
      <c r="E205" t="str">
        <f>_xlfn.XLOOKUP(tbl_model[[#This Row],[LocationID]],tbl_location[LocationID],tbl_location[LocationName],"UNMAPPED_LOCATION")</f>
        <v>Subassembly</v>
      </c>
      <c r="F205">
        <v>460</v>
      </c>
      <c r="G205" s="1" t="str">
        <f>tbl_model[[#This Row],[ProductID]] &amp; "-" &amp; tbl_model[[#This Row],[LocationID]]</f>
        <v>389-50</v>
      </c>
    </row>
    <row r="206" spans="1:7">
      <c r="A206">
        <v>390</v>
      </c>
      <c r="B206">
        <v>1</v>
      </c>
      <c r="C206" t="str">
        <f>_xlfn.XLOOKUP(tbl_model[[#This Row],[ProductID]],tbl_product[ProductID],tbl_product[ProductName],"UNMAPPED_PRODUCT")</f>
        <v>Hex Nut 20</v>
      </c>
      <c r="D206" t="str">
        <f>_xlfn.XLOOKUP(tbl_model[[#This Row],[ProductID]],tbl_product[ProductID],tbl_product[ProductNumber],"UNMAPPED_PRODUCT")</f>
        <v>HN-5811</v>
      </c>
      <c r="E206" t="str">
        <f>_xlfn.XLOOKUP(tbl_model[[#This Row],[LocationID]],tbl_location[LocationID],tbl_location[LocationName],"UNMAPPED_LOCATION")</f>
        <v>Tool Crib</v>
      </c>
      <c r="F206">
        <v>292</v>
      </c>
      <c r="G206" s="1" t="str">
        <f>tbl_model[[#This Row],[ProductID]] &amp; "-" &amp; tbl_model[[#This Row],[LocationID]]</f>
        <v>390-1</v>
      </c>
    </row>
    <row r="207" spans="1:7">
      <c r="A207">
        <v>390</v>
      </c>
      <c r="B207">
        <v>6</v>
      </c>
      <c r="C207" t="str">
        <f>_xlfn.XLOOKUP(tbl_model[[#This Row],[ProductID]],tbl_product[ProductID],tbl_product[ProductName],"UNMAPPED_PRODUCT")</f>
        <v>Hex Nut 20</v>
      </c>
      <c r="D207" t="str">
        <f>_xlfn.XLOOKUP(tbl_model[[#This Row],[ProductID]],tbl_product[ProductID],tbl_product[ProductNumber],"UNMAPPED_PRODUCT")</f>
        <v>HN-5811</v>
      </c>
      <c r="E207" t="str">
        <f>_xlfn.XLOOKUP(tbl_model[[#This Row],[LocationID]],tbl_location[LocationID],tbl_location[LocationName],"UNMAPPED_LOCATION")</f>
        <v>Miscellaneous Storage</v>
      </c>
      <c r="F207">
        <v>140</v>
      </c>
      <c r="G207" s="1" t="str">
        <f>tbl_model[[#This Row],[ProductID]] &amp; "-" &amp; tbl_model[[#This Row],[LocationID]]</f>
        <v>390-6</v>
      </c>
    </row>
    <row r="208" spans="1:7">
      <c r="A208">
        <v>390</v>
      </c>
      <c r="B208">
        <v>50</v>
      </c>
      <c r="C208" t="str">
        <f>_xlfn.XLOOKUP(tbl_model[[#This Row],[ProductID]],tbl_product[ProductID],tbl_product[ProductName],"UNMAPPED_PRODUCT")</f>
        <v>Hex Nut 20</v>
      </c>
      <c r="D208" t="str">
        <f>_xlfn.XLOOKUP(tbl_model[[#This Row],[ProductID]],tbl_product[ProductID],tbl_product[ProductNumber],"UNMAPPED_PRODUCT")</f>
        <v>HN-5811</v>
      </c>
      <c r="E208" t="str">
        <f>_xlfn.XLOOKUP(tbl_model[[#This Row],[LocationID]],tbl_location[LocationID],tbl_location[LocationName],"UNMAPPED_LOCATION")</f>
        <v>Subassembly</v>
      </c>
      <c r="F208">
        <v>366</v>
      </c>
      <c r="G208" s="1" t="str">
        <f>tbl_model[[#This Row],[ProductID]] &amp; "-" &amp; tbl_model[[#This Row],[LocationID]]</f>
        <v>390-50</v>
      </c>
    </row>
    <row r="209" spans="1:7">
      <c r="A209">
        <v>391</v>
      </c>
      <c r="B209">
        <v>1</v>
      </c>
      <c r="C209" t="str">
        <f>_xlfn.XLOOKUP(tbl_model[[#This Row],[ProductID]],tbl_product[ProductID],tbl_product[ProductName],"UNMAPPED_PRODUCT")</f>
        <v>Hex Nut 21</v>
      </c>
      <c r="D209" t="str">
        <f>_xlfn.XLOOKUP(tbl_model[[#This Row],[ProductID]],tbl_product[ProductID],tbl_product[ProductNumber],"UNMAPPED_PRODUCT")</f>
        <v>HN-5818</v>
      </c>
      <c r="E209" t="str">
        <f>_xlfn.XLOOKUP(tbl_model[[#This Row],[LocationID]],tbl_location[LocationID],tbl_location[LocationName],"UNMAPPED_LOCATION")</f>
        <v>Tool Crib</v>
      </c>
      <c r="F209">
        <v>296</v>
      </c>
      <c r="G209" s="1" t="str">
        <f>tbl_model[[#This Row],[ProductID]] &amp; "-" &amp; tbl_model[[#This Row],[LocationID]]</f>
        <v>391-1</v>
      </c>
    </row>
    <row r="210" spans="1:7">
      <c r="A210">
        <v>391</v>
      </c>
      <c r="B210">
        <v>6</v>
      </c>
      <c r="C210" t="str">
        <f>_xlfn.XLOOKUP(tbl_model[[#This Row],[ProductID]],tbl_product[ProductID],tbl_product[ProductName],"UNMAPPED_PRODUCT")</f>
        <v>Hex Nut 21</v>
      </c>
      <c r="D210" t="str">
        <f>_xlfn.XLOOKUP(tbl_model[[#This Row],[ProductID]],tbl_product[ProductID],tbl_product[ProductNumber],"UNMAPPED_PRODUCT")</f>
        <v>HN-5818</v>
      </c>
      <c r="E210" t="str">
        <f>_xlfn.XLOOKUP(tbl_model[[#This Row],[LocationID]],tbl_location[LocationID],tbl_location[LocationName],"UNMAPPED_LOCATION")</f>
        <v>Miscellaneous Storage</v>
      </c>
      <c r="F210">
        <v>144</v>
      </c>
      <c r="G210" s="1" t="str">
        <f>tbl_model[[#This Row],[ProductID]] &amp; "-" &amp; tbl_model[[#This Row],[LocationID]]</f>
        <v>391-6</v>
      </c>
    </row>
    <row r="211" spans="1:7">
      <c r="A211">
        <v>391</v>
      </c>
      <c r="B211">
        <v>50</v>
      </c>
      <c r="C211" t="str">
        <f>_xlfn.XLOOKUP(tbl_model[[#This Row],[ProductID]],tbl_product[ProductID],tbl_product[ProductName],"UNMAPPED_PRODUCT")</f>
        <v>Hex Nut 21</v>
      </c>
      <c r="D211" t="str">
        <f>_xlfn.XLOOKUP(tbl_model[[#This Row],[ProductID]],tbl_product[ProductID],tbl_product[ProductNumber],"UNMAPPED_PRODUCT")</f>
        <v>HN-5818</v>
      </c>
      <c r="E211" t="str">
        <f>_xlfn.XLOOKUP(tbl_model[[#This Row],[LocationID]],tbl_location[LocationID],tbl_location[LocationName],"UNMAPPED_LOCATION")</f>
        <v>Subassembly</v>
      </c>
      <c r="F211">
        <v>369</v>
      </c>
      <c r="G211" s="1" t="str">
        <f>tbl_model[[#This Row],[ProductID]] &amp; "-" &amp; tbl_model[[#This Row],[LocationID]]</f>
        <v>391-50</v>
      </c>
    </row>
    <row r="212" spans="1:7">
      <c r="A212">
        <v>392</v>
      </c>
      <c r="B212">
        <v>1</v>
      </c>
      <c r="C212" t="str">
        <f>_xlfn.XLOOKUP(tbl_model[[#This Row],[ProductID]],tbl_product[ProductID],tbl_product[ProductName],"UNMAPPED_PRODUCT")</f>
        <v>Hex Nut 3</v>
      </c>
      <c r="D212" t="str">
        <f>_xlfn.XLOOKUP(tbl_model[[#This Row],[ProductID]],tbl_product[ProductID],tbl_product[ProductNumber],"UNMAPPED_PRODUCT")</f>
        <v>HN-6320</v>
      </c>
      <c r="E212" t="str">
        <f>_xlfn.XLOOKUP(tbl_model[[#This Row],[LocationID]],tbl_location[LocationID],tbl_location[LocationName],"UNMAPPED_LOCATION")</f>
        <v>Tool Crib</v>
      </c>
      <c r="F212">
        <v>299</v>
      </c>
      <c r="G212" s="1" t="str">
        <f>tbl_model[[#This Row],[ProductID]] &amp; "-" &amp; tbl_model[[#This Row],[LocationID]]</f>
        <v>392-1</v>
      </c>
    </row>
    <row r="213" spans="1:7">
      <c r="A213">
        <v>392</v>
      </c>
      <c r="B213">
        <v>6</v>
      </c>
      <c r="C213" t="str">
        <f>_xlfn.XLOOKUP(tbl_model[[#This Row],[ProductID]],tbl_product[ProductID],tbl_product[ProductName],"UNMAPPED_PRODUCT")</f>
        <v>Hex Nut 3</v>
      </c>
      <c r="D213" t="str">
        <f>_xlfn.XLOOKUP(tbl_model[[#This Row],[ProductID]],tbl_product[ProductID],tbl_product[ProductNumber],"UNMAPPED_PRODUCT")</f>
        <v>HN-6320</v>
      </c>
      <c r="E213" t="str">
        <f>_xlfn.XLOOKUP(tbl_model[[#This Row],[LocationID]],tbl_location[LocationID],tbl_location[LocationName],"UNMAPPED_LOCATION")</f>
        <v>Miscellaneous Storage</v>
      </c>
      <c r="F213">
        <v>147</v>
      </c>
      <c r="G213" s="1" t="str">
        <f>tbl_model[[#This Row],[ProductID]] &amp; "-" &amp; tbl_model[[#This Row],[LocationID]]</f>
        <v>392-6</v>
      </c>
    </row>
    <row r="214" spans="1:7">
      <c r="A214">
        <v>392</v>
      </c>
      <c r="B214">
        <v>50</v>
      </c>
      <c r="C214" t="str">
        <f>_xlfn.XLOOKUP(tbl_model[[#This Row],[ProductID]],tbl_product[ProductID],tbl_product[ProductName],"UNMAPPED_PRODUCT")</f>
        <v>Hex Nut 3</v>
      </c>
      <c r="D214" t="str">
        <f>_xlfn.XLOOKUP(tbl_model[[#This Row],[ProductID]],tbl_product[ProductID],tbl_product[ProductNumber],"UNMAPPED_PRODUCT")</f>
        <v>HN-6320</v>
      </c>
      <c r="E214" t="str">
        <f>_xlfn.XLOOKUP(tbl_model[[#This Row],[LocationID]],tbl_location[LocationID],tbl_location[LocationName],"UNMAPPED_LOCATION")</f>
        <v>Subassembly</v>
      </c>
      <c r="F214">
        <v>372</v>
      </c>
      <c r="G214" s="1" t="str">
        <f>tbl_model[[#This Row],[ProductID]] &amp; "-" &amp; tbl_model[[#This Row],[LocationID]]</f>
        <v>392-50</v>
      </c>
    </row>
    <row r="215" spans="1:7">
      <c r="A215">
        <v>393</v>
      </c>
      <c r="B215">
        <v>1</v>
      </c>
      <c r="C215" t="str">
        <f>_xlfn.XLOOKUP(tbl_model[[#This Row],[ProductID]],tbl_product[ProductID],tbl_product[ProductName],"UNMAPPED_PRODUCT")</f>
        <v>Hex Nut 14</v>
      </c>
      <c r="D215" t="str">
        <f>_xlfn.XLOOKUP(tbl_model[[#This Row],[ProductID]],tbl_product[ProductID],tbl_product[ProductNumber],"UNMAPPED_PRODUCT")</f>
        <v>HN-7161</v>
      </c>
      <c r="E215" t="str">
        <f>_xlfn.XLOOKUP(tbl_model[[#This Row],[LocationID]],tbl_location[LocationID],tbl_location[LocationName],"UNMAPPED_LOCATION")</f>
        <v>Tool Crib</v>
      </c>
      <c r="F215">
        <v>603</v>
      </c>
      <c r="G215" s="1" t="str">
        <f>tbl_model[[#This Row],[ProductID]] &amp; "-" &amp; tbl_model[[#This Row],[LocationID]]</f>
        <v>393-1</v>
      </c>
    </row>
    <row r="216" spans="1:7">
      <c r="A216">
        <v>393</v>
      </c>
      <c r="B216">
        <v>6</v>
      </c>
      <c r="C216" t="str">
        <f>_xlfn.XLOOKUP(tbl_model[[#This Row],[ProductID]],tbl_product[ProductID],tbl_product[ProductName],"UNMAPPED_PRODUCT")</f>
        <v>Hex Nut 14</v>
      </c>
      <c r="D216" t="str">
        <f>_xlfn.XLOOKUP(tbl_model[[#This Row],[ProductID]],tbl_product[ProductID],tbl_product[ProductNumber],"UNMAPPED_PRODUCT")</f>
        <v>HN-7161</v>
      </c>
      <c r="E216" t="str">
        <f>_xlfn.XLOOKUP(tbl_model[[#This Row],[LocationID]],tbl_location[LocationID],tbl_location[LocationName],"UNMAPPED_LOCATION")</f>
        <v>Miscellaneous Storage</v>
      </c>
      <c r="F216">
        <v>780</v>
      </c>
      <c r="G216" s="1" t="str">
        <f>tbl_model[[#This Row],[ProductID]] &amp; "-" &amp; tbl_model[[#This Row],[LocationID]]</f>
        <v>393-6</v>
      </c>
    </row>
    <row r="217" spans="1:7">
      <c r="A217">
        <v>393</v>
      </c>
      <c r="B217">
        <v>50</v>
      </c>
      <c r="C217" t="str">
        <f>_xlfn.XLOOKUP(tbl_model[[#This Row],[ProductID]],tbl_product[ProductID],tbl_product[ProductName],"UNMAPPED_PRODUCT")</f>
        <v>Hex Nut 14</v>
      </c>
      <c r="D217" t="str">
        <f>_xlfn.XLOOKUP(tbl_model[[#This Row],[ProductID]],tbl_product[ProductID],tbl_product[ProductNumber],"UNMAPPED_PRODUCT")</f>
        <v>HN-7161</v>
      </c>
      <c r="E217" t="str">
        <f>_xlfn.XLOOKUP(tbl_model[[#This Row],[LocationID]],tbl_location[LocationID],tbl_location[LocationName],"UNMAPPED_LOCATION")</f>
        <v>Subassembly</v>
      </c>
      <c r="F217">
        <v>497</v>
      </c>
      <c r="G217" s="1" t="str">
        <f>tbl_model[[#This Row],[ProductID]] &amp; "-" &amp; tbl_model[[#This Row],[LocationID]]</f>
        <v>393-50</v>
      </c>
    </row>
    <row r="218" spans="1:7">
      <c r="A218">
        <v>394</v>
      </c>
      <c r="B218">
        <v>1</v>
      </c>
      <c r="C218" t="str">
        <f>_xlfn.XLOOKUP(tbl_model[[#This Row],[ProductID]],tbl_product[ProductID],tbl_product[ProductName],"UNMAPPED_PRODUCT")</f>
        <v>Hex Nut 15</v>
      </c>
      <c r="D218" t="str">
        <f>_xlfn.XLOOKUP(tbl_model[[#This Row],[ProductID]],tbl_product[ProductID],tbl_product[ProductNumber],"UNMAPPED_PRODUCT")</f>
        <v>HN-7162</v>
      </c>
      <c r="E218" t="str">
        <f>_xlfn.XLOOKUP(tbl_model[[#This Row],[LocationID]],tbl_location[LocationID],tbl_location[LocationName],"UNMAPPED_LOCATION")</f>
        <v>Tool Crib</v>
      </c>
      <c r="F218">
        <v>302</v>
      </c>
      <c r="G218" s="1" t="str">
        <f>tbl_model[[#This Row],[ProductID]] &amp; "-" &amp; tbl_model[[#This Row],[LocationID]]</f>
        <v>394-1</v>
      </c>
    </row>
    <row r="219" spans="1:7">
      <c r="A219">
        <v>394</v>
      </c>
      <c r="B219">
        <v>6</v>
      </c>
      <c r="C219" t="str">
        <f>_xlfn.XLOOKUP(tbl_model[[#This Row],[ProductID]],tbl_product[ProductID],tbl_product[ProductName],"UNMAPPED_PRODUCT")</f>
        <v>Hex Nut 15</v>
      </c>
      <c r="D219" t="str">
        <f>_xlfn.XLOOKUP(tbl_model[[#This Row],[ProductID]],tbl_product[ProductID],tbl_product[ProductNumber],"UNMAPPED_PRODUCT")</f>
        <v>HN-7162</v>
      </c>
      <c r="E219" t="str">
        <f>_xlfn.XLOOKUP(tbl_model[[#This Row],[LocationID]],tbl_location[LocationID],tbl_location[LocationName],"UNMAPPED_LOCATION")</f>
        <v>Miscellaneous Storage</v>
      </c>
      <c r="F219">
        <v>150</v>
      </c>
      <c r="G219" s="1" t="str">
        <f>tbl_model[[#This Row],[ProductID]] &amp; "-" &amp; tbl_model[[#This Row],[LocationID]]</f>
        <v>394-6</v>
      </c>
    </row>
    <row r="220" spans="1:7">
      <c r="A220">
        <v>394</v>
      </c>
      <c r="B220">
        <v>50</v>
      </c>
      <c r="C220" t="str">
        <f>_xlfn.XLOOKUP(tbl_model[[#This Row],[ProductID]],tbl_product[ProductID],tbl_product[ProductName],"UNMAPPED_PRODUCT")</f>
        <v>Hex Nut 15</v>
      </c>
      <c r="D220" t="str">
        <f>_xlfn.XLOOKUP(tbl_model[[#This Row],[ProductID]],tbl_product[ProductID],tbl_product[ProductNumber],"UNMAPPED_PRODUCT")</f>
        <v>HN-7162</v>
      </c>
      <c r="E220" t="str">
        <f>_xlfn.XLOOKUP(tbl_model[[#This Row],[LocationID]],tbl_location[LocationID],tbl_location[LocationName],"UNMAPPED_LOCATION")</f>
        <v>Subassembly</v>
      </c>
      <c r="F220">
        <v>459</v>
      </c>
      <c r="G220" s="1" t="str">
        <f>tbl_model[[#This Row],[ProductID]] &amp; "-" &amp; tbl_model[[#This Row],[LocationID]]</f>
        <v>394-50</v>
      </c>
    </row>
    <row r="221" spans="1:7">
      <c r="A221">
        <v>395</v>
      </c>
      <c r="B221">
        <v>1</v>
      </c>
      <c r="C221" t="str">
        <f>_xlfn.XLOOKUP(tbl_model[[#This Row],[ProductID]],tbl_product[ProductID],tbl_product[ProductName],"UNMAPPED_PRODUCT")</f>
        <v>Hex Nut 4</v>
      </c>
      <c r="D221" t="str">
        <f>_xlfn.XLOOKUP(tbl_model[[#This Row],[ProductID]],tbl_product[ProductID],tbl_product[ProductNumber],"UNMAPPED_PRODUCT")</f>
        <v>HN-8320</v>
      </c>
      <c r="E221" t="str">
        <f>_xlfn.XLOOKUP(tbl_model[[#This Row],[LocationID]],tbl_location[LocationID],tbl_location[LocationName],"UNMAPPED_LOCATION")</f>
        <v>Tool Crib</v>
      </c>
      <c r="F221">
        <v>281</v>
      </c>
      <c r="G221" s="1" t="str">
        <f>tbl_model[[#This Row],[ProductID]] &amp; "-" &amp; tbl_model[[#This Row],[LocationID]]</f>
        <v>395-1</v>
      </c>
    </row>
    <row r="222" spans="1:7">
      <c r="A222">
        <v>395</v>
      </c>
      <c r="B222">
        <v>6</v>
      </c>
      <c r="C222" t="str">
        <f>_xlfn.XLOOKUP(tbl_model[[#This Row],[ProductID]],tbl_product[ProductID],tbl_product[ProductName],"UNMAPPED_PRODUCT")</f>
        <v>Hex Nut 4</v>
      </c>
      <c r="D222" t="str">
        <f>_xlfn.XLOOKUP(tbl_model[[#This Row],[ProductID]],tbl_product[ProductID],tbl_product[ProductNumber],"UNMAPPED_PRODUCT")</f>
        <v>HN-8320</v>
      </c>
      <c r="E222" t="str">
        <f>_xlfn.XLOOKUP(tbl_model[[#This Row],[LocationID]],tbl_location[LocationID],tbl_location[LocationName],"UNMAPPED_LOCATION")</f>
        <v>Miscellaneous Storage</v>
      </c>
      <c r="F222">
        <v>355</v>
      </c>
      <c r="G222" s="1" t="str">
        <f>tbl_model[[#This Row],[ProductID]] &amp; "-" &amp; tbl_model[[#This Row],[LocationID]]</f>
        <v>395-6</v>
      </c>
    </row>
    <row r="223" spans="1:7">
      <c r="A223">
        <v>395</v>
      </c>
      <c r="B223">
        <v>50</v>
      </c>
      <c r="C223" t="str">
        <f>_xlfn.XLOOKUP(tbl_model[[#This Row],[ProductID]],tbl_product[ProductID],tbl_product[ProductName],"UNMAPPED_PRODUCT")</f>
        <v>Hex Nut 4</v>
      </c>
      <c r="D223" t="str">
        <f>_xlfn.XLOOKUP(tbl_model[[#This Row],[ProductID]],tbl_product[ProductID],tbl_product[ProductNumber],"UNMAPPED_PRODUCT")</f>
        <v>HN-8320</v>
      </c>
      <c r="E223" t="str">
        <f>_xlfn.XLOOKUP(tbl_model[[#This Row],[LocationID]],tbl_location[LocationID],tbl_location[LocationName],"UNMAPPED_LOCATION")</f>
        <v>Subassembly</v>
      </c>
      <c r="F223">
        <v>148</v>
      </c>
      <c r="G223" s="1" t="str">
        <f>tbl_model[[#This Row],[ProductID]] &amp; "-" &amp; tbl_model[[#This Row],[LocationID]]</f>
        <v>395-50</v>
      </c>
    </row>
    <row r="224" spans="1:7">
      <c r="A224">
        <v>396</v>
      </c>
      <c r="B224">
        <v>1</v>
      </c>
      <c r="C224" t="str">
        <f>_xlfn.XLOOKUP(tbl_model[[#This Row],[ProductID]],tbl_product[ProductID],tbl_product[ProductName],"UNMAPPED_PRODUCT")</f>
        <v>Hex Nut 18</v>
      </c>
      <c r="D224" t="str">
        <f>_xlfn.XLOOKUP(tbl_model[[#This Row],[ProductID]],tbl_product[ProductID],tbl_product[ProductNumber],"UNMAPPED_PRODUCT")</f>
        <v>HN-9161</v>
      </c>
      <c r="E224" t="str">
        <f>_xlfn.XLOOKUP(tbl_model[[#This Row],[LocationID]],tbl_location[LocationID],tbl_location[LocationName],"UNMAPPED_LOCATION")</f>
        <v>Tool Crib</v>
      </c>
      <c r="F224">
        <v>636</v>
      </c>
      <c r="G224" s="1" t="str">
        <f>tbl_model[[#This Row],[ProductID]] &amp; "-" &amp; tbl_model[[#This Row],[LocationID]]</f>
        <v>396-1</v>
      </c>
    </row>
    <row r="225" spans="1:7">
      <c r="A225">
        <v>396</v>
      </c>
      <c r="B225">
        <v>6</v>
      </c>
      <c r="C225" t="str">
        <f>_xlfn.XLOOKUP(tbl_model[[#This Row],[ProductID]],tbl_product[ProductID],tbl_product[ProductName],"UNMAPPED_PRODUCT")</f>
        <v>Hex Nut 18</v>
      </c>
      <c r="D225" t="str">
        <f>_xlfn.XLOOKUP(tbl_model[[#This Row],[ProductID]],tbl_product[ProductID],tbl_product[ProductNumber],"UNMAPPED_PRODUCT")</f>
        <v>HN-9161</v>
      </c>
      <c r="E225" t="str">
        <f>_xlfn.XLOOKUP(tbl_model[[#This Row],[LocationID]],tbl_location[LocationID],tbl_location[LocationName],"UNMAPPED_LOCATION")</f>
        <v>Miscellaneous Storage</v>
      </c>
      <c r="F225">
        <v>585</v>
      </c>
      <c r="G225" s="1" t="str">
        <f>tbl_model[[#This Row],[ProductID]] &amp; "-" &amp; tbl_model[[#This Row],[LocationID]]</f>
        <v>396-6</v>
      </c>
    </row>
    <row r="226" spans="1:7">
      <c r="A226">
        <v>396</v>
      </c>
      <c r="B226">
        <v>50</v>
      </c>
      <c r="C226" t="str">
        <f>_xlfn.XLOOKUP(tbl_model[[#This Row],[ProductID]],tbl_product[ProductID],tbl_product[ProductName],"UNMAPPED_PRODUCT")</f>
        <v>Hex Nut 18</v>
      </c>
      <c r="D226" t="str">
        <f>_xlfn.XLOOKUP(tbl_model[[#This Row],[ProductID]],tbl_product[ProductID],tbl_product[ProductNumber],"UNMAPPED_PRODUCT")</f>
        <v>HN-9161</v>
      </c>
      <c r="E226" t="str">
        <f>_xlfn.XLOOKUP(tbl_model[[#This Row],[LocationID]],tbl_location[LocationID],tbl_location[LocationName],"UNMAPPED_LOCATION")</f>
        <v>Subassembly</v>
      </c>
      <c r="F226">
        <v>603</v>
      </c>
      <c r="G226" s="1" t="str">
        <f>tbl_model[[#This Row],[ProductID]] &amp; "-" &amp; tbl_model[[#This Row],[LocationID]]</f>
        <v>396-50</v>
      </c>
    </row>
    <row r="227" spans="1:7">
      <c r="A227">
        <v>397</v>
      </c>
      <c r="B227">
        <v>1</v>
      </c>
      <c r="C227" t="str">
        <f>_xlfn.XLOOKUP(tbl_model[[#This Row],[ProductID]],tbl_product[ProductID],tbl_product[ProductName],"UNMAPPED_PRODUCT")</f>
        <v>Hex Nut 19</v>
      </c>
      <c r="D227" t="str">
        <f>_xlfn.XLOOKUP(tbl_model[[#This Row],[ProductID]],tbl_product[ProductID],tbl_product[ProductNumber],"UNMAPPED_PRODUCT")</f>
        <v>HN-9168</v>
      </c>
      <c r="E227" t="str">
        <f>_xlfn.XLOOKUP(tbl_model[[#This Row],[LocationID]],tbl_location[LocationID],tbl_location[LocationName],"UNMAPPED_LOCATION")</f>
        <v>Tool Crib</v>
      </c>
      <c r="F227">
        <v>339</v>
      </c>
      <c r="G227" s="1" t="str">
        <f>tbl_model[[#This Row],[ProductID]] &amp; "-" &amp; tbl_model[[#This Row],[LocationID]]</f>
        <v>397-1</v>
      </c>
    </row>
    <row r="228" spans="1:7">
      <c r="A228">
        <v>397</v>
      </c>
      <c r="B228">
        <v>6</v>
      </c>
      <c r="C228" t="str">
        <f>_xlfn.XLOOKUP(tbl_model[[#This Row],[ProductID]],tbl_product[ProductID],tbl_product[ProductName],"UNMAPPED_PRODUCT")</f>
        <v>Hex Nut 19</v>
      </c>
      <c r="D228" t="str">
        <f>_xlfn.XLOOKUP(tbl_model[[#This Row],[ProductID]],tbl_product[ProductID],tbl_product[ProductNumber],"UNMAPPED_PRODUCT")</f>
        <v>HN-9168</v>
      </c>
      <c r="E228" t="str">
        <f>_xlfn.XLOOKUP(tbl_model[[#This Row],[LocationID]],tbl_location[LocationID],tbl_location[LocationName],"UNMAPPED_LOCATION")</f>
        <v>Miscellaneous Storage</v>
      </c>
      <c r="F228">
        <v>550</v>
      </c>
      <c r="G228" s="1" t="str">
        <f>tbl_model[[#This Row],[ProductID]] &amp; "-" &amp; tbl_model[[#This Row],[LocationID]]</f>
        <v>397-6</v>
      </c>
    </row>
    <row r="229" spans="1:7">
      <c r="A229">
        <v>397</v>
      </c>
      <c r="B229">
        <v>50</v>
      </c>
      <c r="C229" t="str">
        <f>_xlfn.XLOOKUP(tbl_model[[#This Row],[ProductID]],tbl_product[ProductID],tbl_product[ProductName],"UNMAPPED_PRODUCT")</f>
        <v>Hex Nut 19</v>
      </c>
      <c r="D229" t="str">
        <f>_xlfn.XLOOKUP(tbl_model[[#This Row],[ProductID]],tbl_product[ProductID],tbl_product[ProductNumber],"UNMAPPED_PRODUCT")</f>
        <v>HN-9168</v>
      </c>
      <c r="E229" t="str">
        <f>_xlfn.XLOOKUP(tbl_model[[#This Row],[LocationID]],tbl_location[LocationID],tbl_location[LocationName],"UNMAPPED_LOCATION")</f>
        <v>Subassembly</v>
      </c>
      <c r="F229">
        <v>763</v>
      </c>
      <c r="G229" s="1" t="str">
        <f>tbl_model[[#This Row],[ProductID]] &amp; "-" &amp; tbl_model[[#This Row],[LocationID]]</f>
        <v>397-50</v>
      </c>
    </row>
    <row r="230" spans="1:7">
      <c r="A230">
        <v>398</v>
      </c>
      <c r="B230">
        <v>5</v>
      </c>
      <c r="C230" t="str">
        <f>_xlfn.XLOOKUP(tbl_model[[#This Row],[ProductID]],tbl_product[ProductID],tbl_product[ProductName],"UNMAPPED_PRODUCT")</f>
        <v>Handlebar Tube</v>
      </c>
      <c r="D230" t="str">
        <f>_xlfn.XLOOKUP(tbl_model[[#This Row],[ProductID]],tbl_product[ProductID],tbl_product[ProductNumber],"UNMAPPED_PRODUCT")</f>
        <v>HT-2981</v>
      </c>
      <c r="E230" t="str">
        <f>_xlfn.XLOOKUP(tbl_model[[#This Row],[LocationID]],tbl_location[LocationID],tbl_location[LocationName],"UNMAPPED_LOCATION")</f>
        <v>Metal Storage</v>
      </c>
      <c r="F230">
        <v>372</v>
      </c>
      <c r="G230" s="1" t="str">
        <f>tbl_model[[#This Row],[ProductID]] &amp; "-" &amp; tbl_model[[#This Row],[LocationID]]</f>
        <v>398-5</v>
      </c>
    </row>
    <row r="231" spans="1:7">
      <c r="A231">
        <v>398</v>
      </c>
      <c r="B231">
        <v>10</v>
      </c>
      <c r="C231" t="str">
        <f>_xlfn.XLOOKUP(tbl_model[[#This Row],[ProductID]],tbl_product[ProductID],tbl_product[ProductName],"UNMAPPED_PRODUCT")</f>
        <v>Handlebar Tube</v>
      </c>
      <c r="D231" t="str">
        <f>_xlfn.XLOOKUP(tbl_model[[#This Row],[ProductID]],tbl_product[ProductID],tbl_product[ProductNumber],"UNMAPPED_PRODUCT")</f>
        <v>HT-2981</v>
      </c>
      <c r="E231" t="str">
        <f>_xlfn.XLOOKUP(tbl_model[[#This Row],[LocationID]],tbl_location[LocationID],tbl_location[LocationName],"UNMAPPED_LOCATION")</f>
        <v>Frame Forming</v>
      </c>
      <c r="F231">
        <v>404</v>
      </c>
      <c r="G231" s="1" t="str">
        <f>tbl_model[[#This Row],[ProductID]] &amp; "-" &amp; tbl_model[[#This Row],[LocationID]]</f>
        <v>398-10</v>
      </c>
    </row>
    <row r="232" spans="1:7">
      <c r="A232">
        <v>398</v>
      </c>
      <c r="B232">
        <v>20</v>
      </c>
      <c r="C232" t="str">
        <f>_xlfn.XLOOKUP(tbl_model[[#This Row],[ProductID]],tbl_product[ProductID],tbl_product[ProductName],"UNMAPPED_PRODUCT")</f>
        <v>Handlebar Tube</v>
      </c>
      <c r="D232" t="str">
        <f>_xlfn.XLOOKUP(tbl_model[[#This Row],[ProductID]],tbl_product[ProductID],tbl_product[ProductNumber],"UNMAPPED_PRODUCT")</f>
        <v>HT-2981</v>
      </c>
      <c r="E232" t="str">
        <f>_xlfn.XLOOKUP(tbl_model[[#This Row],[LocationID]],tbl_location[LocationID],tbl_location[LocationName],"UNMAPPED_LOCATION")</f>
        <v>Frame Welding</v>
      </c>
      <c r="F232">
        <v>550</v>
      </c>
      <c r="G232" s="1" t="str">
        <f>tbl_model[[#This Row],[ProductID]] &amp; "-" &amp; tbl_model[[#This Row],[LocationID]]</f>
        <v>398-20</v>
      </c>
    </row>
    <row r="233" spans="1:7">
      <c r="A233">
        <v>399</v>
      </c>
      <c r="B233">
        <v>5</v>
      </c>
      <c r="C233" t="str">
        <f>_xlfn.XLOOKUP(tbl_model[[#This Row],[ProductID]],tbl_product[ProductID],tbl_product[ProductName],"UNMAPPED_PRODUCT")</f>
        <v>Head Tube</v>
      </c>
      <c r="D233" t="str">
        <f>_xlfn.XLOOKUP(tbl_model[[#This Row],[ProductID]],tbl_product[ProductID],tbl_product[ProductNumber],"UNMAPPED_PRODUCT")</f>
        <v>HT-8019</v>
      </c>
      <c r="E233" t="str">
        <f>_xlfn.XLOOKUP(tbl_model[[#This Row],[LocationID]],tbl_location[LocationID],tbl_location[LocationName],"UNMAPPED_LOCATION")</f>
        <v>Metal Storage</v>
      </c>
      <c r="F233">
        <v>366</v>
      </c>
      <c r="G233" s="1" t="str">
        <f>tbl_model[[#This Row],[ProductID]] &amp; "-" &amp; tbl_model[[#This Row],[LocationID]]</f>
        <v>399-5</v>
      </c>
    </row>
    <row r="234" spans="1:7">
      <c r="A234">
        <v>399</v>
      </c>
      <c r="B234">
        <v>10</v>
      </c>
      <c r="C234" t="str">
        <f>_xlfn.XLOOKUP(tbl_model[[#This Row],[ProductID]],tbl_product[ProductID],tbl_product[ProductName],"UNMAPPED_PRODUCT")</f>
        <v>Head Tube</v>
      </c>
      <c r="D234" t="str">
        <f>_xlfn.XLOOKUP(tbl_model[[#This Row],[ProductID]],tbl_product[ProductID],tbl_product[ProductNumber],"UNMAPPED_PRODUCT")</f>
        <v>HT-8019</v>
      </c>
      <c r="E234" t="str">
        <f>_xlfn.XLOOKUP(tbl_model[[#This Row],[LocationID]],tbl_location[LocationID],tbl_location[LocationName],"UNMAPPED_LOCATION")</f>
        <v>Frame Forming</v>
      </c>
      <c r="F234">
        <v>398</v>
      </c>
      <c r="G234" s="1" t="str">
        <f>tbl_model[[#This Row],[ProductID]] &amp; "-" &amp; tbl_model[[#This Row],[LocationID]]</f>
        <v>399-10</v>
      </c>
    </row>
    <row r="235" spans="1:7">
      <c r="A235">
        <v>399</v>
      </c>
      <c r="B235">
        <v>20</v>
      </c>
      <c r="C235" t="str">
        <f>_xlfn.XLOOKUP(tbl_model[[#This Row],[ProductID]],tbl_product[ProductID],tbl_product[ProductName],"UNMAPPED_PRODUCT")</f>
        <v>Head Tube</v>
      </c>
      <c r="D235" t="str">
        <f>_xlfn.XLOOKUP(tbl_model[[#This Row],[ProductID]],tbl_product[ProductID],tbl_product[ProductNumber],"UNMAPPED_PRODUCT")</f>
        <v>HT-8019</v>
      </c>
      <c r="E235" t="str">
        <f>_xlfn.XLOOKUP(tbl_model[[#This Row],[LocationID]],tbl_location[LocationID],tbl_location[LocationName],"UNMAPPED_LOCATION")</f>
        <v>Frame Welding</v>
      </c>
      <c r="F235">
        <v>544</v>
      </c>
      <c r="G235" s="1" t="str">
        <f>tbl_model[[#This Row],[ProductID]] &amp; "-" &amp; tbl_model[[#This Row],[LocationID]]</f>
        <v>399-20</v>
      </c>
    </row>
    <row r="236" spans="1:7">
      <c r="A236">
        <v>400</v>
      </c>
      <c r="B236">
        <v>5</v>
      </c>
      <c r="C236" t="str">
        <f>_xlfn.XLOOKUP(tbl_model[[#This Row],[ProductID]],tbl_product[ProductID],tbl_product[ProductName],"UNMAPPED_PRODUCT")</f>
        <v>LL Hub</v>
      </c>
      <c r="D236" t="str">
        <f>_xlfn.XLOOKUP(tbl_model[[#This Row],[ProductID]],tbl_product[ProductID],tbl_product[ProductNumber],"UNMAPPED_PRODUCT")</f>
        <v>HU-6280</v>
      </c>
      <c r="E236" t="str">
        <f>_xlfn.XLOOKUP(tbl_model[[#This Row],[LocationID]],tbl_location[LocationID],tbl_location[LocationName],"UNMAPPED_LOCATION")</f>
        <v>Metal Storage</v>
      </c>
      <c r="F236">
        <v>260</v>
      </c>
      <c r="G236" s="1" t="str">
        <f>tbl_model[[#This Row],[ProductID]] &amp; "-" &amp; tbl_model[[#This Row],[LocationID]]</f>
        <v>400-5</v>
      </c>
    </row>
    <row r="237" spans="1:7">
      <c r="A237">
        <v>400</v>
      </c>
      <c r="B237">
        <v>10</v>
      </c>
      <c r="C237" t="str">
        <f>_xlfn.XLOOKUP(tbl_model[[#This Row],[ProductID]],tbl_product[ProductID],tbl_product[ProductName],"UNMAPPED_PRODUCT")</f>
        <v>LL Hub</v>
      </c>
      <c r="D237" t="str">
        <f>_xlfn.XLOOKUP(tbl_model[[#This Row],[ProductID]],tbl_product[ProductID],tbl_product[ProductNumber],"UNMAPPED_PRODUCT")</f>
        <v>HU-6280</v>
      </c>
      <c r="E237" t="str">
        <f>_xlfn.XLOOKUP(tbl_model[[#This Row],[LocationID]],tbl_location[LocationID],tbl_location[LocationName],"UNMAPPED_LOCATION")</f>
        <v>Frame Forming</v>
      </c>
      <c r="F237">
        <v>246</v>
      </c>
      <c r="G237" s="1" t="str">
        <f>tbl_model[[#This Row],[ProductID]] &amp; "-" &amp; tbl_model[[#This Row],[LocationID]]</f>
        <v>400-10</v>
      </c>
    </row>
    <row r="238" spans="1:7">
      <c r="A238">
        <v>400</v>
      </c>
      <c r="B238">
        <v>20</v>
      </c>
      <c r="C238" t="str">
        <f>_xlfn.XLOOKUP(tbl_model[[#This Row],[ProductID]],tbl_product[ProductID],tbl_product[ProductName],"UNMAPPED_PRODUCT")</f>
        <v>LL Hub</v>
      </c>
      <c r="D238" t="str">
        <f>_xlfn.XLOOKUP(tbl_model[[#This Row],[ProductID]],tbl_product[ProductID],tbl_product[ProductNumber],"UNMAPPED_PRODUCT")</f>
        <v>HU-6280</v>
      </c>
      <c r="E238" t="str">
        <f>_xlfn.XLOOKUP(tbl_model[[#This Row],[LocationID]],tbl_location[LocationID],tbl_location[LocationName],"UNMAPPED_LOCATION")</f>
        <v>Frame Welding</v>
      </c>
      <c r="F238">
        <v>284</v>
      </c>
      <c r="G238" s="1" t="str">
        <f>tbl_model[[#This Row],[ProductID]] &amp; "-" &amp; tbl_model[[#This Row],[LocationID]]</f>
        <v>400-20</v>
      </c>
    </row>
    <row r="239" spans="1:7">
      <c r="A239">
        <v>401</v>
      </c>
      <c r="B239">
        <v>5</v>
      </c>
      <c r="C239" t="str">
        <f>_xlfn.XLOOKUP(tbl_model[[#This Row],[ProductID]],tbl_product[ProductID],tbl_product[ProductName],"UNMAPPED_PRODUCT")</f>
        <v>HL Hub</v>
      </c>
      <c r="D239" t="str">
        <f>_xlfn.XLOOKUP(tbl_model[[#This Row],[ProductID]],tbl_product[ProductID],tbl_product[ProductNumber],"UNMAPPED_PRODUCT")</f>
        <v>HU-8998</v>
      </c>
      <c r="E239" t="str">
        <f>_xlfn.XLOOKUP(tbl_model[[#This Row],[LocationID]],tbl_location[LocationID],tbl_location[LocationName],"UNMAPPED_LOCATION")</f>
        <v>Metal Storage</v>
      </c>
      <c r="F239">
        <v>283</v>
      </c>
      <c r="G239" s="1" t="str">
        <f>tbl_model[[#This Row],[ProductID]] &amp; "-" &amp; tbl_model[[#This Row],[LocationID]]</f>
        <v>401-5</v>
      </c>
    </row>
    <row r="240" spans="1:7">
      <c r="A240">
        <v>401</v>
      </c>
      <c r="B240">
        <v>10</v>
      </c>
      <c r="C240" t="str">
        <f>_xlfn.XLOOKUP(tbl_model[[#This Row],[ProductID]],tbl_product[ProductID],tbl_product[ProductName],"UNMAPPED_PRODUCT")</f>
        <v>HL Hub</v>
      </c>
      <c r="D240" t="str">
        <f>_xlfn.XLOOKUP(tbl_model[[#This Row],[ProductID]],tbl_product[ProductID],tbl_product[ProductNumber],"UNMAPPED_PRODUCT")</f>
        <v>HU-8998</v>
      </c>
      <c r="E240" t="str">
        <f>_xlfn.XLOOKUP(tbl_model[[#This Row],[LocationID]],tbl_location[LocationID],tbl_location[LocationName],"UNMAPPED_LOCATION")</f>
        <v>Frame Forming</v>
      </c>
      <c r="F240">
        <v>212</v>
      </c>
      <c r="G240" s="1" t="str">
        <f>tbl_model[[#This Row],[ProductID]] &amp; "-" &amp; tbl_model[[#This Row],[LocationID]]</f>
        <v>401-10</v>
      </c>
    </row>
    <row r="241" spans="1:7">
      <c r="A241">
        <v>401</v>
      </c>
      <c r="B241">
        <v>20</v>
      </c>
      <c r="C241" t="str">
        <f>_xlfn.XLOOKUP(tbl_model[[#This Row],[ProductID]],tbl_product[ProductID],tbl_product[ProductName],"UNMAPPED_PRODUCT")</f>
        <v>HL Hub</v>
      </c>
      <c r="D241" t="str">
        <f>_xlfn.XLOOKUP(tbl_model[[#This Row],[ProductID]],tbl_product[ProductID],tbl_product[ProductNumber],"UNMAPPED_PRODUCT")</f>
        <v>HU-8998</v>
      </c>
      <c r="E241" t="str">
        <f>_xlfn.XLOOKUP(tbl_model[[#This Row],[LocationID]],tbl_location[LocationID],tbl_location[LocationName],"UNMAPPED_LOCATION")</f>
        <v>Frame Welding</v>
      </c>
      <c r="F241">
        <v>302</v>
      </c>
      <c r="G241" s="1" t="str">
        <f>tbl_model[[#This Row],[ProductID]] &amp; "-" &amp; tbl_model[[#This Row],[LocationID]]</f>
        <v>401-20</v>
      </c>
    </row>
    <row r="242" spans="1:7">
      <c r="A242">
        <v>402</v>
      </c>
      <c r="B242">
        <v>1</v>
      </c>
      <c r="C242" t="str">
        <f>_xlfn.XLOOKUP(tbl_model[[#This Row],[ProductID]],tbl_product[ProductID],tbl_product[ProductName],"UNMAPPED_PRODUCT")</f>
        <v>Keyed Washer</v>
      </c>
      <c r="D242" t="str">
        <f>_xlfn.XLOOKUP(tbl_model[[#This Row],[ProductID]],tbl_product[ProductID],tbl_product[ProductNumber],"UNMAPPED_PRODUCT")</f>
        <v>KW-4091</v>
      </c>
      <c r="E242" t="str">
        <f>_xlfn.XLOOKUP(tbl_model[[#This Row],[LocationID]],tbl_location[LocationID],tbl_location[LocationName],"UNMAPPED_LOCATION")</f>
        <v>Tool Crib</v>
      </c>
      <c r="F242">
        <v>316</v>
      </c>
      <c r="G242" s="1" t="str">
        <f>tbl_model[[#This Row],[ProductID]] &amp; "-" &amp; tbl_model[[#This Row],[LocationID]]</f>
        <v>402-1</v>
      </c>
    </row>
    <row r="243" spans="1:7">
      <c r="A243">
        <v>402</v>
      </c>
      <c r="B243">
        <v>6</v>
      </c>
      <c r="C243" t="str">
        <f>_xlfn.XLOOKUP(tbl_model[[#This Row],[ProductID]],tbl_product[ProductID],tbl_product[ProductName],"UNMAPPED_PRODUCT")</f>
        <v>Keyed Washer</v>
      </c>
      <c r="D243" t="str">
        <f>_xlfn.XLOOKUP(tbl_model[[#This Row],[ProductID]],tbl_product[ProductID],tbl_product[ProductNumber],"UNMAPPED_PRODUCT")</f>
        <v>KW-4091</v>
      </c>
      <c r="E243" t="str">
        <f>_xlfn.XLOOKUP(tbl_model[[#This Row],[LocationID]],tbl_location[LocationID],tbl_location[LocationName],"UNMAPPED_LOCATION")</f>
        <v>Miscellaneous Storage</v>
      </c>
      <c r="F243">
        <v>353</v>
      </c>
      <c r="G243" s="1" t="str">
        <f>tbl_model[[#This Row],[ProductID]] &amp; "-" &amp; tbl_model[[#This Row],[LocationID]]</f>
        <v>402-6</v>
      </c>
    </row>
    <row r="244" spans="1:7">
      <c r="A244">
        <v>402</v>
      </c>
      <c r="B244">
        <v>50</v>
      </c>
      <c r="C244" t="str">
        <f>_xlfn.XLOOKUP(tbl_model[[#This Row],[ProductID]],tbl_product[ProductID],tbl_product[ProductName],"UNMAPPED_PRODUCT")</f>
        <v>Keyed Washer</v>
      </c>
      <c r="D244" t="str">
        <f>_xlfn.XLOOKUP(tbl_model[[#This Row],[ProductID]],tbl_product[ProductID],tbl_product[ProductNumber],"UNMAPPED_PRODUCT")</f>
        <v>KW-4091</v>
      </c>
      <c r="E244" t="str">
        <f>_xlfn.XLOOKUP(tbl_model[[#This Row],[LocationID]],tbl_location[LocationID],tbl_location[LocationName],"UNMAPPED_LOCATION")</f>
        <v>Subassembly</v>
      </c>
      <c r="F244">
        <v>321</v>
      </c>
      <c r="G244" s="1" t="str">
        <f>tbl_model[[#This Row],[ProductID]] &amp; "-" &amp; tbl_model[[#This Row],[LocationID]]</f>
        <v>402-50</v>
      </c>
    </row>
    <row r="245" spans="1:7">
      <c r="A245">
        <v>403</v>
      </c>
      <c r="B245">
        <v>1</v>
      </c>
      <c r="C245" t="str">
        <f>_xlfn.XLOOKUP(tbl_model[[#This Row],[ProductID]],tbl_product[ProductID],tbl_product[ProductName],"UNMAPPED_PRODUCT")</f>
        <v>External Lock Washer 3</v>
      </c>
      <c r="D245" t="str">
        <f>_xlfn.XLOOKUP(tbl_model[[#This Row],[ProductID]],tbl_product[ProductID],tbl_product[ProductNumber],"UNMAPPED_PRODUCT")</f>
        <v>LE-1000</v>
      </c>
      <c r="E245" t="str">
        <f>_xlfn.XLOOKUP(tbl_model[[#This Row],[LocationID]],tbl_location[LocationID],tbl_location[LocationName],"UNMAPPED_LOCATION")</f>
        <v>Tool Crib</v>
      </c>
      <c r="F245">
        <v>313</v>
      </c>
      <c r="G245" s="1" t="str">
        <f>tbl_model[[#This Row],[ProductID]] &amp; "-" &amp; tbl_model[[#This Row],[LocationID]]</f>
        <v>403-1</v>
      </c>
    </row>
    <row r="246" spans="1:7">
      <c r="A246">
        <v>403</v>
      </c>
      <c r="B246">
        <v>6</v>
      </c>
      <c r="C246" t="str">
        <f>_xlfn.XLOOKUP(tbl_model[[#This Row],[ProductID]],tbl_product[ProductID],tbl_product[ProductName],"UNMAPPED_PRODUCT")</f>
        <v>External Lock Washer 3</v>
      </c>
      <c r="D246" t="str">
        <f>_xlfn.XLOOKUP(tbl_model[[#This Row],[ProductID]],tbl_product[ProductID],tbl_product[ProductNumber],"UNMAPPED_PRODUCT")</f>
        <v>LE-1000</v>
      </c>
      <c r="E246" t="str">
        <f>_xlfn.XLOOKUP(tbl_model[[#This Row],[LocationID]],tbl_location[LocationID],tbl_location[LocationName],"UNMAPPED_LOCATION")</f>
        <v>Miscellaneous Storage</v>
      </c>
      <c r="F246">
        <v>350</v>
      </c>
      <c r="G246" s="1" t="str">
        <f>tbl_model[[#This Row],[ProductID]] &amp; "-" &amp; tbl_model[[#This Row],[LocationID]]</f>
        <v>403-6</v>
      </c>
    </row>
    <row r="247" spans="1:7">
      <c r="A247">
        <v>403</v>
      </c>
      <c r="B247">
        <v>50</v>
      </c>
      <c r="C247" t="str">
        <f>_xlfn.XLOOKUP(tbl_model[[#This Row],[ProductID]],tbl_product[ProductID],tbl_product[ProductName],"UNMAPPED_PRODUCT")</f>
        <v>External Lock Washer 3</v>
      </c>
      <c r="D247" t="str">
        <f>_xlfn.XLOOKUP(tbl_model[[#This Row],[ProductID]],tbl_product[ProductID],tbl_product[ProductNumber],"UNMAPPED_PRODUCT")</f>
        <v>LE-1000</v>
      </c>
      <c r="E247" t="str">
        <f>_xlfn.XLOOKUP(tbl_model[[#This Row],[LocationID]],tbl_location[LocationID],tbl_location[LocationName],"UNMAPPED_LOCATION")</f>
        <v>Subassembly</v>
      </c>
      <c r="F247">
        <v>318</v>
      </c>
      <c r="G247" s="1" t="str">
        <f>tbl_model[[#This Row],[ProductID]] &amp; "-" &amp; tbl_model[[#This Row],[LocationID]]</f>
        <v>403-50</v>
      </c>
    </row>
    <row r="248" spans="1:7">
      <c r="A248">
        <v>404</v>
      </c>
      <c r="B248">
        <v>1</v>
      </c>
      <c r="C248" t="str">
        <f>_xlfn.XLOOKUP(tbl_model[[#This Row],[ProductID]],tbl_product[ProductID],tbl_product[ProductName],"UNMAPPED_PRODUCT")</f>
        <v>External Lock Washer 4</v>
      </c>
      <c r="D248" t="str">
        <f>_xlfn.XLOOKUP(tbl_model[[#This Row],[ProductID]],tbl_product[ProductID],tbl_product[ProductNumber],"UNMAPPED_PRODUCT")</f>
        <v>LE-1200</v>
      </c>
      <c r="E248" t="str">
        <f>_xlfn.XLOOKUP(tbl_model[[#This Row],[LocationID]],tbl_location[LocationID],tbl_location[LocationName],"UNMAPPED_LOCATION")</f>
        <v>Tool Crib</v>
      </c>
      <c r="F248">
        <v>310</v>
      </c>
      <c r="G248" s="1" t="str">
        <f>tbl_model[[#This Row],[ProductID]] &amp; "-" &amp; tbl_model[[#This Row],[LocationID]]</f>
        <v>404-1</v>
      </c>
    </row>
    <row r="249" spans="1:7">
      <c r="A249">
        <v>404</v>
      </c>
      <c r="B249">
        <v>6</v>
      </c>
      <c r="C249" t="str">
        <f>_xlfn.XLOOKUP(tbl_model[[#This Row],[ProductID]],tbl_product[ProductID],tbl_product[ProductName],"UNMAPPED_PRODUCT")</f>
        <v>External Lock Washer 4</v>
      </c>
      <c r="D249" t="str">
        <f>_xlfn.XLOOKUP(tbl_model[[#This Row],[ProductID]],tbl_product[ProductID],tbl_product[ProductNumber],"UNMAPPED_PRODUCT")</f>
        <v>LE-1200</v>
      </c>
      <c r="E249" t="str">
        <f>_xlfn.XLOOKUP(tbl_model[[#This Row],[LocationID]],tbl_location[LocationID],tbl_location[LocationName],"UNMAPPED_LOCATION")</f>
        <v>Miscellaneous Storage</v>
      </c>
      <c r="F249">
        <v>347</v>
      </c>
      <c r="G249" s="1" t="str">
        <f>tbl_model[[#This Row],[ProductID]] &amp; "-" &amp; tbl_model[[#This Row],[LocationID]]</f>
        <v>404-6</v>
      </c>
    </row>
    <row r="250" spans="1:7">
      <c r="A250">
        <v>404</v>
      </c>
      <c r="B250">
        <v>50</v>
      </c>
      <c r="C250" t="str">
        <f>_xlfn.XLOOKUP(tbl_model[[#This Row],[ProductID]],tbl_product[ProductID],tbl_product[ProductName],"UNMAPPED_PRODUCT")</f>
        <v>External Lock Washer 4</v>
      </c>
      <c r="D250" t="str">
        <f>_xlfn.XLOOKUP(tbl_model[[#This Row],[ProductID]],tbl_product[ProductID],tbl_product[ProductNumber],"UNMAPPED_PRODUCT")</f>
        <v>LE-1200</v>
      </c>
      <c r="E250" t="str">
        <f>_xlfn.XLOOKUP(tbl_model[[#This Row],[LocationID]],tbl_location[LocationID],tbl_location[LocationName],"UNMAPPED_LOCATION")</f>
        <v>Subassembly</v>
      </c>
      <c r="F250">
        <v>315</v>
      </c>
      <c r="G250" s="1" t="str">
        <f>tbl_model[[#This Row],[ProductID]] &amp; "-" &amp; tbl_model[[#This Row],[LocationID]]</f>
        <v>404-50</v>
      </c>
    </row>
    <row r="251" spans="1:7">
      <c r="A251">
        <v>405</v>
      </c>
      <c r="B251">
        <v>1</v>
      </c>
      <c r="C251" t="str">
        <f>_xlfn.XLOOKUP(tbl_model[[#This Row],[ProductID]],tbl_product[ProductID],tbl_product[ProductName],"UNMAPPED_PRODUCT")</f>
        <v>External Lock Washer 9</v>
      </c>
      <c r="D251" t="str">
        <f>_xlfn.XLOOKUP(tbl_model[[#This Row],[ProductID]],tbl_product[ProductID],tbl_product[ProductNumber],"UNMAPPED_PRODUCT")</f>
        <v>LE-1201</v>
      </c>
      <c r="E251" t="str">
        <f>_xlfn.XLOOKUP(tbl_model[[#This Row],[LocationID]],tbl_location[LocationID],tbl_location[LocationName],"UNMAPPED_LOCATION")</f>
        <v>Tool Crib</v>
      </c>
      <c r="F251">
        <v>307</v>
      </c>
      <c r="G251" s="1" t="str">
        <f>tbl_model[[#This Row],[ProductID]] &amp; "-" &amp; tbl_model[[#This Row],[LocationID]]</f>
        <v>405-1</v>
      </c>
    </row>
    <row r="252" spans="1:7">
      <c r="A252">
        <v>405</v>
      </c>
      <c r="B252">
        <v>6</v>
      </c>
      <c r="C252" t="str">
        <f>_xlfn.XLOOKUP(tbl_model[[#This Row],[ProductID]],tbl_product[ProductID],tbl_product[ProductName],"UNMAPPED_PRODUCT")</f>
        <v>External Lock Washer 9</v>
      </c>
      <c r="D252" t="str">
        <f>_xlfn.XLOOKUP(tbl_model[[#This Row],[ProductID]],tbl_product[ProductID],tbl_product[ProductNumber],"UNMAPPED_PRODUCT")</f>
        <v>LE-1201</v>
      </c>
      <c r="E252" t="str">
        <f>_xlfn.XLOOKUP(tbl_model[[#This Row],[LocationID]],tbl_location[LocationID],tbl_location[LocationName],"UNMAPPED_LOCATION")</f>
        <v>Miscellaneous Storage</v>
      </c>
      <c r="F252">
        <v>344</v>
      </c>
      <c r="G252" s="1" t="str">
        <f>tbl_model[[#This Row],[ProductID]] &amp; "-" &amp; tbl_model[[#This Row],[LocationID]]</f>
        <v>405-6</v>
      </c>
    </row>
    <row r="253" spans="1:7">
      <c r="A253">
        <v>405</v>
      </c>
      <c r="B253">
        <v>50</v>
      </c>
      <c r="C253" t="str">
        <f>_xlfn.XLOOKUP(tbl_model[[#This Row],[ProductID]],tbl_product[ProductID],tbl_product[ProductName],"UNMAPPED_PRODUCT")</f>
        <v>External Lock Washer 9</v>
      </c>
      <c r="D253" t="str">
        <f>_xlfn.XLOOKUP(tbl_model[[#This Row],[ProductID]],tbl_product[ProductID],tbl_product[ProductNumber],"UNMAPPED_PRODUCT")</f>
        <v>LE-1201</v>
      </c>
      <c r="E253" t="str">
        <f>_xlfn.XLOOKUP(tbl_model[[#This Row],[LocationID]],tbl_location[LocationID],tbl_location[LocationName],"UNMAPPED_LOCATION")</f>
        <v>Subassembly</v>
      </c>
      <c r="F253">
        <v>312</v>
      </c>
      <c r="G253" s="1" t="str">
        <f>tbl_model[[#This Row],[ProductID]] &amp; "-" &amp; tbl_model[[#This Row],[LocationID]]</f>
        <v>405-50</v>
      </c>
    </row>
    <row r="254" spans="1:7">
      <c r="A254">
        <v>406</v>
      </c>
      <c r="B254">
        <v>1</v>
      </c>
      <c r="C254" t="str">
        <f>_xlfn.XLOOKUP(tbl_model[[#This Row],[ProductID]],tbl_product[ProductID],tbl_product[ProductName],"UNMAPPED_PRODUCT")</f>
        <v>External Lock Washer 5</v>
      </c>
      <c r="D254" t="str">
        <f>_xlfn.XLOOKUP(tbl_model[[#This Row],[ProductID]],tbl_product[ProductID],tbl_product[ProductNumber],"UNMAPPED_PRODUCT")</f>
        <v>LE-1400</v>
      </c>
      <c r="E254" t="str">
        <f>_xlfn.XLOOKUP(tbl_model[[#This Row],[LocationID]],tbl_location[LocationID],tbl_location[LocationName],"UNMAPPED_LOCATION")</f>
        <v>Tool Crib</v>
      </c>
      <c r="F254">
        <v>304</v>
      </c>
      <c r="G254" s="1" t="str">
        <f>tbl_model[[#This Row],[ProductID]] &amp; "-" &amp; tbl_model[[#This Row],[LocationID]]</f>
        <v>406-1</v>
      </c>
    </row>
    <row r="255" spans="1:7">
      <c r="A255">
        <v>406</v>
      </c>
      <c r="B255">
        <v>6</v>
      </c>
      <c r="C255" t="str">
        <f>_xlfn.XLOOKUP(tbl_model[[#This Row],[ProductID]],tbl_product[ProductID],tbl_product[ProductName],"UNMAPPED_PRODUCT")</f>
        <v>External Lock Washer 5</v>
      </c>
      <c r="D255" t="str">
        <f>_xlfn.XLOOKUP(tbl_model[[#This Row],[ProductID]],tbl_product[ProductID],tbl_product[ProductNumber],"UNMAPPED_PRODUCT")</f>
        <v>LE-1400</v>
      </c>
      <c r="E255" t="str">
        <f>_xlfn.XLOOKUP(tbl_model[[#This Row],[LocationID]],tbl_location[LocationID],tbl_location[LocationName],"UNMAPPED_LOCATION")</f>
        <v>Miscellaneous Storage</v>
      </c>
      <c r="F255">
        <v>340</v>
      </c>
      <c r="G255" s="1" t="str">
        <f>tbl_model[[#This Row],[ProductID]] &amp; "-" &amp; tbl_model[[#This Row],[LocationID]]</f>
        <v>406-6</v>
      </c>
    </row>
    <row r="256" spans="1:7">
      <c r="A256">
        <v>406</v>
      </c>
      <c r="B256">
        <v>50</v>
      </c>
      <c r="C256" t="str">
        <f>_xlfn.XLOOKUP(tbl_model[[#This Row],[ProductID]],tbl_product[ProductID],tbl_product[ProductName],"UNMAPPED_PRODUCT")</f>
        <v>External Lock Washer 5</v>
      </c>
      <c r="D256" t="str">
        <f>_xlfn.XLOOKUP(tbl_model[[#This Row],[ProductID]],tbl_product[ProductID],tbl_product[ProductNumber],"UNMAPPED_PRODUCT")</f>
        <v>LE-1400</v>
      </c>
      <c r="E256" t="str">
        <f>_xlfn.XLOOKUP(tbl_model[[#This Row],[LocationID]],tbl_location[LocationID],tbl_location[LocationName],"UNMAPPED_LOCATION")</f>
        <v>Subassembly</v>
      </c>
      <c r="F256">
        <v>308</v>
      </c>
      <c r="G256" s="1" t="str">
        <f>tbl_model[[#This Row],[ProductID]] &amp; "-" &amp; tbl_model[[#This Row],[LocationID]]</f>
        <v>406-50</v>
      </c>
    </row>
    <row r="257" spans="1:7">
      <c r="A257">
        <v>407</v>
      </c>
      <c r="B257">
        <v>1</v>
      </c>
      <c r="C257" t="str">
        <f>_xlfn.XLOOKUP(tbl_model[[#This Row],[ProductID]],tbl_product[ProductID],tbl_product[ProductName],"UNMAPPED_PRODUCT")</f>
        <v>External Lock Washer 7</v>
      </c>
      <c r="D257" t="str">
        <f>_xlfn.XLOOKUP(tbl_model[[#This Row],[ProductID]],tbl_product[ProductID],tbl_product[ProductNumber],"UNMAPPED_PRODUCT")</f>
        <v>LE-3800</v>
      </c>
      <c r="E257" t="str">
        <f>_xlfn.XLOOKUP(tbl_model[[#This Row],[LocationID]],tbl_location[LocationID],tbl_location[LocationName],"UNMAPPED_LOCATION")</f>
        <v>Tool Crib</v>
      </c>
      <c r="F257">
        <v>460</v>
      </c>
      <c r="G257" s="1" t="str">
        <f>tbl_model[[#This Row],[ProductID]] &amp; "-" &amp; tbl_model[[#This Row],[LocationID]]</f>
        <v>407-1</v>
      </c>
    </row>
    <row r="258" spans="1:7">
      <c r="A258">
        <v>407</v>
      </c>
      <c r="B258">
        <v>6</v>
      </c>
      <c r="C258" t="str">
        <f>_xlfn.XLOOKUP(tbl_model[[#This Row],[ProductID]],tbl_product[ProductID],tbl_product[ProductName],"UNMAPPED_PRODUCT")</f>
        <v>External Lock Washer 7</v>
      </c>
      <c r="D258" t="str">
        <f>_xlfn.XLOOKUP(tbl_model[[#This Row],[ProductID]],tbl_product[ProductID],tbl_product[ProductNumber],"UNMAPPED_PRODUCT")</f>
        <v>LE-3800</v>
      </c>
      <c r="E258" t="str">
        <f>_xlfn.XLOOKUP(tbl_model[[#This Row],[LocationID]],tbl_location[LocationID],tbl_location[LocationName],"UNMAPPED_LOCATION")</f>
        <v>Miscellaneous Storage</v>
      </c>
      <c r="F258">
        <v>587</v>
      </c>
      <c r="G258" s="1" t="str">
        <f>tbl_model[[#This Row],[ProductID]] &amp; "-" &amp; tbl_model[[#This Row],[LocationID]]</f>
        <v>407-6</v>
      </c>
    </row>
    <row r="259" spans="1:7">
      <c r="A259">
        <v>407</v>
      </c>
      <c r="B259">
        <v>50</v>
      </c>
      <c r="C259" t="str">
        <f>_xlfn.XLOOKUP(tbl_model[[#This Row],[ProductID]],tbl_product[ProductID],tbl_product[ProductName],"UNMAPPED_PRODUCT")</f>
        <v>External Lock Washer 7</v>
      </c>
      <c r="D259" t="str">
        <f>_xlfn.XLOOKUP(tbl_model[[#This Row],[ProductID]],tbl_product[ProductID],tbl_product[ProductNumber],"UNMAPPED_PRODUCT")</f>
        <v>LE-3800</v>
      </c>
      <c r="E259" t="str">
        <f>_xlfn.XLOOKUP(tbl_model[[#This Row],[LocationID]],tbl_location[LocationID],tbl_location[LocationName],"UNMAPPED_LOCATION")</f>
        <v>Subassembly</v>
      </c>
      <c r="F259">
        <v>625</v>
      </c>
      <c r="G259" s="1" t="str">
        <f>tbl_model[[#This Row],[ProductID]] &amp; "-" &amp; tbl_model[[#This Row],[LocationID]]</f>
        <v>407-50</v>
      </c>
    </row>
    <row r="260" spans="1:7">
      <c r="A260">
        <v>408</v>
      </c>
      <c r="B260">
        <v>1</v>
      </c>
      <c r="C260" t="str">
        <f>_xlfn.XLOOKUP(tbl_model[[#This Row],[ProductID]],tbl_product[ProductID],tbl_product[ProductName],"UNMAPPED_PRODUCT")</f>
        <v>External Lock Washer 6</v>
      </c>
      <c r="D260" t="str">
        <f>_xlfn.XLOOKUP(tbl_model[[#This Row],[ProductID]],tbl_product[ProductID],tbl_product[ProductNumber],"UNMAPPED_PRODUCT")</f>
        <v>LE-5160</v>
      </c>
      <c r="E260" t="str">
        <f>_xlfn.XLOOKUP(tbl_model[[#This Row],[LocationID]],tbl_location[LocationID],tbl_location[LocationName],"UNMAPPED_LOCATION")</f>
        <v>Tool Crib</v>
      </c>
      <c r="F260">
        <v>417</v>
      </c>
      <c r="G260" s="1" t="str">
        <f>tbl_model[[#This Row],[ProductID]] &amp; "-" &amp; tbl_model[[#This Row],[LocationID]]</f>
        <v>408-1</v>
      </c>
    </row>
    <row r="261" spans="1:7">
      <c r="A261">
        <v>408</v>
      </c>
      <c r="B261">
        <v>6</v>
      </c>
      <c r="C261" t="str">
        <f>_xlfn.XLOOKUP(tbl_model[[#This Row],[ProductID]],tbl_product[ProductID],tbl_product[ProductName],"UNMAPPED_PRODUCT")</f>
        <v>External Lock Washer 6</v>
      </c>
      <c r="D261" t="str">
        <f>_xlfn.XLOOKUP(tbl_model[[#This Row],[ProductID]],tbl_product[ProductID],tbl_product[ProductNumber],"UNMAPPED_PRODUCT")</f>
        <v>LE-5160</v>
      </c>
      <c r="E261" t="str">
        <f>_xlfn.XLOOKUP(tbl_model[[#This Row],[LocationID]],tbl_location[LocationID],tbl_location[LocationName],"UNMAPPED_LOCATION")</f>
        <v>Miscellaneous Storage</v>
      </c>
      <c r="F261">
        <v>344</v>
      </c>
      <c r="G261" s="1" t="str">
        <f>tbl_model[[#This Row],[ProductID]] &amp; "-" &amp; tbl_model[[#This Row],[LocationID]]</f>
        <v>408-6</v>
      </c>
    </row>
    <row r="262" spans="1:7">
      <c r="A262">
        <v>408</v>
      </c>
      <c r="B262">
        <v>50</v>
      </c>
      <c r="C262" t="str">
        <f>_xlfn.XLOOKUP(tbl_model[[#This Row],[ProductID]],tbl_product[ProductID],tbl_product[ProductName],"UNMAPPED_PRODUCT")</f>
        <v>External Lock Washer 6</v>
      </c>
      <c r="D262" t="str">
        <f>_xlfn.XLOOKUP(tbl_model[[#This Row],[ProductID]],tbl_product[ProductID],tbl_product[ProductNumber],"UNMAPPED_PRODUCT")</f>
        <v>LE-5160</v>
      </c>
      <c r="E262" t="str">
        <f>_xlfn.XLOOKUP(tbl_model[[#This Row],[LocationID]],tbl_location[LocationID],tbl_location[LocationName],"UNMAPPED_LOCATION")</f>
        <v>Subassembly</v>
      </c>
      <c r="F262">
        <v>296</v>
      </c>
      <c r="G262" s="1" t="str">
        <f>tbl_model[[#This Row],[ProductID]] &amp; "-" &amp; tbl_model[[#This Row],[LocationID]]</f>
        <v>408-50</v>
      </c>
    </row>
    <row r="263" spans="1:7">
      <c r="A263">
        <v>409</v>
      </c>
      <c r="B263">
        <v>1</v>
      </c>
      <c r="C263" t="str">
        <f>_xlfn.XLOOKUP(tbl_model[[#This Row],[ProductID]],tbl_product[ProductID],tbl_product[ProductName],"UNMAPPED_PRODUCT")</f>
        <v>External Lock Washer 1</v>
      </c>
      <c r="D263" t="str">
        <f>_xlfn.XLOOKUP(tbl_model[[#This Row],[ProductID]],tbl_product[ProductID],tbl_product[ProductNumber],"UNMAPPED_PRODUCT")</f>
        <v>LE-6000</v>
      </c>
      <c r="E263" t="str">
        <f>_xlfn.XLOOKUP(tbl_model[[#This Row],[LocationID]],tbl_location[LocationID],tbl_location[LocationName],"UNMAPPED_LOCATION")</f>
        <v>Tool Crib</v>
      </c>
      <c r="F263">
        <v>414</v>
      </c>
      <c r="G263" s="1" t="str">
        <f>tbl_model[[#This Row],[ProductID]] &amp; "-" &amp; tbl_model[[#This Row],[LocationID]]</f>
        <v>409-1</v>
      </c>
    </row>
    <row r="264" spans="1:7">
      <c r="A264">
        <v>409</v>
      </c>
      <c r="B264">
        <v>6</v>
      </c>
      <c r="C264" t="str">
        <f>_xlfn.XLOOKUP(tbl_model[[#This Row],[ProductID]],tbl_product[ProductID],tbl_product[ProductName],"UNMAPPED_PRODUCT")</f>
        <v>External Lock Washer 1</v>
      </c>
      <c r="D264" t="str">
        <f>_xlfn.XLOOKUP(tbl_model[[#This Row],[ProductID]],tbl_product[ProductID],tbl_product[ProductNumber],"UNMAPPED_PRODUCT")</f>
        <v>LE-6000</v>
      </c>
      <c r="E264" t="str">
        <f>_xlfn.XLOOKUP(tbl_model[[#This Row],[LocationID]],tbl_location[LocationID],tbl_location[LocationName],"UNMAPPED_LOCATION")</f>
        <v>Miscellaneous Storage</v>
      </c>
      <c r="F264">
        <v>340</v>
      </c>
      <c r="G264" s="1" t="str">
        <f>tbl_model[[#This Row],[ProductID]] &amp; "-" &amp; tbl_model[[#This Row],[LocationID]]</f>
        <v>409-6</v>
      </c>
    </row>
    <row r="265" spans="1:7">
      <c r="A265">
        <v>409</v>
      </c>
      <c r="B265">
        <v>50</v>
      </c>
      <c r="C265" t="str">
        <f>_xlfn.XLOOKUP(tbl_model[[#This Row],[ProductID]],tbl_product[ProductID],tbl_product[ProductName],"UNMAPPED_PRODUCT")</f>
        <v>External Lock Washer 1</v>
      </c>
      <c r="D265" t="str">
        <f>_xlfn.XLOOKUP(tbl_model[[#This Row],[ProductID]],tbl_product[ProductID],tbl_product[ProductNumber],"UNMAPPED_PRODUCT")</f>
        <v>LE-6000</v>
      </c>
      <c r="E265" t="str">
        <f>_xlfn.XLOOKUP(tbl_model[[#This Row],[LocationID]],tbl_location[LocationID],tbl_location[LocationName],"UNMAPPED_LOCATION")</f>
        <v>Subassembly</v>
      </c>
      <c r="F265">
        <v>292</v>
      </c>
      <c r="G265" s="1" t="str">
        <f>tbl_model[[#This Row],[ProductID]] &amp; "-" &amp; tbl_model[[#This Row],[LocationID]]</f>
        <v>409-50</v>
      </c>
    </row>
    <row r="266" spans="1:7">
      <c r="A266">
        <v>410</v>
      </c>
      <c r="B266">
        <v>1</v>
      </c>
      <c r="C266" t="str">
        <f>_xlfn.XLOOKUP(tbl_model[[#This Row],[ProductID]],tbl_product[ProductID],tbl_product[ProductName],"UNMAPPED_PRODUCT")</f>
        <v>External Lock Washer 8</v>
      </c>
      <c r="D266" t="str">
        <f>_xlfn.XLOOKUP(tbl_model[[#This Row],[ProductID]],tbl_product[ProductID],tbl_product[ProductNumber],"UNMAPPED_PRODUCT")</f>
        <v>LE-7160</v>
      </c>
      <c r="E266" t="str">
        <f>_xlfn.XLOOKUP(tbl_model[[#This Row],[LocationID]],tbl_location[LocationID],tbl_location[LocationName],"UNMAPPED_LOCATION")</f>
        <v>Tool Crib</v>
      </c>
      <c r="F266">
        <v>411</v>
      </c>
      <c r="G266" s="1" t="str">
        <f>tbl_model[[#This Row],[ProductID]] &amp; "-" &amp; tbl_model[[#This Row],[LocationID]]</f>
        <v>410-1</v>
      </c>
    </row>
    <row r="267" spans="1:7">
      <c r="A267">
        <v>410</v>
      </c>
      <c r="B267">
        <v>6</v>
      </c>
      <c r="C267" t="str">
        <f>_xlfn.XLOOKUP(tbl_model[[#This Row],[ProductID]],tbl_product[ProductID],tbl_product[ProductName],"UNMAPPED_PRODUCT")</f>
        <v>External Lock Washer 8</v>
      </c>
      <c r="D267" t="str">
        <f>_xlfn.XLOOKUP(tbl_model[[#This Row],[ProductID]],tbl_product[ProductID],tbl_product[ProductNumber],"UNMAPPED_PRODUCT")</f>
        <v>LE-7160</v>
      </c>
      <c r="E267" t="str">
        <f>_xlfn.XLOOKUP(tbl_model[[#This Row],[LocationID]],tbl_location[LocationID],tbl_location[LocationName],"UNMAPPED_LOCATION")</f>
        <v>Miscellaneous Storage</v>
      </c>
      <c r="F267">
        <v>337</v>
      </c>
      <c r="G267" s="1" t="str">
        <f>tbl_model[[#This Row],[ProductID]] &amp; "-" &amp; tbl_model[[#This Row],[LocationID]]</f>
        <v>410-6</v>
      </c>
    </row>
    <row r="268" spans="1:7">
      <c r="A268">
        <v>410</v>
      </c>
      <c r="B268">
        <v>50</v>
      </c>
      <c r="C268" t="str">
        <f>_xlfn.XLOOKUP(tbl_model[[#This Row],[ProductID]],tbl_product[ProductID],tbl_product[ProductName],"UNMAPPED_PRODUCT")</f>
        <v>External Lock Washer 8</v>
      </c>
      <c r="D268" t="str">
        <f>_xlfn.XLOOKUP(tbl_model[[#This Row],[ProductID]],tbl_product[ProductID],tbl_product[ProductNumber],"UNMAPPED_PRODUCT")</f>
        <v>LE-7160</v>
      </c>
      <c r="E268" t="str">
        <f>_xlfn.XLOOKUP(tbl_model[[#This Row],[LocationID]],tbl_location[LocationID],tbl_location[LocationName],"UNMAPPED_LOCATION")</f>
        <v>Subassembly</v>
      </c>
      <c r="F268">
        <v>289</v>
      </c>
      <c r="G268" s="1" t="str">
        <f>tbl_model[[#This Row],[ProductID]] &amp; "-" &amp; tbl_model[[#This Row],[LocationID]]</f>
        <v>410-50</v>
      </c>
    </row>
    <row r="269" spans="1:7">
      <c r="A269">
        <v>411</v>
      </c>
      <c r="B269">
        <v>1</v>
      </c>
      <c r="C269" t="str">
        <f>_xlfn.XLOOKUP(tbl_model[[#This Row],[ProductID]],tbl_product[ProductID],tbl_product[ProductName],"UNMAPPED_PRODUCT")</f>
        <v>External Lock Washer 2</v>
      </c>
      <c r="D269" t="str">
        <f>_xlfn.XLOOKUP(tbl_model[[#This Row],[ProductID]],tbl_product[ProductID],tbl_product[ProductNumber],"UNMAPPED_PRODUCT")</f>
        <v>LE-8000</v>
      </c>
      <c r="E269" t="str">
        <f>_xlfn.XLOOKUP(tbl_model[[#This Row],[LocationID]],tbl_location[LocationID],tbl_location[LocationName],"UNMAPPED_LOCATION")</f>
        <v>Tool Crib</v>
      </c>
      <c r="F269">
        <v>603</v>
      </c>
      <c r="G269" s="1" t="str">
        <f>tbl_model[[#This Row],[ProductID]] &amp; "-" &amp; tbl_model[[#This Row],[LocationID]]</f>
        <v>411-1</v>
      </c>
    </row>
    <row r="270" spans="1:7">
      <c r="A270">
        <v>411</v>
      </c>
      <c r="B270">
        <v>6</v>
      </c>
      <c r="C270" t="str">
        <f>_xlfn.XLOOKUP(tbl_model[[#This Row],[ProductID]],tbl_product[ProductID],tbl_product[ProductName],"UNMAPPED_PRODUCT")</f>
        <v>External Lock Washer 2</v>
      </c>
      <c r="D270" t="str">
        <f>_xlfn.XLOOKUP(tbl_model[[#This Row],[ProductID]],tbl_product[ProductID],tbl_product[ProductNumber],"UNMAPPED_PRODUCT")</f>
        <v>LE-8000</v>
      </c>
      <c r="E270" t="str">
        <f>_xlfn.XLOOKUP(tbl_model[[#This Row],[LocationID]],tbl_location[LocationID],tbl_location[LocationName],"UNMAPPED_LOCATION")</f>
        <v>Miscellaneous Storage</v>
      </c>
      <c r="F270">
        <v>552</v>
      </c>
      <c r="G270" s="1" t="str">
        <f>tbl_model[[#This Row],[ProductID]] &amp; "-" &amp; tbl_model[[#This Row],[LocationID]]</f>
        <v>411-6</v>
      </c>
    </row>
    <row r="271" spans="1:7">
      <c r="A271">
        <v>411</v>
      </c>
      <c r="B271">
        <v>50</v>
      </c>
      <c r="C271" t="str">
        <f>_xlfn.XLOOKUP(tbl_model[[#This Row],[ProductID]],tbl_product[ProductID],tbl_product[ProductName],"UNMAPPED_PRODUCT")</f>
        <v>External Lock Washer 2</v>
      </c>
      <c r="D271" t="str">
        <f>_xlfn.XLOOKUP(tbl_model[[#This Row],[ProductID]],tbl_product[ProductID],tbl_product[ProductNumber],"UNMAPPED_PRODUCT")</f>
        <v>LE-8000</v>
      </c>
      <c r="E271" t="str">
        <f>_xlfn.XLOOKUP(tbl_model[[#This Row],[LocationID]],tbl_location[LocationID],tbl_location[LocationName],"UNMAPPED_LOCATION")</f>
        <v>Subassembly</v>
      </c>
      <c r="F271">
        <v>459</v>
      </c>
      <c r="G271" s="1" t="str">
        <f>tbl_model[[#This Row],[ProductID]] &amp; "-" &amp; tbl_model[[#This Row],[LocationID]]</f>
        <v>411-50</v>
      </c>
    </row>
    <row r="272" spans="1:7">
      <c r="A272">
        <v>412</v>
      </c>
      <c r="B272">
        <v>1</v>
      </c>
      <c r="C272" t="str">
        <f>_xlfn.XLOOKUP(tbl_model[[#This Row],[ProductID]],tbl_product[ProductID],tbl_product[ProductName],"UNMAPPED_PRODUCT")</f>
        <v>Internal Lock Washer 3</v>
      </c>
      <c r="D272" t="str">
        <f>_xlfn.XLOOKUP(tbl_model[[#This Row],[ProductID]],tbl_product[ProductID],tbl_product[ProductNumber],"UNMAPPED_PRODUCT")</f>
        <v>LI-1000</v>
      </c>
      <c r="E272" t="str">
        <f>_xlfn.XLOOKUP(tbl_model[[#This Row],[LocationID]],tbl_location[LocationID],tbl_location[LocationName],"UNMAPPED_LOCATION")</f>
        <v>Tool Crib</v>
      </c>
      <c r="F272">
        <v>299</v>
      </c>
      <c r="G272" s="1" t="str">
        <f>tbl_model[[#This Row],[ProductID]] &amp; "-" &amp; tbl_model[[#This Row],[LocationID]]</f>
        <v>412-1</v>
      </c>
    </row>
    <row r="273" spans="1:7">
      <c r="A273">
        <v>412</v>
      </c>
      <c r="B273">
        <v>6</v>
      </c>
      <c r="C273" t="str">
        <f>_xlfn.XLOOKUP(tbl_model[[#This Row],[ProductID]],tbl_product[ProductID],tbl_product[ProductName],"UNMAPPED_PRODUCT")</f>
        <v>Internal Lock Washer 3</v>
      </c>
      <c r="D273" t="str">
        <f>_xlfn.XLOOKUP(tbl_model[[#This Row],[ProductID]],tbl_product[ProductID],tbl_product[ProductNumber],"UNMAPPED_PRODUCT")</f>
        <v>LI-1000</v>
      </c>
      <c r="E273" t="str">
        <f>_xlfn.XLOOKUP(tbl_model[[#This Row],[LocationID]],tbl_location[LocationID],tbl_location[LocationName],"UNMAPPED_LOCATION")</f>
        <v>Miscellaneous Storage</v>
      </c>
      <c r="F273">
        <v>321</v>
      </c>
      <c r="G273" s="1" t="str">
        <f>tbl_model[[#This Row],[ProductID]] &amp; "-" &amp; tbl_model[[#This Row],[LocationID]]</f>
        <v>412-6</v>
      </c>
    </row>
    <row r="274" spans="1:7">
      <c r="A274">
        <v>412</v>
      </c>
      <c r="B274">
        <v>50</v>
      </c>
      <c r="C274" t="str">
        <f>_xlfn.XLOOKUP(tbl_model[[#This Row],[ProductID]],tbl_product[ProductID],tbl_product[ProductName],"UNMAPPED_PRODUCT")</f>
        <v>Internal Lock Washer 3</v>
      </c>
      <c r="D274" t="str">
        <f>_xlfn.XLOOKUP(tbl_model[[#This Row],[ProductID]],tbl_product[ProductID],tbl_product[ProductNumber],"UNMAPPED_PRODUCT")</f>
        <v>LI-1000</v>
      </c>
      <c r="E274" t="str">
        <f>_xlfn.XLOOKUP(tbl_model[[#This Row],[LocationID]],tbl_location[LocationID],tbl_location[LocationName],"UNMAPPED_LOCATION")</f>
        <v>Subassembly</v>
      </c>
      <c r="F274">
        <v>156</v>
      </c>
      <c r="G274" s="1" t="str">
        <f>tbl_model[[#This Row],[ProductID]] &amp; "-" &amp; tbl_model[[#This Row],[LocationID]]</f>
        <v>412-50</v>
      </c>
    </row>
    <row r="275" spans="1:7">
      <c r="A275">
        <v>413</v>
      </c>
      <c r="B275">
        <v>1</v>
      </c>
      <c r="C275" t="str">
        <f>_xlfn.XLOOKUP(tbl_model[[#This Row],[ProductID]],tbl_product[ProductID],tbl_product[ProductName],"UNMAPPED_PRODUCT")</f>
        <v>Internal Lock Washer 4</v>
      </c>
      <c r="D275" t="str">
        <f>_xlfn.XLOOKUP(tbl_model[[#This Row],[ProductID]],tbl_product[ProductID],tbl_product[ProductNumber],"UNMAPPED_PRODUCT")</f>
        <v>LI-1200</v>
      </c>
      <c r="E275" t="str">
        <f>_xlfn.XLOOKUP(tbl_model[[#This Row],[LocationID]],tbl_location[LocationID],tbl_location[LocationName],"UNMAPPED_LOCATION")</f>
        <v>Tool Crib</v>
      </c>
      <c r="F275">
        <v>641</v>
      </c>
      <c r="G275" s="1" t="str">
        <f>tbl_model[[#This Row],[ProductID]] &amp; "-" &amp; tbl_model[[#This Row],[LocationID]]</f>
        <v>413-1</v>
      </c>
    </row>
    <row r="276" spans="1:7">
      <c r="A276">
        <v>413</v>
      </c>
      <c r="B276">
        <v>6</v>
      </c>
      <c r="C276" t="str">
        <f>_xlfn.XLOOKUP(tbl_model[[#This Row],[ProductID]],tbl_product[ProductID],tbl_product[ProductName],"UNMAPPED_PRODUCT")</f>
        <v>Internal Lock Washer 4</v>
      </c>
      <c r="D276" t="str">
        <f>_xlfn.XLOOKUP(tbl_model[[#This Row],[ProductID]],tbl_product[ProductID],tbl_product[ProductNumber],"UNMAPPED_PRODUCT")</f>
        <v>LI-1200</v>
      </c>
      <c r="E276" t="str">
        <f>_xlfn.XLOOKUP(tbl_model[[#This Row],[LocationID]],tbl_location[LocationID],tbl_location[LocationName],"UNMAPPED_LOCATION")</f>
        <v>Miscellaneous Storage</v>
      </c>
      <c r="F276">
        <v>603</v>
      </c>
      <c r="G276" s="1" t="str">
        <f>tbl_model[[#This Row],[ProductID]] &amp; "-" &amp; tbl_model[[#This Row],[LocationID]]</f>
        <v>413-6</v>
      </c>
    </row>
    <row r="277" spans="1:7">
      <c r="A277">
        <v>413</v>
      </c>
      <c r="B277">
        <v>50</v>
      </c>
      <c r="C277" t="str">
        <f>_xlfn.XLOOKUP(tbl_model[[#This Row],[ProductID]],tbl_product[ProductID],tbl_product[ProductName],"UNMAPPED_PRODUCT")</f>
        <v>Internal Lock Washer 4</v>
      </c>
      <c r="D277" t="str">
        <f>_xlfn.XLOOKUP(tbl_model[[#This Row],[ProductID]],tbl_product[ProductID],tbl_product[ProductNumber],"UNMAPPED_PRODUCT")</f>
        <v>LI-1200</v>
      </c>
      <c r="E277" t="str">
        <f>_xlfn.XLOOKUP(tbl_model[[#This Row],[LocationID]],tbl_location[LocationID],tbl_location[LocationName],"UNMAPPED_LOCATION")</f>
        <v>Subassembly</v>
      </c>
      <c r="F277">
        <v>459</v>
      </c>
      <c r="G277" s="1" t="str">
        <f>tbl_model[[#This Row],[ProductID]] &amp; "-" &amp; tbl_model[[#This Row],[LocationID]]</f>
        <v>413-50</v>
      </c>
    </row>
    <row r="278" spans="1:7">
      <c r="A278">
        <v>414</v>
      </c>
      <c r="B278">
        <v>1</v>
      </c>
      <c r="C278" t="str">
        <f>_xlfn.XLOOKUP(tbl_model[[#This Row],[ProductID]],tbl_product[ProductID],tbl_product[ProductName],"UNMAPPED_PRODUCT")</f>
        <v>Internal Lock Washer 9</v>
      </c>
      <c r="D278" t="str">
        <f>_xlfn.XLOOKUP(tbl_model[[#This Row],[ProductID]],tbl_product[ProductID],tbl_product[ProductNumber],"UNMAPPED_PRODUCT")</f>
        <v>LI-1201</v>
      </c>
      <c r="E278" t="str">
        <f>_xlfn.XLOOKUP(tbl_model[[#This Row],[LocationID]],tbl_location[LocationID],tbl_location[LocationName],"UNMAPPED_LOCATION")</f>
        <v>Tool Crib</v>
      </c>
      <c r="F278">
        <v>427</v>
      </c>
      <c r="G278" s="1" t="str">
        <f>tbl_model[[#This Row],[ProductID]] &amp; "-" &amp; tbl_model[[#This Row],[LocationID]]</f>
        <v>414-1</v>
      </c>
    </row>
    <row r="279" spans="1:7">
      <c r="A279">
        <v>414</v>
      </c>
      <c r="B279">
        <v>6</v>
      </c>
      <c r="C279" t="str">
        <f>_xlfn.XLOOKUP(tbl_model[[#This Row],[ProductID]],tbl_product[ProductID],tbl_product[ProductName],"UNMAPPED_PRODUCT")</f>
        <v>Internal Lock Washer 9</v>
      </c>
      <c r="D279" t="str">
        <f>_xlfn.XLOOKUP(tbl_model[[#This Row],[ProductID]],tbl_product[ProductID],tbl_product[ProductNumber],"UNMAPPED_PRODUCT")</f>
        <v>LI-1201</v>
      </c>
      <c r="E279" t="str">
        <f>_xlfn.XLOOKUP(tbl_model[[#This Row],[LocationID]],tbl_location[LocationID],tbl_location[LocationName],"UNMAPPED_LOCATION")</f>
        <v>Miscellaneous Storage</v>
      </c>
      <c r="F279">
        <v>321</v>
      </c>
      <c r="G279" s="1" t="str">
        <f>tbl_model[[#This Row],[ProductID]] &amp; "-" &amp; tbl_model[[#This Row],[LocationID]]</f>
        <v>414-6</v>
      </c>
    </row>
    <row r="280" spans="1:7">
      <c r="A280">
        <v>414</v>
      </c>
      <c r="B280">
        <v>50</v>
      </c>
      <c r="C280" t="str">
        <f>_xlfn.XLOOKUP(tbl_model[[#This Row],[ProductID]],tbl_product[ProductID],tbl_product[ProductName],"UNMAPPED_PRODUCT")</f>
        <v>Internal Lock Washer 9</v>
      </c>
      <c r="D280" t="str">
        <f>_xlfn.XLOOKUP(tbl_model[[#This Row],[ProductID]],tbl_product[ProductID],tbl_product[ProductNumber],"UNMAPPED_PRODUCT")</f>
        <v>LI-1201</v>
      </c>
      <c r="E280" t="str">
        <f>_xlfn.XLOOKUP(tbl_model[[#This Row],[LocationID]],tbl_location[LocationID],tbl_location[LocationName],"UNMAPPED_LOCATION")</f>
        <v>Subassembly</v>
      </c>
      <c r="F280">
        <v>371</v>
      </c>
      <c r="G280" s="1" t="str">
        <f>tbl_model[[#This Row],[ProductID]] &amp; "-" &amp; tbl_model[[#This Row],[LocationID]]</f>
        <v>414-50</v>
      </c>
    </row>
    <row r="281" spans="1:7">
      <c r="A281">
        <v>415</v>
      </c>
      <c r="B281">
        <v>1</v>
      </c>
      <c r="C281" t="str">
        <f>_xlfn.XLOOKUP(tbl_model[[#This Row],[ProductID]],tbl_product[ProductID],tbl_product[ProductName],"UNMAPPED_PRODUCT")</f>
        <v>Internal Lock Washer 5</v>
      </c>
      <c r="D281" t="str">
        <f>_xlfn.XLOOKUP(tbl_model[[#This Row],[ProductID]],tbl_product[ProductID],tbl_product[ProductNumber],"UNMAPPED_PRODUCT")</f>
        <v>LI-1400</v>
      </c>
      <c r="E281" t="str">
        <f>_xlfn.XLOOKUP(tbl_model[[#This Row],[LocationID]],tbl_location[LocationID],tbl_location[LocationName],"UNMAPPED_LOCATION")</f>
        <v>Tool Crib</v>
      </c>
      <c r="F281">
        <v>422</v>
      </c>
      <c r="G281" s="1" t="str">
        <f>tbl_model[[#This Row],[ProductID]] &amp; "-" &amp; tbl_model[[#This Row],[LocationID]]</f>
        <v>415-1</v>
      </c>
    </row>
    <row r="282" spans="1:7">
      <c r="A282">
        <v>415</v>
      </c>
      <c r="B282">
        <v>6</v>
      </c>
      <c r="C282" t="str">
        <f>_xlfn.XLOOKUP(tbl_model[[#This Row],[ProductID]],tbl_product[ProductID],tbl_product[ProductName],"UNMAPPED_PRODUCT")</f>
        <v>Internal Lock Washer 5</v>
      </c>
      <c r="D282" t="str">
        <f>_xlfn.XLOOKUP(tbl_model[[#This Row],[ProductID]],tbl_product[ProductID],tbl_product[ProductNumber],"UNMAPPED_PRODUCT")</f>
        <v>LI-1400</v>
      </c>
      <c r="E282" t="str">
        <f>_xlfn.XLOOKUP(tbl_model[[#This Row],[LocationID]],tbl_location[LocationID],tbl_location[LocationName],"UNMAPPED_LOCATION")</f>
        <v>Miscellaneous Storage</v>
      </c>
      <c r="F282">
        <v>316</v>
      </c>
      <c r="G282" s="1" t="str">
        <f>tbl_model[[#This Row],[ProductID]] &amp; "-" &amp; tbl_model[[#This Row],[LocationID]]</f>
        <v>415-6</v>
      </c>
    </row>
    <row r="283" spans="1:7">
      <c r="A283">
        <v>415</v>
      </c>
      <c r="B283">
        <v>50</v>
      </c>
      <c r="C283" t="str">
        <f>_xlfn.XLOOKUP(tbl_model[[#This Row],[ProductID]],tbl_product[ProductID],tbl_product[ProductName],"UNMAPPED_PRODUCT")</f>
        <v>Internal Lock Washer 5</v>
      </c>
      <c r="D283" t="str">
        <f>_xlfn.XLOOKUP(tbl_model[[#This Row],[ProductID]],tbl_product[ProductID],tbl_product[ProductNumber],"UNMAPPED_PRODUCT")</f>
        <v>LI-1400</v>
      </c>
      <c r="E283" t="str">
        <f>_xlfn.XLOOKUP(tbl_model[[#This Row],[LocationID]],tbl_location[LocationID],tbl_location[LocationName],"UNMAPPED_LOCATION")</f>
        <v>Subassembly</v>
      </c>
      <c r="F283">
        <v>366</v>
      </c>
      <c r="G283" s="1" t="str">
        <f>tbl_model[[#This Row],[ProductID]] &amp; "-" &amp; tbl_model[[#This Row],[LocationID]]</f>
        <v>415-50</v>
      </c>
    </row>
    <row r="284" spans="1:7">
      <c r="A284">
        <v>416</v>
      </c>
      <c r="B284">
        <v>1</v>
      </c>
      <c r="C284" t="str">
        <f>_xlfn.XLOOKUP(tbl_model[[#This Row],[ProductID]],tbl_product[ProductID],tbl_product[ProductName],"UNMAPPED_PRODUCT")</f>
        <v>Internal Lock Washer 7</v>
      </c>
      <c r="D284" t="str">
        <f>_xlfn.XLOOKUP(tbl_model[[#This Row],[ProductID]],tbl_product[ProductID],tbl_product[ProductNumber],"UNMAPPED_PRODUCT")</f>
        <v>LI-3800</v>
      </c>
      <c r="E284" t="str">
        <f>_xlfn.XLOOKUP(tbl_model[[#This Row],[LocationID]],tbl_location[LocationID],tbl_location[LocationName],"UNMAPPED_LOCATION")</f>
        <v>Tool Crib</v>
      </c>
      <c r="F284">
        <v>417</v>
      </c>
      <c r="G284" s="1" t="str">
        <f>tbl_model[[#This Row],[ProductID]] &amp; "-" &amp; tbl_model[[#This Row],[LocationID]]</f>
        <v>416-1</v>
      </c>
    </row>
    <row r="285" spans="1:7">
      <c r="A285">
        <v>416</v>
      </c>
      <c r="B285">
        <v>6</v>
      </c>
      <c r="C285" t="str">
        <f>_xlfn.XLOOKUP(tbl_model[[#This Row],[ProductID]],tbl_product[ProductID],tbl_product[ProductName],"UNMAPPED_PRODUCT")</f>
        <v>Internal Lock Washer 7</v>
      </c>
      <c r="D285" t="str">
        <f>_xlfn.XLOOKUP(tbl_model[[#This Row],[ProductID]],tbl_product[ProductID],tbl_product[ProductNumber],"UNMAPPED_PRODUCT")</f>
        <v>LI-3800</v>
      </c>
      <c r="E285" t="str">
        <f>_xlfn.XLOOKUP(tbl_model[[#This Row],[LocationID]],tbl_location[LocationID],tbl_location[LocationName],"UNMAPPED_LOCATION")</f>
        <v>Miscellaneous Storage</v>
      </c>
      <c r="F285">
        <v>312</v>
      </c>
      <c r="G285" s="1" t="str">
        <f>tbl_model[[#This Row],[ProductID]] &amp; "-" &amp; tbl_model[[#This Row],[LocationID]]</f>
        <v>416-6</v>
      </c>
    </row>
    <row r="286" spans="1:7">
      <c r="A286">
        <v>416</v>
      </c>
      <c r="B286">
        <v>50</v>
      </c>
      <c r="C286" t="str">
        <f>_xlfn.XLOOKUP(tbl_model[[#This Row],[ProductID]],tbl_product[ProductID],tbl_product[ProductName],"UNMAPPED_PRODUCT")</f>
        <v>Internal Lock Washer 7</v>
      </c>
      <c r="D286" t="str">
        <f>_xlfn.XLOOKUP(tbl_model[[#This Row],[ProductID]],tbl_product[ProductID],tbl_product[ProductNumber],"UNMAPPED_PRODUCT")</f>
        <v>LI-3800</v>
      </c>
      <c r="E286" t="str">
        <f>_xlfn.XLOOKUP(tbl_model[[#This Row],[LocationID]],tbl_location[LocationID],tbl_location[LocationName],"UNMAPPED_LOCATION")</f>
        <v>Subassembly</v>
      </c>
      <c r="F286">
        <v>361</v>
      </c>
      <c r="G286" s="1" t="str">
        <f>tbl_model[[#This Row],[ProductID]] &amp; "-" &amp; tbl_model[[#This Row],[LocationID]]</f>
        <v>416-50</v>
      </c>
    </row>
    <row r="287" spans="1:7">
      <c r="A287">
        <v>417</v>
      </c>
      <c r="B287">
        <v>1</v>
      </c>
      <c r="C287" t="str">
        <f>_xlfn.XLOOKUP(tbl_model[[#This Row],[ProductID]],tbl_product[ProductID],tbl_product[ProductName],"UNMAPPED_PRODUCT")</f>
        <v>Internal Lock Washer 6</v>
      </c>
      <c r="D287" t="str">
        <f>_xlfn.XLOOKUP(tbl_model[[#This Row],[ProductID]],tbl_product[ProductID],tbl_product[ProductNumber],"UNMAPPED_PRODUCT")</f>
        <v>LI-5160</v>
      </c>
      <c r="E287" t="str">
        <f>_xlfn.XLOOKUP(tbl_model[[#This Row],[LocationID]],tbl_location[LocationID],tbl_location[LocationName],"UNMAPPED_LOCATION")</f>
        <v>Tool Crib</v>
      </c>
      <c r="F287">
        <v>572</v>
      </c>
      <c r="G287" s="1" t="str">
        <f>tbl_model[[#This Row],[ProductID]] &amp; "-" &amp; tbl_model[[#This Row],[LocationID]]</f>
        <v>417-1</v>
      </c>
    </row>
    <row r="288" spans="1:7">
      <c r="A288">
        <v>417</v>
      </c>
      <c r="B288">
        <v>6</v>
      </c>
      <c r="C288" t="str">
        <f>_xlfn.XLOOKUP(tbl_model[[#This Row],[ProductID]],tbl_product[ProductID],tbl_product[ProductName],"UNMAPPED_PRODUCT")</f>
        <v>Internal Lock Washer 6</v>
      </c>
      <c r="D288" t="str">
        <f>_xlfn.XLOOKUP(tbl_model[[#This Row],[ProductID]],tbl_product[ProductID],tbl_product[ProductNumber],"UNMAPPED_PRODUCT")</f>
        <v>LI-5160</v>
      </c>
      <c r="E288" t="str">
        <f>_xlfn.XLOOKUP(tbl_model[[#This Row],[LocationID]],tbl_location[LocationID],tbl_location[LocationName],"UNMAPPED_LOCATION")</f>
        <v>Miscellaneous Storage</v>
      </c>
      <c r="F288">
        <v>627</v>
      </c>
      <c r="G288" s="1" t="str">
        <f>tbl_model[[#This Row],[ProductID]] &amp; "-" &amp; tbl_model[[#This Row],[LocationID]]</f>
        <v>417-6</v>
      </c>
    </row>
    <row r="289" spans="1:7">
      <c r="A289">
        <v>417</v>
      </c>
      <c r="B289">
        <v>50</v>
      </c>
      <c r="C289" t="str">
        <f>_xlfn.XLOOKUP(tbl_model[[#This Row],[ProductID]],tbl_product[ProductID],tbl_product[ProductName],"UNMAPPED_PRODUCT")</f>
        <v>Internal Lock Washer 6</v>
      </c>
      <c r="D289" t="str">
        <f>_xlfn.XLOOKUP(tbl_model[[#This Row],[ProductID]],tbl_product[ProductID],tbl_product[ProductNumber],"UNMAPPED_PRODUCT")</f>
        <v>LI-5160</v>
      </c>
      <c r="E289" t="str">
        <f>_xlfn.XLOOKUP(tbl_model[[#This Row],[LocationID]],tbl_location[LocationID],tbl_location[LocationName],"UNMAPPED_LOCATION")</f>
        <v>Subassembly</v>
      </c>
      <c r="F289">
        <v>516</v>
      </c>
      <c r="G289" s="1" t="str">
        <f>tbl_model[[#This Row],[ProductID]] &amp; "-" &amp; tbl_model[[#This Row],[LocationID]]</f>
        <v>417-50</v>
      </c>
    </row>
    <row r="290" spans="1:7">
      <c r="A290">
        <v>418</v>
      </c>
      <c r="B290">
        <v>1</v>
      </c>
      <c r="C290" t="str">
        <f>_xlfn.XLOOKUP(tbl_model[[#This Row],[ProductID]],tbl_product[ProductID],tbl_product[ProductName],"UNMAPPED_PRODUCT")</f>
        <v>Internal Lock Washer 10</v>
      </c>
      <c r="D290" t="str">
        <f>_xlfn.XLOOKUP(tbl_model[[#This Row],[ProductID]],tbl_product[ProductID],tbl_product[ProductNumber],"UNMAPPED_PRODUCT")</f>
        <v>LI-5800</v>
      </c>
      <c r="E290" t="str">
        <f>_xlfn.XLOOKUP(tbl_model[[#This Row],[LocationID]],tbl_location[LocationID],tbl_location[LocationName],"UNMAPPED_LOCATION")</f>
        <v>Tool Crib</v>
      </c>
      <c r="F290">
        <v>248</v>
      </c>
      <c r="G290" s="1" t="str">
        <f>tbl_model[[#This Row],[ProductID]] &amp; "-" &amp; tbl_model[[#This Row],[LocationID]]</f>
        <v>418-1</v>
      </c>
    </row>
    <row r="291" spans="1:7">
      <c r="A291">
        <v>418</v>
      </c>
      <c r="B291">
        <v>6</v>
      </c>
      <c r="C291" t="str">
        <f>_xlfn.XLOOKUP(tbl_model[[#This Row],[ProductID]],tbl_product[ProductID],tbl_product[ProductName],"UNMAPPED_PRODUCT")</f>
        <v>Internal Lock Washer 10</v>
      </c>
      <c r="D291" t="str">
        <f>_xlfn.XLOOKUP(tbl_model[[#This Row],[ProductID]],tbl_product[ProductID],tbl_product[ProductNumber],"UNMAPPED_PRODUCT")</f>
        <v>LI-5800</v>
      </c>
      <c r="E291" t="str">
        <f>_xlfn.XLOOKUP(tbl_model[[#This Row],[LocationID]],tbl_location[LocationID],tbl_location[LocationName],"UNMAPPED_LOCATION")</f>
        <v>Miscellaneous Storage</v>
      </c>
      <c r="F291">
        <v>283</v>
      </c>
      <c r="G291" s="1" t="str">
        <f>tbl_model[[#This Row],[ProductID]] &amp; "-" &amp; tbl_model[[#This Row],[LocationID]]</f>
        <v>418-6</v>
      </c>
    </row>
    <row r="292" spans="1:7">
      <c r="A292">
        <v>418</v>
      </c>
      <c r="B292">
        <v>50</v>
      </c>
      <c r="C292" t="str">
        <f>_xlfn.XLOOKUP(tbl_model[[#This Row],[ProductID]],tbl_product[ProductID],tbl_product[ProductName],"UNMAPPED_PRODUCT")</f>
        <v>Internal Lock Washer 10</v>
      </c>
      <c r="D292" t="str">
        <f>_xlfn.XLOOKUP(tbl_model[[#This Row],[ProductID]],tbl_product[ProductID],tbl_product[ProductNumber],"UNMAPPED_PRODUCT")</f>
        <v>LI-5800</v>
      </c>
      <c r="E292" t="str">
        <f>_xlfn.XLOOKUP(tbl_model[[#This Row],[LocationID]],tbl_location[LocationID],tbl_location[LocationName],"UNMAPPED_LOCATION")</f>
        <v>Subassembly</v>
      </c>
      <c r="F292">
        <v>388</v>
      </c>
      <c r="G292" s="1" t="str">
        <f>tbl_model[[#This Row],[ProductID]] &amp; "-" &amp; tbl_model[[#This Row],[LocationID]]</f>
        <v>418-50</v>
      </c>
    </row>
    <row r="293" spans="1:7">
      <c r="A293">
        <v>419</v>
      </c>
      <c r="B293">
        <v>1</v>
      </c>
      <c r="C293" t="str">
        <f>_xlfn.XLOOKUP(tbl_model[[#This Row],[ProductID]],tbl_product[ProductID],tbl_product[ProductName],"UNMAPPED_PRODUCT")</f>
        <v>Internal Lock Washer 1</v>
      </c>
      <c r="D293" t="str">
        <f>_xlfn.XLOOKUP(tbl_model[[#This Row],[ProductID]],tbl_product[ProductID],tbl_product[ProductNumber],"UNMAPPED_PRODUCT")</f>
        <v>LI-6000</v>
      </c>
      <c r="E293" t="str">
        <f>_xlfn.XLOOKUP(tbl_model[[#This Row],[LocationID]],tbl_location[LocationID],tbl_location[LocationName],"UNMAPPED_LOCATION")</f>
        <v>Tool Crib</v>
      </c>
      <c r="F293">
        <v>246</v>
      </c>
      <c r="G293" s="1" t="str">
        <f>tbl_model[[#This Row],[ProductID]] &amp; "-" &amp; tbl_model[[#This Row],[LocationID]]</f>
        <v>419-1</v>
      </c>
    </row>
    <row r="294" spans="1:7">
      <c r="A294">
        <v>419</v>
      </c>
      <c r="B294">
        <v>6</v>
      </c>
      <c r="C294" t="str">
        <f>_xlfn.XLOOKUP(tbl_model[[#This Row],[ProductID]],tbl_product[ProductID],tbl_product[ProductName],"UNMAPPED_PRODUCT")</f>
        <v>Internal Lock Washer 1</v>
      </c>
      <c r="D294" t="str">
        <f>_xlfn.XLOOKUP(tbl_model[[#This Row],[ProductID]],tbl_product[ProductID],tbl_product[ProductNumber],"UNMAPPED_PRODUCT")</f>
        <v>LI-6000</v>
      </c>
      <c r="E294" t="str">
        <f>_xlfn.XLOOKUP(tbl_model[[#This Row],[LocationID]],tbl_location[LocationID],tbl_location[LocationName],"UNMAPPED_LOCATION")</f>
        <v>Miscellaneous Storage</v>
      </c>
      <c r="F294">
        <v>281</v>
      </c>
      <c r="G294" s="1" t="str">
        <f>tbl_model[[#This Row],[ProductID]] &amp; "-" &amp; tbl_model[[#This Row],[LocationID]]</f>
        <v>419-6</v>
      </c>
    </row>
    <row r="295" spans="1:7">
      <c r="A295">
        <v>419</v>
      </c>
      <c r="B295">
        <v>50</v>
      </c>
      <c r="C295" t="str">
        <f>_xlfn.XLOOKUP(tbl_model[[#This Row],[ProductID]],tbl_product[ProductID],tbl_product[ProductName],"UNMAPPED_PRODUCT")</f>
        <v>Internal Lock Washer 1</v>
      </c>
      <c r="D295" t="str">
        <f>_xlfn.XLOOKUP(tbl_model[[#This Row],[ProductID]],tbl_product[ProductID],tbl_product[ProductNumber],"UNMAPPED_PRODUCT")</f>
        <v>LI-6000</v>
      </c>
      <c r="E295" t="str">
        <f>_xlfn.XLOOKUP(tbl_model[[#This Row],[LocationID]],tbl_location[LocationID],tbl_location[LocationName],"UNMAPPED_LOCATION")</f>
        <v>Subassembly</v>
      </c>
      <c r="F295">
        <v>387</v>
      </c>
      <c r="G295" s="1" t="str">
        <f>tbl_model[[#This Row],[ProductID]] &amp; "-" &amp; tbl_model[[#This Row],[LocationID]]</f>
        <v>419-50</v>
      </c>
    </row>
    <row r="296" spans="1:7">
      <c r="A296">
        <v>420</v>
      </c>
      <c r="B296">
        <v>1</v>
      </c>
      <c r="C296" t="str">
        <f>_xlfn.XLOOKUP(tbl_model[[#This Row],[ProductID]],tbl_product[ProductID],tbl_product[ProductName],"UNMAPPED_PRODUCT")</f>
        <v>Internal Lock Washer 8</v>
      </c>
      <c r="D296" t="str">
        <f>_xlfn.XLOOKUP(tbl_model[[#This Row],[ProductID]],tbl_product[ProductID],tbl_product[ProductNumber],"UNMAPPED_PRODUCT")</f>
        <v>LI-7160</v>
      </c>
      <c r="E296" t="str">
        <f>_xlfn.XLOOKUP(tbl_model[[#This Row],[LocationID]],tbl_location[LocationID],tbl_location[LocationName],"UNMAPPED_LOCATION")</f>
        <v>Tool Crib</v>
      </c>
      <c r="F296">
        <v>244</v>
      </c>
      <c r="G296" s="1" t="str">
        <f>tbl_model[[#This Row],[ProductID]] &amp; "-" &amp; tbl_model[[#This Row],[LocationID]]</f>
        <v>420-1</v>
      </c>
    </row>
    <row r="297" spans="1:7">
      <c r="A297">
        <v>420</v>
      </c>
      <c r="B297">
        <v>6</v>
      </c>
      <c r="C297" t="str">
        <f>_xlfn.XLOOKUP(tbl_model[[#This Row],[ProductID]],tbl_product[ProductID],tbl_product[ProductName],"UNMAPPED_PRODUCT")</f>
        <v>Internal Lock Washer 8</v>
      </c>
      <c r="D297" t="str">
        <f>_xlfn.XLOOKUP(tbl_model[[#This Row],[ProductID]],tbl_product[ProductID],tbl_product[ProductNumber],"UNMAPPED_PRODUCT")</f>
        <v>LI-7160</v>
      </c>
      <c r="E297" t="str">
        <f>_xlfn.XLOOKUP(tbl_model[[#This Row],[LocationID]],tbl_location[LocationID],tbl_location[LocationName],"UNMAPPED_LOCATION")</f>
        <v>Miscellaneous Storage</v>
      </c>
      <c r="F297">
        <v>280</v>
      </c>
      <c r="G297" s="1" t="str">
        <f>tbl_model[[#This Row],[ProductID]] &amp; "-" &amp; tbl_model[[#This Row],[LocationID]]</f>
        <v>420-6</v>
      </c>
    </row>
    <row r="298" spans="1:7">
      <c r="A298">
        <v>420</v>
      </c>
      <c r="B298">
        <v>50</v>
      </c>
      <c r="C298" t="str">
        <f>_xlfn.XLOOKUP(tbl_model[[#This Row],[ProductID]],tbl_product[ProductID],tbl_product[ProductName],"UNMAPPED_PRODUCT")</f>
        <v>Internal Lock Washer 8</v>
      </c>
      <c r="D298" t="str">
        <f>_xlfn.XLOOKUP(tbl_model[[#This Row],[ProductID]],tbl_product[ProductID],tbl_product[ProductNumber],"UNMAPPED_PRODUCT")</f>
        <v>LI-7160</v>
      </c>
      <c r="E298" t="str">
        <f>_xlfn.XLOOKUP(tbl_model[[#This Row],[LocationID]],tbl_location[LocationID],tbl_location[LocationName],"UNMAPPED_LOCATION")</f>
        <v>Subassembly</v>
      </c>
      <c r="F298">
        <v>385</v>
      </c>
      <c r="G298" s="1" t="str">
        <f>tbl_model[[#This Row],[ProductID]] &amp; "-" &amp; tbl_model[[#This Row],[LocationID]]</f>
        <v>420-50</v>
      </c>
    </row>
    <row r="299" spans="1:7">
      <c r="A299">
        <v>421</v>
      </c>
      <c r="B299">
        <v>1</v>
      </c>
      <c r="C299" t="str">
        <f>_xlfn.XLOOKUP(tbl_model[[#This Row],[ProductID]],tbl_product[ProductID],tbl_product[ProductName],"UNMAPPED_PRODUCT")</f>
        <v>Internal Lock Washer 2</v>
      </c>
      <c r="D299" t="str">
        <f>_xlfn.XLOOKUP(tbl_model[[#This Row],[ProductID]],tbl_product[ProductID],tbl_product[ProductNumber],"UNMAPPED_PRODUCT")</f>
        <v>LI-8000</v>
      </c>
      <c r="E299" t="str">
        <f>_xlfn.XLOOKUP(tbl_model[[#This Row],[LocationID]],tbl_location[LocationID],tbl_location[LocationName],"UNMAPPED_LOCATION")</f>
        <v>Tool Crib</v>
      </c>
      <c r="F299">
        <v>243</v>
      </c>
      <c r="G299" s="1" t="str">
        <f>tbl_model[[#This Row],[ProductID]] &amp; "-" &amp; tbl_model[[#This Row],[LocationID]]</f>
        <v>421-1</v>
      </c>
    </row>
    <row r="300" spans="1:7">
      <c r="A300">
        <v>421</v>
      </c>
      <c r="B300">
        <v>6</v>
      </c>
      <c r="C300" t="str">
        <f>_xlfn.XLOOKUP(tbl_model[[#This Row],[ProductID]],tbl_product[ProductID],tbl_product[ProductName],"UNMAPPED_PRODUCT")</f>
        <v>Internal Lock Washer 2</v>
      </c>
      <c r="D300" t="str">
        <f>_xlfn.XLOOKUP(tbl_model[[#This Row],[ProductID]],tbl_product[ProductID],tbl_product[ProductNumber],"UNMAPPED_PRODUCT")</f>
        <v>LI-8000</v>
      </c>
      <c r="E300" t="str">
        <f>_xlfn.XLOOKUP(tbl_model[[#This Row],[LocationID]],tbl_location[LocationID],tbl_location[LocationName],"UNMAPPED_LOCATION")</f>
        <v>Miscellaneous Storage</v>
      </c>
      <c r="F300">
        <v>278</v>
      </c>
      <c r="G300" s="1" t="str">
        <f>tbl_model[[#This Row],[ProductID]] &amp; "-" &amp; tbl_model[[#This Row],[LocationID]]</f>
        <v>421-6</v>
      </c>
    </row>
    <row r="301" spans="1:7">
      <c r="A301">
        <v>421</v>
      </c>
      <c r="B301">
        <v>50</v>
      </c>
      <c r="C301" t="str">
        <f>_xlfn.XLOOKUP(tbl_model[[#This Row],[ProductID]],tbl_product[ProductID],tbl_product[ProductName],"UNMAPPED_PRODUCT")</f>
        <v>Internal Lock Washer 2</v>
      </c>
      <c r="D301" t="str">
        <f>_xlfn.XLOOKUP(tbl_model[[#This Row],[ProductID]],tbl_product[ProductID],tbl_product[ProductNumber],"UNMAPPED_PRODUCT")</f>
        <v>LI-8000</v>
      </c>
      <c r="E301" t="str">
        <f>_xlfn.XLOOKUP(tbl_model[[#This Row],[LocationID]],tbl_location[LocationID],tbl_location[LocationName],"UNMAPPED_LOCATION")</f>
        <v>Subassembly</v>
      </c>
      <c r="F301">
        <v>384</v>
      </c>
      <c r="G301" s="1" t="str">
        <f>tbl_model[[#This Row],[ProductID]] &amp; "-" &amp; tbl_model[[#This Row],[LocationID]]</f>
        <v>421-50</v>
      </c>
    </row>
    <row r="302" spans="1:7">
      <c r="A302">
        <v>422</v>
      </c>
      <c r="B302">
        <v>1</v>
      </c>
      <c r="C302" t="str">
        <f>_xlfn.XLOOKUP(tbl_model[[#This Row],[ProductID]],tbl_product[ProductID],tbl_product[ProductName],"UNMAPPED_PRODUCT")</f>
        <v>Thin-Jam Lock Nut 9</v>
      </c>
      <c r="D302" t="str">
        <f>_xlfn.XLOOKUP(tbl_model[[#This Row],[ProductID]],tbl_product[ProductID],tbl_product[ProductNumber],"UNMAPPED_PRODUCT")</f>
        <v>LJ-1213</v>
      </c>
      <c r="E302" t="str">
        <f>_xlfn.XLOOKUP(tbl_model[[#This Row],[LocationID]],tbl_location[LocationID],tbl_location[LocationName],"UNMAPPED_LOCATION")</f>
        <v>Tool Crib</v>
      </c>
      <c r="F302">
        <v>620</v>
      </c>
      <c r="G302" s="1" t="str">
        <f>tbl_model[[#This Row],[ProductID]] &amp; "-" &amp; tbl_model[[#This Row],[LocationID]]</f>
        <v>422-1</v>
      </c>
    </row>
    <row r="303" spans="1:7">
      <c r="A303">
        <v>422</v>
      </c>
      <c r="B303">
        <v>6</v>
      </c>
      <c r="C303" t="str">
        <f>_xlfn.XLOOKUP(tbl_model[[#This Row],[ProductID]],tbl_product[ProductID],tbl_product[ProductName],"UNMAPPED_PRODUCT")</f>
        <v>Thin-Jam Lock Nut 9</v>
      </c>
      <c r="D303" t="str">
        <f>_xlfn.XLOOKUP(tbl_model[[#This Row],[ProductID]],tbl_product[ProductID],tbl_product[ProductNumber],"UNMAPPED_PRODUCT")</f>
        <v>LJ-1213</v>
      </c>
      <c r="E303" t="str">
        <f>_xlfn.XLOOKUP(tbl_model[[#This Row],[LocationID]],tbl_location[LocationID],tbl_location[LocationName],"UNMAPPED_LOCATION")</f>
        <v>Miscellaneous Storage</v>
      </c>
      <c r="F303">
        <v>515</v>
      </c>
      <c r="G303" s="1" t="str">
        <f>tbl_model[[#This Row],[ProductID]] &amp; "-" &amp; tbl_model[[#This Row],[LocationID]]</f>
        <v>422-6</v>
      </c>
    </row>
    <row r="304" spans="1:7">
      <c r="A304">
        <v>422</v>
      </c>
      <c r="B304">
        <v>50</v>
      </c>
      <c r="C304" t="str">
        <f>_xlfn.XLOOKUP(tbl_model[[#This Row],[ProductID]],tbl_product[ProductID],tbl_product[ProductName],"UNMAPPED_PRODUCT")</f>
        <v>Thin-Jam Lock Nut 9</v>
      </c>
      <c r="D304" t="str">
        <f>_xlfn.XLOOKUP(tbl_model[[#This Row],[ProductID]],tbl_product[ProductID],tbl_product[ProductNumber],"UNMAPPED_PRODUCT")</f>
        <v>LJ-1213</v>
      </c>
      <c r="E304" t="str">
        <f>_xlfn.XLOOKUP(tbl_model[[#This Row],[LocationID]],tbl_location[LocationID],tbl_location[LocationName],"UNMAPPED_LOCATION")</f>
        <v>Subassembly</v>
      </c>
      <c r="F304">
        <v>497</v>
      </c>
      <c r="G304" s="1" t="str">
        <f>tbl_model[[#This Row],[ProductID]] &amp; "-" &amp; tbl_model[[#This Row],[LocationID]]</f>
        <v>422-50</v>
      </c>
    </row>
    <row r="305" spans="1:7">
      <c r="A305">
        <v>423</v>
      </c>
      <c r="B305">
        <v>1</v>
      </c>
      <c r="C305" t="str">
        <f>_xlfn.XLOOKUP(tbl_model[[#This Row],[ProductID]],tbl_product[ProductID],tbl_product[ProductName],"UNMAPPED_PRODUCT")</f>
        <v>Thin-Jam Lock Nut 10</v>
      </c>
      <c r="D305" t="str">
        <f>_xlfn.XLOOKUP(tbl_model[[#This Row],[ProductID]],tbl_product[ProductID],tbl_product[ProductNumber],"UNMAPPED_PRODUCT")</f>
        <v>LJ-1220</v>
      </c>
      <c r="E305" t="str">
        <f>_xlfn.XLOOKUP(tbl_model[[#This Row],[LocationID]],tbl_location[LocationID],tbl_location[LocationName],"UNMAPPED_LOCATION")</f>
        <v>Tool Crib</v>
      </c>
      <c r="F305">
        <v>619</v>
      </c>
      <c r="G305" s="1" t="str">
        <f>tbl_model[[#This Row],[ProductID]] &amp; "-" &amp; tbl_model[[#This Row],[LocationID]]</f>
        <v>423-1</v>
      </c>
    </row>
    <row r="306" spans="1:7">
      <c r="A306">
        <v>423</v>
      </c>
      <c r="B306">
        <v>6</v>
      </c>
      <c r="C306" t="str">
        <f>_xlfn.XLOOKUP(tbl_model[[#This Row],[ProductID]],tbl_product[ProductID],tbl_product[ProductName],"UNMAPPED_PRODUCT")</f>
        <v>Thin-Jam Lock Nut 10</v>
      </c>
      <c r="D306" t="str">
        <f>_xlfn.XLOOKUP(tbl_model[[#This Row],[ProductID]],tbl_product[ProductID],tbl_product[ProductNumber],"UNMAPPED_PRODUCT")</f>
        <v>LJ-1220</v>
      </c>
      <c r="E306" t="str">
        <f>_xlfn.XLOOKUP(tbl_model[[#This Row],[LocationID]],tbl_location[LocationID],tbl_location[LocationName],"UNMAPPED_LOCATION")</f>
        <v>Miscellaneous Storage</v>
      </c>
      <c r="F306">
        <v>513</v>
      </c>
      <c r="G306" s="1" t="str">
        <f>tbl_model[[#This Row],[ProductID]] &amp; "-" &amp; tbl_model[[#This Row],[LocationID]]</f>
        <v>423-6</v>
      </c>
    </row>
    <row r="307" spans="1:7">
      <c r="A307">
        <v>423</v>
      </c>
      <c r="B307">
        <v>50</v>
      </c>
      <c r="C307" t="str">
        <f>_xlfn.XLOOKUP(tbl_model[[#This Row],[ProductID]],tbl_product[ProductID],tbl_product[ProductName],"UNMAPPED_PRODUCT")</f>
        <v>Thin-Jam Lock Nut 10</v>
      </c>
      <c r="D307" t="str">
        <f>_xlfn.XLOOKUP(tbl_model[[#This Row],[ProductID]],tbl_product[ProductID],tbl_product[ProductNumber],"UNMAPPED_PRODUCT")</f>
        <v>LJ-1220</v>
      </c>
      <c r="E307" t="str">
        <f>_xlfn.XLOOKUP(tbl_model[[#This Row],[LocationID]],tbl_location[LocationID],tbl_location[LocationName],"UNMAPPED_LOCATION")</f>
        <v>Subassembly</v>
      </c>
      <c r="F307">
        <v>496</v>
      </c>
      <c r="G307" s="1" t="str">
        <f>tbl_model[[#This Row],[ProductID]] &amp; "-" &amp; tbl_model[[#This Row],[LocationID]]</f>
        <v>423-50</v>
      </c>
    </row>
    <row r="308" spans="1:7">
      <c r="A308">
        <v>424</v>
      </c>
      <c r="B308">
        <v>1</v>
      </c>
      <c r="C308" t="str">
        <f>_xlfn.XLOOKUP(tbl_model[[#This Row],[ProductID]],tbl_product[ProductID],tbl_product[ProductName],"UNMAPPED_PRODUCT")</f>
        <v>Thin-Jam Lock Nut 1</v>
      </c>
      <c r="D308" t="str">
        <f>_xlfn.XLOOKUP(tbl_model[[#This Row],[ProductID]],tbl_product[ProductID],tbl_product[ProductNumber],"UNMAPPED_PRODUCT")</f>
        <v>LJ-1420</v>
      </c>
      <c r="E308" t="str">
        <f>_xlfn.XLOOKUP(tbl_model[[#This Row],[LocationID]],tbl_location[LocationID],tbl_location[LocationName],"UNMAPPED_LOCATION")</f>
        <v>Tool Crib</v>
      </c>
      <c r="F308">
        <v>617</v>
      </c>
      <c r="G308" s="1" t="str">
        <f>tbl_model[[#This Row],[ProductID]] &amp; "-" &amp; tbl_model[[#This Row],[LocationID]]</f>
        <v>424-1</v>
      </c>
    </row>
    <row r="309" spans="1:7">
      <c r="A309">
        <v>424</v>
      </c>
      <c r="B309">
        <v>6</v>
      </c>
      <c r="C309" t="str">
        <f>_xlfn.XLOOKUP(tbl_model[[#This Row],[ProductID]],tbl_product[ProductID],tbl_product[ProductName],"UNMAPPED_PRODUCT")</f>
        <v>Thin-Jam Lock Nut 1</v>
      </c>
      <c r="D309" t="str">
        <f>_xlfn.XLOOKUP(tbl_model[[#This Row],[ProductID]],tbl_product[ProductID],tbl_product[ProductNumber],"UNMAPPED_PRODUCT")</f>
        <v>LJ-1420</v>
      </c>
      <c r="E309" t="str">
        <f>_xlfn.XLOOKUP(tbl_model[[#This Row],[LocationID]],tbl_location[LocationID],tbl_location[LocationName],"UNMAPPED_LOCATION")</f>
        <v>Miscellaneous Storage</v>
      </c>
      <c r="F309">
        <v>512</v>
      </c>
      <c r="G309" s="1" t="str">
        <f>tbl_model[[#This Row],[ProductID]] &amp; "-" &amp; tbl_model[[#This Row],[LocationID]]</f>
        <v>424-6</v>
      </c>
    </row>
    <row r="310" spans="1:7">
      <c r="A310">
        <v>424</v>
      </c>
      <c r="B310">
        <v>50</v>
      </c>
      <c r="C310" t="str">
        <f>_xlfn.XLOOKUP(tbl_model[[#This Row],[ProductID]],tbl_product[ProductID],tbl_product[ProductName],"UNMAPPED_PRODUCT")</f>
        <v>Thin-Jam Lock Nut 1</v>
      </c>
      <c r="D310" t="str">
        <f>_xlfn.XLOOKUP(tbl_model[[#This Row],[ProductID]],tbl_product[ProductID],tbl_product[ProductNumber],"UNMAPPED_PRODUCT")</f>
        <v>LJ-1420</v>
      </c>
      <c r="E310" t="str">
        <f>_xlfn.XLOOKUP(tbl_model[[#This Row],[LocationID]],tbl_location[LocationID],tbl_location[LocationName],"UNMAPPED_LOCATION")</f>
        <v>Subassembly</v>
      </c>
      <c r="F310">
        <v>494</v>
      </c>
      <c r="G310" s="1" t="str">
        <f>tbl_model[[#This Row],[ProductID]] &amp; "-" &amp; tbl_model[[#This Row],[LocationID]]</f>
        <v>424-50</v>
      </c>
    </row>
    <row r="311" spans="1:7">
      <c r="A311">
        <v>425</v>
      </c>
      <c r="B311">
        <v>1</v>
      </c>
      <c r="C311" t="str">
        <f>_xlfn.XLOOKUP(tbl_model[[#This Row],[ProductID]],tbl_product[ProductID],tbl_product[ProductName],"UNMAPPED_PRODUCT")</f>
        <v>Thin-Jam Lock Nut 2</v>
      </c>
      <c r="D311" t="str">
        <f>_xlfn.XLOOKUP(tbl_model[[#This Row],[ProductID]],tbl_product[ProductID],tbl_product[ProductNumber],"UNMAPPED_PRODUCT")</f>
        <v>LJ-1428</v>
      </c>
      <c r="E311" t="str">
        <f>_xlfn.XLOOKUP(tbl_model[[#This Row],[LocationID]],tbl_location[LocationID],tbl_location[LocationName],"UNMAPPED_LOCATION")</f>
        <v>Tool Crib</v>
      </c>
      <c r="F311">
        <v>616</v>
      </c>
      <c r="G311" s="1" t="str">
        <f>tbl_model[[#This Row],[ProductID]] &amp; "-" &amp; tbl_model[[#This Row],[LocationID]]</f>
        <v>425-1</v>
      </c>
    </row>
    <row r="312" spans="1:7">
      <c r="A312">
        <v>425</v>
      </c>
      <c r="B312">
        <v>6</v>
      </c>
      <c r="C312" t="str">
        <f>_xlfn.XLOOKUP(tbl_model[[#This Row],[ProductID]],tbl_product[ProductID],tbl_product[ProductName],"UNMAPPED_PRODUCT")</f>
        <v>Thin-Jam Lock Nut 2</v>
      </c>
      <c r="D312" t="str">
        <f>_xlfn.XLOOKUP(tbl_model[[#This Row],[ProductID]],tbl_product[ProductID],tbl_product[ProductNumber],"UNMAPPED_PRODUCT")</f>
        <v>LJ-1428</v>
      </c>
      <c r="E312" t="str">
        <f>_xlfn.XLOOKUP(tbl_model[[#This Row],[LocationID]],tbl_location[LocationID],tbl_location[LocationName],"UNMAPPED_LOCATION")</f>
        <v>Miscellaneous Storage</v>
      </c>
      <c r="F312">
        <v>510</v>
      </c>
      <c r="G312" s="1" t="str">
        <f>tbl_model[[#This Row],[ProductID]] &amp; "-" &amp; tbl_model[[#This Row],[LocationID]]</f>
        <v>425-6</v>
      </c>
    </row>
    <row r="313" spans="1:7">
      <c r="A313">
        <v>425</v>
      </c>
      <c r="B313">
        <v>50</v>
      </c>
      <c r="C313" t="str">
        <f>_xlfn.XLOOKUP(tbl_model[[#This Row],[ProductID]],tbl_product[ProductID],tbl_product[ProductName],"UNMAPPED_PRODUCT")</f>
        <v>Thin-Jam Lock Nut 2</v>
      </c>
      <c r="D313" t="str">
        <f>_xlfn.XLOOKUP(tbl_model[[#This Row],[ProductID]],tbl_product[ProductID],tbl_product[ProductNumber],"UNMAPPED_PRODUCT")</f>
        <v>LJ-1428</v>
      </c>
      <c r="E313" t="str">
        <f>_xlfn.XLOOKUP(tbl_model[[#This Row],[LocationID]],tbl_location[LocationID],tbl_location[LocationName],"UNMAPPED_LOCATION")</f>
        <v>Subassembly</v>
      </c>
      <c r="F313">
        <v>492</v>
      </c>
      <c r="G313" s="1" t="str">
        <f>tbl_model[[#This Row],[ProductID]] &amp; "-" &amp; tbl_model[[#This Row],[LocationID]]</f>
        <v>425-50</v>
      </c>
    </row>
    <row r="314" spans="1:7">
      <c r="A314">
        <v>426</v>
      </c>
      <c r="B314">
        <v>1</v>
      </c>
      <c r="C314" t="str">
        <f>_xlfn.XLOOKUP(tbl_model[[#This Row],[ProductID]],tbl_product[ProductID],tbl_product[ProductName],"UNMAPPED_PRODUCT")</f>
        <v>Thin-Jam Lock Nut 15</v>
      </c>
      <c r="D314" t="str">
        <f>_xlfn.XLOOKUP(tbl_model[[#This Row],[ProductID]],tbl_product[ProductID],tbl_product[ProductNumber],"UNMAPPED_PRODUCT")</f>
        <v>LJ-3410</v>
      </c>
      <c r="E314" t="str">
        <f>_xlfn.XLOOKUP(tbl_model[[#This Row],[LocationID]],tbl_location[LocationID],tbl_location[LocationName],"UNMAPPED_LOCATION")</f>
        <v>Tool Crib</v>
      </c>
      <c r="F314">
        <v>614</v>
      </c>
      <c r="G314" s="1" t="str">
        <f>tbl_model[[#This Row],[ProductID]] &amp; "-" &amp; tbl_model[[#This Row],[LocationID]]</f>
        <v>426-1</v>
      </c>
    </row>
    <row r="315" spans="1:7">
      <c r="A315">
        <v>426</v>
      </c>
      <c r="B315">
        <v>6</v>
      </c>
      <c r="C315" t="str">
        <f>_xlfn.XLOOKUP(tbl_model[[#This Row],[ProductID]],tbl_product[ProductID],tbl_product[ProductName],"UNMAPPED_PRODUCT")</f>
        <v>Thin-Jam Lock Nut 15</v>
      </c>
      <c r="D315" t="str">
        <f>_xlfn.XLOOKUP(tbl_model[[#This Row],[ProductID]],tbl_product[ProductID],tbl_product[ProductNumber],"UNMAPPED_PRODUCT")</f>
        <v>LJ-3410</v>
      </c>
      <c r="E315" t="str">
        <f>_xlfn.XLOOKUP(tbl_model[[#This Row],[LocationID]],tbl_location[LocationID],tbl_location[LocationName],"UNMAPPED_LOCATION")</f>
        <v>Miscellaneous Storage</v>
      </c>
      <c r="F315">
        <v>508</v>
      </c>
      <c r="G315" s="1" t="str">
        <f>tbl_model[[#This Row],[ProductID]] &amp; "-" &amp; tbl_model[[#This Row],[LocationID]]</f>
        <v>426-6</v>
      </c>
    </row>
    <row r="316" spans="1:7">
      <c r="A316">
        <v>426</v>
      </c>
      <c r="B316">
        <v>50</v>
      </c>
      <c r="C316" t="str">
        <f>_xlfn.XLOOKUP(tbl_model[[#This Row],[ProductID]],tbl_product[ProductID],tbl_product[ProductName],"UNMAPPED_PRODUCT")</f>
        <v>Thin-Jam Lock Nut 15</v>
      </c>
      <c r="D316" t="str">
        <f>_xlfn.XLOOKUP(tbl_model[[#This Row],[ProductID]],tbl_product[ProductID],tbl_product[ProductNumber],"UNMAPPED_PRODUCT")</f>
        <v>LJ-3410</v>
      </c>
      <c r="E316" t="str">
        <f>_xlfn.XLOOKUP(tbl_model[[#This Row],[LocationID]],tbl_location[LocationID],tbl_location[LocationName],"UNMAPPED_LOCATION")</f>
        <v>Subassembly</v>
      </c>
      <c r="F316">
        <v>491</v>
      </c>
      <c r="G316" s="1" t="str">
        <f>tbl_model[[#This Row],[ProductID]] &amp; "-" &amp; tbl_model[[#This Row],[LocationID]]</f>
        <v>426-50</v>
      </c>
    </row>
    <row r="317" spans="1:7">
      <c r="A317">
        <v>427</v>
      </c>
      <c r="B317">
        <v>1</v>
      </c>
      <c r="C317" t="str">
        <f>_xlfn.XLOOKUP(tbl_model[[#This Row],[ProductID]],tbl_product[ProductID],tbl_product[ProductName],"UNMAPPED_PRODUCT")</f>
        <v>Thin-Jam Lock Nut 16</v>
      </c>
      <c r="D317" t="str">
        <f>_xlfn.XLOOKUP(tbl_model[[#This Row],[ProductID]],tbl_product[ProductID],tbl_product[ProductNumber],"UNMAPPED_PRODUCT")</f>
        <v>LJ-3416</v>
      </c>
      <c r="E317" t="str">
        <f>_xlfn.XLOOKUP(tbl_model[[#This Row],[LocationID]],tbl_location[LocationID],tbl_location[LocationName],"UNMAPPED_LOCATION")</f>
        <v>Tool Crib</v>
      </c>
      <c r="F317">
        <v>612</v>
      </c>
      <c r="G317" s="1" t="str">
        <f>tbl_model[[#This Row],[ProductID]] &amp; "-" &amp; tbl_model[[#This Row],[LocationID]]</f>
        <v>427-1</v>
      </c>
    </row>
    <row r="318" spans="1:7">
      <c r="A318">
        <v>427</v>
      </c>
      <c r="B318">
        <v>6</v>
      </c>
      <c r="C318" t="str">
        <f>_xlfn.XLOOKUP(tbl_model[[#This Row],[ProductID]],tbl_product[ProductID],tbl_product[ProductName],"UNMAPPED_PRODUCT")</f>
        <v>Thin-Jam Lock Nut 16</v>
      </c>
      <c r="D318" t="str">
        <f>_xlfn.XLOOKUP(tbl_model[[#This Row],[ProductID]],tbl_product[ProductID],tbl_product[ProductNumber],"UNMAPPED_PRODUCT")</f>
        <v>LJ-3416</v>
      </c>
      <c r="E318" t="str">
        <f>_xlfn.XLOOKUP(tbl_model[[#This Row],[LocationID]],tbl_location[LocationID],tbl_location[LocationName],"UNMAPPED_LOCATION")</f>
        <v>Miscellaneous Storage</v>
      </c>
      <c r="F318">
        <v>507</v>
      </c>
      <c r="G318" s="1" t="str">
        <f>tbl_model[[#This Row],[ProductID]] &amp; "-" &amp; tbl_model[[#This Row],[LocationID]]</f>
        <v>427-6</v>
      </c>
    </row>
    <row r="319" spans="1:7">
      <c r="A319">
        <v>427</v>
      </c>
      <c r="B319">
        <v>50</v>
      </c>
      <c r="C319" t="str">
        <f>_xlfn.XLOOKUP(tbl_model[[#This Row],[ProductID]],tbl_product[ProductID],tbl_product[ProductName],"UNMAPPED_PRODUCT")</f>
        <v>Thin-Jam Lock Nut 16</v>
      </c>
      <c r="D319" t="str">
        <f>_xlfn.XLOOKUP(tbl_model[[#This Row],[ProductID]],tbl_product[ProductID],tbl_product[ProductNumber],"UNMAPPED_PRODUCT")</f>
        <v>LJ-3416</v>
      </c>
      <c r="E319" t="str">
        <f>_xlfn.XLOOKUP(tbl_model[[#This Row],[LocationID]],tbl_location[LocationID],tbl_location[LocationName],"UNMAPPED_LOCATION")</f>
        <v>Subassembly</v>
      </c>
      <c r="F319">
        <v>489</v>
      </c>
      <c r="G319" s="1" t="str">
        <f>tbl_model[[#This Row],[ProductID]] &amp; "-" &amp; tbl_model[[#This Row],[LocationID]]</f>
        <v>427-50</v>
      </c>
    </row>
    <row r="320" spans="1:7">
      <c r="A320">
        <v>428</v>
      </c>
      <c r="B320">
        <v>1</v>
      </c>
      <c r="C320" t="str">
        <f>_xlfn.XLOOKUP(tbl_model[[#This Row],[ProductID]],tbl_product[ProductID],tbl_product[ProductName],"UNMAPPED_PRODUCT")</f>
        <v>Thin-Jam Lock Nut 5</v>
      </c>
      <c r="D320" t="str">
        <f>_xlfn.XLOOKUP(tbl_model[[#This Row],[ProductID]],tbl_product[ProductID],tbl_product[ProductNumber],"UNMAPPED_PRODUCT")</f>
        <v>LJ-3816</v>
      </c>
      <c r="E320" t="str">
        <f>_xlfn.XLOOKUP(tbl_model[[#This Row],[LocationID]],tbl_location[LocationID],tbl_location[LocationName],"UNMAPPED_LOCATION")</f>
        <v>Tool Crib</v>
      </c>
      <c r="F320">
        <v>611</v>
      </c>
      <c r="G320" s="1" t="str">
        <f>tbl_model[[#This Row],[ProductID]] &amp; "-" &amp; tbl_model[[#This Row],[LocationID]]</f>
        <v>428-1</v>
      </c>
    </row>
    <row r="321" spans="1:7">
      <c r="A321">
        <v>428</v>
      </c>
      <c r="B321">
        <v>6</v>
      </c>
      <c r="C321" t="str">
        <f>_xlfn.XLOOKUP(tbl_model[[#This Row],[ProductID]],tbl_product[ProductID],tbl_product[ProductName],"UNMAPPED_PRODUCT")</f>
        <v>Thin-Jam Lock Nut 5</v>
      </c>
      <c r="D321" t="str">
        <f>_xlfn.XLOOKUP(tbl_model[[#This Row],[ProductID]],tbl_product[ProductID],tbl_product[ProductNumber],"UNMAPPED_PRODUCT")</f>
        <v>LJ-3816</v>
      </c>
      <c r="E321" t="str">
        <f>_xlfn.XLOOKUP(tbl_model[[#This Row],[LocationID]],tbl_location[LocationID],tbl_location[LocationName],"UNMAPPED_LOCATION")</f>
        <v>Miscellaneous Storage</v>
      </c>
      <c r="F321">
        <v>505</v>
      </c>
      <c r="G321" s="1" t="str">
        <f>tbl_model[[#This Row],[ProductID]] &amp; "-" &amp; tbl_model[[#This Row],[LocationID]]</f>
        <v>428-6</v>
      </c>
    </row>
    <row r="322" spans="1:7">
      <c r="A322">
        <v>428</v>
      </c>
      <c r="B322">
        <v>50</v>
      </c>
      <c r="C322" t="str">
        <f>_xlfn.XLOOKUP(tbl_model[[#This Row],[ProductID]],tbl_product[ProductID],tbl_product[ProductName],"UNMAPPED_PRODUCT")</f>
        <v>Thin-Jam Lock Nut 5</v>
      </c>
      <c r="D322" t="str">
        <f>_xlfn.XLOOKUP(tbl_model[[#This Row],[ProductID]],tbl_product[ProductID],tbl_product[ProductNumber],"UNMAPPED_PRODUCT")</f>
        <v>LJ-3816</v>
      </c>
      <c r="E322" t="str">
        <f>_xlfn.XLOOKUP(tbl_model[[#This Row],[LocationID]],tbl_location[LocationID],tbl_location[LocationName],"UNMAPPED_LOCATION")</f>
        <v>Subassembly</v>
      </c>
      <c r="F322">
        <v>488</v>
      </c>
      <c r="G322" s="1" t="str">
        <f>tbl_model[[#This Row],[ProductID]] &amp; "-" &amp; tbl_model[[#This Row],[LocationID]]</f>
        <v>428-50</v>
      </c>
    </row>
    <row r="323" spans="1:7">
      <c r="A323">
        <v>429</v>
      </c>
      <c r="B323">
        <v>1</v>
      </c>
      <c r="C323" t="str">
        <f>_xlfn.XLOOKUP(tbl_model[[#This Row],[ProductID]],tbl_product[ProductID],tbl_product[ProductName],"UNMAPPED_PRODUCT")</f>
        <v>Thin-Jam Lock Nut 6</v>
      </c>
      <c r="D323" t="str">
        <f>_xlfn.XLOOKUP(tbl_model[[#This Row],[ProductID]],tbl_product[ProductID],tbl_product[ProductNumber],"UNMAPPED_PRODUCT")</f>
        <v>LJ-3824</v>
      </c>
      <c r="E323" t="str">
        <f>_xlfn.XLOOKUP(tbl_model[[#This Row],[LocationID]],tbl_location[LocationID],tbl_location[LocationName],"UNMAPPED_LOCATION")</f>
        <v>Tool Crib</v>
      </c>
      <c r="F323">
        <v>609</v>
      </c>
      <c r="G323" s="1" t="str">
        <f>tbl_model[[#This Row],[ProductID]] &amp; "-" &amp; tbl_model[[#This Row],[LocationID]]</f>
        <v>429-1</v>
      </c>
    </row>
    <row r="324" spans="1:7">
      <c r="A324">
        <v>429</v>
      </c>
      <c r="B324">
        <v>6</v>
      </c>
      <c r="C324" t="str">
        <f>_xlfn.XLOOKUP(tbl_model[[#This Row],[ProductID]],tbl_product[ProductID],tbl_product[ProductName],"UNMAPPED_PRODUCT")</f>
        <v>Thin-Jam Lock Nut 6</v>
      </c>
      <c r="D324" t="str">
        <f>_xlfn.XLOOKUP(tbl_model[[#This Row],[ProductID]],tbl_product[ProductID],tbl_product[ProductNumber],"UNMAPPED_PRODUCT")</f>
        <v>LJ-3824</v>
      </c>
      <c r="E324" t="str">
        <f>_xlfn.XLOOKUP(tbl_model[[#This Row],[LocationID]],tbl_location[LocationID],tbl_location[LocationName],"UNMAPPED_LOCATION")</f>
        <v>Miscellaneous Storage</v>
      </c>
      <c r="F324">
        <v>504</v>
      </c>
      <c r="G324" s="1" t="str">
        <f>tbl_model[[#This Row],[ProductID]] &amp; "-" &amp; tbl_model[[#This Row],[LocationID]]</f>
        <v>429-6</v>
      </c>
    </row>
    <row r="325" spans="1:7">
      <c r="A325">
        <v>429</v>
      </c>
      <c r="B325">
        <v>50</v>
      </c>
      <c r="C325" t="str">
        <f>_xlfn.XLOOKUP(tbl_model[[#This Row],[ProductID]],tbl_product[ProductID],tbl_product[ProductName],"UNMAPPED_PRODUCT")</f>
        <v>Thin-Jam Lock Nut 6</v>
      </c>
      <c r="D325" t="str">
        <f>_xlfn.XLOOKUP(tbl_model[[#This Row],[ProductID]],tbl_product[ProductID],tbl_product[ProductNumber],"UNMAPPED_PRODUCT")</f>
        <v>LJ-3824</v>
      </c>
      <c r="E325" t="str">
        <f>_xlfn.XLOOKUP(tbl_model[[#This Row],[LocationID]],tbl_location[LocationID],tbl_location[LocationName],"UNMAPPED_LOCATION")</f>
        <v>Subassembly</v>
      </c>
      <c r="F325">
        <v>486</v>
      </c>
      <c r="G325" s="1" t="str">
        <f>tbl_model[[#This Row],[ProductID]] &amp; "-" &amp; tbl_model[[#This Row],[LocationID]]</f>
        <v>429-50</v>
      </c>
    </row>
    <row r="326" spans="1:7">
      <c r="A326">
        <v>430</v>
      </c>
      <c r="B326">
        <v>1</v>
      </c>
      <c r="C326" t="str">
        <f>_xlfn.XLOOKUP(tbl_model[[#This Row],[ProductID]],tbl_product[ProductID],tbl_product[ProductName],"UNMAPPED_PRODUCT")</f>
        <v>Thin-Jam Lock Nut 3</v>
      </c>
      <c r="D326" t="str">
        <f>_xlfn.XLOOKUP(tbl_model[[#This Row],[ProductID]],tbl_product[ProductID],tbl_product[ProductNumber],"UNMAPPED_PRODUCT")</f>
        <v>LJ-5161</v>
      </c>
      <c r="E326" t="str">
        <f>_xlfn.XLOOKUP(tbl_model[[#This Row],[LocationID]],tbl_location[LocationID],tbl_location[LocationName],"UNMAPPED_LOCATION")</f>
        <v>Tool Crib</v>
      </c>
      <c r="F326">
        <v>608</v>
      </c>
      <c r="G326" s="1" t="str">
        <f>tbl_model[[#This Row],[ProductID]] &amp; "-" &amp; tbl_model[[#This Row],[LocationID]]</f>
        <v>430-1</v>
      </c>
    </row>
    <row r="327" spans="1:7">
      <c r="A327">
        <v>430</v>
      </c>
      <c r="B327">
        <v>6</v>
      </c>
      <c r="C327" t="str">
        <f>_xlfn.XLOOKUP(tbl_model[[#This Row],[ProductID]],tbl_product[ProductID],tbl_product[ProductName],"UNMAPPED_PRODUCT")</f>
        <v>Thin-Jam Lock Nut 3</v>
      </c>
      <c r="D327" t="str">
        <f>_xlfn.XLOOKUP(tbl_model[[#This Row],[ProductID]],tbl_product[ProductID],tbl_product[ProductNumber],"UNMAPPED_PRODUCT")</f>
        <v>LJ-5161</v>
      </c>
      <c r="E327" t="str">
        <f>_xlfn.XLOOKUP(tbl_model[[#This Row],[LocationID]],tbl_location[LocationID],tbl_location[LocationName],"UNMAPPED_LOCATION")</f>
        <v>Miscellaneous Storage</v>
      </c>
      <c r="F327">
        <v>502</v>
      </c>
      <c r="G327" s="1" t="str">
        <f>tbl_model[[#This Row],[ProductID]] &amp; "-" &amp; tbl_model[[#This Row],[LocationID]]</f>
        <v>430-6</v>
      </c>
    </row>
    <row r="328" spans="1:7">
      <c r="A328">
        <v>430</v>
      </c>
      <c r="B328">
        <v>50</v>
      </c>
      <c r="C328" t="str">
        <f>_xlfn.XLOOKUP(tbl_model[[#This Row],[ProductID]],tbl_product[ProductID],tbl_product[ProductName],"UNMAPPED_PRODUCT")</f>
        <v>Thin-Jam Lock Nut 3</v>
      </c>
      <c r="D328" t="str">
        <f>_xlfn.XLOOKUP(tbl_model[[#This Row],[ProductID]],tbl_product[ProductID],tbl_product[ProductNumber],"UNMAPPED_PRODUCT")</f>
        <v>LJ-5161</v>
      </c>
      <c r="E328" t="str">
        <f>_xlfn.XLOOKUP(tbl_model[[#This Row],[LocationID]],tbl_location[LocationID],tbl_location[LocationName],"UNMAPPED_LOCATION")</f>
        <v>Subassembly</v>
      </c>
      <c r="F328">
        <v>484</v>
      </c>
      <c r="G328" s="1" t="str">
        <f>tbl_model[[#This Row],[ProductID]] &amp; "-" &amp; tbl_model[[#This Row],[LocationID]]</f>
        <v>430-50</v>
      </c>
    </row>
    <row r="329" spans="1:7">
      <c r="A329">
        <v>431</v>
      </c>
      <c r="B329">
        <v>1</v>
      </c>
      <c r="C329" t="str">
        <f>_xlfn.XLOOKUP(tbl_model[[#This Row],[ProductID]],tbl_product[ProductID],tbl_product[ProductName],"UNMAPPED_PRODUCT")</f>
        <v>Thin-Jam Lock Nut 4</v>
      </c>
      <c r="D329" t="str">
        <f>_xlfn.XLOOKUP(tbl_model[[#This Row],[ProductID]],tbl_product[ProductID],tbl_product[ProductNumber],"UNMAPPED_PRODUCT")</f>
        <v>LJ-5162</v>
      </c>
      <c r="E329" t="str">
        <f>_xlfn.XLOOKUP(tbl_model[[#This Row],[LocationID]],tbl_location[LocationID],tbl_location[LocationName],"UNMAPPED_LOCATION")</f>
        <v>Tool Crib</v>
      </c>
      <c r="F329">
        <v>611</v>
      </c>
      <c r="G329" s="1" t="str">
        <f>tbl_model[[#This Row],[ProductID]] &amp; "-" &amp; tbl_model[[#This Row],[LocationID]]</f>
        <v>431-1</v>
      </c>
    </row>
    <row r="330" spans="1:7">
      <c r="A330">
        <v>431</v>
      </c>
      <c r="B330">
        <v>6</v>
      </c>
      <c r="C330" t="str">
        <f>_xlfn.XLOOKUP(tbl_model[[#This Row],[ProductID]],tbl_product[ProductID],tbl_product[ProductName],"UNMAPPED_PRODUCT")</f>
        <v>Thin-Jam Lock Nut 4</v>
      </c>
      <c r="D330" t="str">
        <f>_xlfn.XLOOKUP(tbl_model[[#This Row],[ProductID]],tbl_product[ProductID],tbl_product[ProductNumber],"UNMAPPED_PRODUCT")</f>
        <v>LJ-5162</v>
      </c>
      <c r="E330" t="str">
        <f>_xlfn.XLOOKUP(tbl_model[[#This Row],[LocationID]],tbl_location[LocationID],tbl_location[LocationName],"UNMAPPED_LOCATION")</f>
        <v>Miscellaneous Storage</v>
      </c>
      <c r="F330">
        <v>505</v>
      </c>
      <c r="G330" s="1" t="str">
        <f>tbl_model[[#This Row],[ProductID]] &amp; "-" &amp; tbl_model[[#This Row],[LocationID]]</f>
        <v>431-6</v>
      </c>
    </row>
    <row r="331" spans="1:7">
      <c r="A331">
        <v>431</v>
      </c>
      <c r="B331">
        <v>50</v>
      </c>
      <c r="C331" t="str">
        <f>_xlfn.XLOOKUP(tbl_model[[#This Row],[ProductID]],tbl_product[ProductID],tbl_product[ProductName],"UNMAPPED_PRODUCT")</f>
        <v>Thin-Jam Lock Nut 4</v>
      </c>
      <c r="D331" t="str">
        <f>_xlfn.XLOOKUP(tbl_model[[#This Row],[ProductID]],tbl_product[ProductID],tbl_product[ProductNumber],"UNMAPPED_PRODUCT")</f>
        <v>LJ-5162</v>
      </c>
      <c r="E331" t="str">
        <f>_xlfn.XLOOKUP(tbl_model[[#This Row],[LocationID]],tbl_location[LocationID],tbl_location[LocationName],"UNMAPPED_LOCATION")</f>
        <v>Subassembly</v>
      </c>
      <c r="F331">
        <v>488</v>
      </c>
      <c r="G331" s="1" t="str">
        <f>tbl_model[[#This Row],[ProductID]] &amp; "-" &amp; tbl_model[[#This Row],[LocationID]]</f>
        <v>431-50</v>
      </c>
    </row>
    <row r="332" spans="1:7">
      <c r="A332">
        <v>432</v>
      </c>
      <c r="B332">
        <v>1</v>
      </c>
      <c r="C332" t="str">
        <f>_xlfn.XLOOKUP(tbl_model[[#This Row],[ProductID]],tbl_product[ProductID],tbl_product[ProductName],"UNMAPPED_PRODUCT")</f>
        <v>Thin-Jam Lock Nut 13</v>
      </c>
      <c r="D332" t="str">
        <f>_xlfn.XLOOKUP(tbl_model[[#This Row],[ProductID]],tbl_product[ProductID],tbl_product[ProductNumber],"UNMAPPED_PRODUCT")</f>
        <v>LJ-5811</v>
      </c>
      <c r="E332" t="str">
        <f>_xlfn.XLOOKUP(tbl_model[[#This Row],[LocationID]],tbl_location[LocationID],tbl_location[LocationName],"UNMAPPED_LOCATION")</f>
        <v>Tool Crib</v>
      </c>
      <c r="F332">
        <v>614</v>
      </c>
      <c r="G332" s="1" t="str">
        <f>tbl_model[[#This Row],[ProductID]] &amp; "-" &amp; tbl_model[[#This Row],[LocationID]]</f>
        <v>432-1</v>
      </c>
    </row>
    <row r="333" spans="1:7">
      <c r="A333">
        <v>432</v>
      </c>
      <c r="B333">
        <v>6</v>
      </c>
      <c r="C333" t="str">
        <f>_xlfn.XLOOKUP(tbl_model[[#This Row],[ProductID]],tbl_product[ProductID],tbl_product[ProductName],"UNMAPPED_PRODUCT")</f>
        <v>Thin-Jam Lock Nut 13</v>
      </c>
      <c r="D333" t="str">
        <f>_xlfn.XLOOKUP(tbl_model[[#This Row],[ProductID]],tbl_product[ProductID],tbl_product[ProductNumber],"UNMAPPED_PRODUCT")</f>
        <v>LJ-5811</v>
      </c>
      <c r="E333" t="str">
        <f>_xlfn.XLOOKUP(tbl_model[[#This Row],[LocationID]],tbl_location[LocationID],tbl_location[LocationName],"UNMAPPED_LOCATION")</f>
        <v>Miscellaneous Storage</v>
      </c>
      <c r="F333">
        <v>508</v>
      </c>
      <c r="G333" s="1" t="str">
        <f>tbl_model[[#This Row],[ProductID]] &amp; "-" &amp; tbl_model[[#This Row],[LocationID]]</f>
        <v>432-6</v>
      </c>
    </row>
    <row r="334" spans="1:7">
      <c r="A334">
        <v>432</v>
      </c>
      <c r="B334">
        <v>50</v>
      </c>
      <c r="C334" t="str">
        <f>_xlfn.XLOOKUP(tbl_model[[#This Row],[ProductID]],tbl_product[ProductID],tbl_product[ProductName],"UNMAPPED_PRODUCT")</f>
        <v>Thin-Jam Lock Nut 13</v>
      </c>
      <c r="D334" t="str">
        <f>_xlfn.XLOOKUP(tbl_model[[#This Row],[ProductID]],tbl_product[ProductID],tbl_product[ProductNumber],"UNMAPPED_PRODUCT")</f>
        <v>LJ-5811</v>
      </c>
      <c r="E334" t="str">
        <f>_xlfn.XLOOKUP(tbl_model[[#This Row],[LocationID]],tbl_location[LocationID],tbl_location[LocationName],"UNMAPPED_LOCATION")</f>
        <v>Subassembly</v>
      </c>
      <c r="F334">
        <v>491</v>
      </c>
      <c r="G334" s="1" t="str">
        <f>tbl_model[[#This Row],[ProductID]] &amp; "-" &amp; tbl_model[[#This Row],[LocationID]]</f>
        <v>432-50</v>
      </c>
    </row>
    <row r="335" spans="1:7">
      <c r="A335">
        <v>433</v>
      </c>
      <c r="B335">
        <v>1</v>
      </c>
      <c r="C335" t="str">
        <f>_xlfn.XLOOKUP(tbl_model[[#This Row],[ProductID]],tbl_product[ProductID],tbl_product[ProductName],"UNMAPPED_PRODUCT")</f>
        <v>Thin-Jam Lock Nut 14</v>
      </c>
      <c r="D335" t="str">
        <f>_xlfn.XLOOKUP(tbl_model[[#This Row],[ProductID]],tbl_product[ProductID],tbl_product[ProductNumber],"UNMAPPED_PRODUCT")</f>
        <v>LJ-5818</v>
      </c>
      <c r="E335" t="str">
        <f>_xlfn.XLOOKUP(tbl_model[[#This Row],[LocationID]],tbl_location[LocationID],tbl_location[LocationName],"UNMAPPED_LOCATION")</f>
        <v>Tool Crib</v>
      </c>
      <c r="F335">
        <v>617</v>
      </c>
      <c r="G335" s="1" t="str">
        <f>tbl_model[[#This Row],[ProductID]] &amp; "-" &amp; tbl_model[[#This Row],[LocationID]]</f>
        <v>433-1</v>
      </c>
    </row>
    <row r="336" spans="1:7">
      <c r="A336">
        <v>433</v>
      </c>
      <c r="B336">
        <v>6</v>
      </c>
      <c r="C336" t="str">
        <f>_xlfn.XLOOKUP(tbl_model[[#This Row],[ProductID]],tbl_product[ProductID],tbl_product[ProductName],"UNMAPPED_PRODUCT")</f>
        <v>Thin-Jam Lock Nut 14</v>
      </c>
      <c r="D336" t="str">
        <f>_xlfn.XLOOKUP(tbl_model[[#This Row],[ProductID]],tbl_product[ProductID],tbl_product[ProductNumber],"UNMAPPED_PRODUCT")</f>
        <v>LJ-5818</v>
      </c>
      <c r="E336" t="str">
        <f>_xlfn.XLOOKUP(tbl_model[[#This Row],[LocationID]],tbl_location[LocationID],tbl_location[LocationName],"UNMAPPED_LOCATION")</f>
        <v>Miscellaneous Storage</v>
      </c>
      <c r="F336">
        <v>512</v>
      </c>
      <c r="G336" s="1" t="str">
        <f>tbl_model[[#This Row],[ProductID]] &amp; "-" &amp; tbl_model[[#This Row],[LocationID]]</f>
        <v>433-6</v>
      </c>
    </row>
    <row r="337" spans="1:7">
      <c r="A337">
        <v>433</v>
      </c>
      <c r="B337">
        <v>50</v>
      </c>
      <c r="C337" t="str">
        <f>_xlfn.XLOOKUP(tbl_model[[#This Row],[ProductID]],tbl_product[ProductID],tbl_product[ProductName],"UNMAPPED_PRODUCT")</f>
        <v>Thin-Jam Lock Nut 14</v>
      </c>
      <c r="D337" t="str">
        <f>_xlfn.XLOOKUP(tbl_model[[#This Row],[ProductID]],tbl_product[ProductID],tbl_product[ProductNumber],"UNMAPPED_PRODUCT")</f>
        <v>LJ-5818</v>
      </c>
      <c r="E337" t="str">
        <f>_xlfn.XLOOKUP(tbl_model[[#This Row],[LocationID]],tbl_location[LocationID],tbl_location[LocationName],"UNMAPPED_LOCATION")</f>
        <v>Subassembly</v>
      </c>
      <c r="F337">
        <v>494</v>
      </c>
      <c r="G337" s="1" t="str">
        <f>tbl_model[[#This Row],[ProductID]] &amp; "-" &amp; tbl_model[[#This Row],[LocationID]]</f>
        <v>433-50</v>
      </c>
    </row>
    <row r="338" spans="1:7">
      <c r="A338">
        <v>434</v>
      </c>
      <c r="B338">
        <v>1</v>
      </c>
      <c r="C338" t="str">
        <f>_xlfn.XLOOKUP(tbl_model[[#This Row],[ProductID]],tbl_product[ProductID],tbl_product[ProductName],"UNMAPPED_PRODUCT")</f>
        <v>Thin-Jam Lock Nut 7</v>
      </c>
      <c r="D338" t="str">
        <f>_xlfn.XLOOKUP(tbl_model[[#This Row],[ProductID]],tbl_product[ProductID],tbl_product[ProductNumber],"UNMAPPED_PRODUCT")</f>
        <v>LJ-7161</v>
      </c>
      <c r="E338" t="str">
        <f>_xlfn.XLOOKUP(tbl_model[[#This Row],[LocationID]],tbl_location[LocationID],tbl_location[LocationName],"UNMAPPED_LOCATION")</f>
        <v>Tool Crib</v>
      </c>
      <c r="F338">
        <v>620</v>
      </c>
      <c r="G338" s="1" t="str">
        <f>tbl_model[[#This Row],[ProductID]] &amp; "-" &amp; tbl_model[[#This Row],[LocationID]]</f>
        <v>434-1</v>
      </c>
    </row>
    <row r="339" spans="1:7">
      <c r="A339">
        <v>434</v>
      </c>
      <c r="B339">
        <v>6</v>
      </c>
      <c r="C339" t="str">
        <f>_xlfn.XLOOKUP(tbl_model[[#This Row],[ProductID]],tbl_product[ProductID],tbl_product[ProductName],"UNMAPPED_PRODUCT")</f>
        <v>Thin-Jam Lock Nut 7</v>
      </c>
      <c r="D339" t="str">
        <f>_xlfn.XLOOKUP(tbl_model[[#This Row],[ProductID]],tbl_product[ProductID],tbl_product[ProductNumber],"UNMAPPED_PRODUCT")</f>
        <v>LJ-7161</v>
      </c>
      <c r="E339" t="str">
        <f>_xlfn.XLOOKUP(tbl_model[[#This Row],[LocationID]],tbl_location[LocationID],tbl_location[LocationName],"UNMAPPED_LOCATION")</f>
        <v>Miscellaneous Storage</v>
      </c>
      <c r="F339">
        <v>515</v>
      </c>
      <c r="G339" s="1" t="str">
        <f>tbl_model[[#This Row],[ProductID]] &amp; "-" &amp; tbl_model[[#This Row],[LocationID]]</f>
        <v>434-6</v>
      </c>
    </row>
    <row r="340" spans="1:7">
      <c r="A340">
        <v>434</v>
      </c>
      <c r="B340">
        <v>50</v>
      </c>
      <c r="C340" t="str">
        <f>_xlfn.XLOOKUP(tbl_model[[#This Row],[ProductID]],tbl_product[ProductID],tbl_product[ProductName],"UNMAPPED_PRODUCT")</f>
        <v>Thin-Jam Lock Nut 7</v>
      </c>
      <c r="D340" t="str">
        <f>_xlfn.XLOOKUP(tbl_model[[#This Row],[ProductID]],tbl_product[ProductID],tbl_product[ProductNumber],"UNMAPPED_PRODUCT")</f>
        <v>LJ-7161</v>
      </c>
      <c r="E340" t="str">
        <f>_xlfn.XLOOKUP(tbl_model[[#This Row],[LocationID]],tbl_location[LocationID],tbl_location[LocationName],"UNMAPPED_LOCATION")</f>
        <v>Subassembly</v>
      </c>
      <c r="F340">
        <v>497</v>
      </c>
      <c r="G340" s="1" t="str">
        <f>tbl_model[[#This Row],[ProductID]] &amp; "-" &amp; tbl_model[[#This Row],[LocationID]]</f>
        <v>434-50</v>
      </c>
    </row>
    <row r="341" spans="1:7">
      <c r="A341">
        <v>435</v>
      </c>
      <c r="B341">
        <v>1</v>
      </c>
      <c r="C341" t="str">
        <f>_xlfn.XLOOKUP(tbl_model[[#This Row],[ProductID]],tbl_product[ProductID],tbl_product[ProductName],"UNMAPPED_PRODUCT")</f>
        <v>Thin-Jam Lock Nut 8</v>
      </c>
      <c r="D341" t="str">
        <f>_xlfn.XLOOKUP(tbl_model[[#This Row],[ProductID]],tbl_product[ProductID],tbl_product[ProductNumber],"UNMAPPED_PRODUCT")</f>
        <v>LJ-7162</v>
      </c>
      <c r="E341" t="str">
        <f>_xlfn.XLOOKUP(tbl_model[[#This Row],[LocationID]],tbl_location[LocationID],tbl_location[LocationName],"UNMAPPED_LOCATION")</f>
        <v>Tool Crib</v>
      </c>
      <c r="F341">
        <v>624</v>
      </c>
      <c r="G341" s="1" t="str">
        <f>tbl_model[[#This Row],[ProductID]] &amp; "-" &amp; tbl_model[[#This Row],[LocationID]]</f>
        <v>435-1</v>
      </c>
    </row>
    <row r="342" spans="1:7">
      <c r="A342">
        <v>435</v>
      </c>
      <c r="B342">
        <v>6</v>
      </c>
      <c r="C342" t="str">
        <f>_xlfn.XLOOKUP(tbl_model[[#This Row],[ProductID]],tbl_product[ProductID],tbl_product[ProductName],"UNMAPPED_PRODUCT")</f>
        <v>Thin-Jam Lock Nut 8</v>
      </c>
      <c r="D342" t="str">
        <f>_xlfn.XLOOKUP(tbl_model[[#This Row],[ProductID]],tbl_product[ProductID],tbl_product[ProductNumber],"UNMAPPED_PRODUCT")</f>
        <v>LJ-7162</v>
      </c>
      <c r="E342" t="str">
        <f>_xlfn.XLOOKUP(tbl_model[[#This Row],[LocationID]],tbl_location[LocationID],tbl_location[LocationName],"UNMAPPED_LOCATION")</f>
        <v>Miscellaneous Storage</v>
      </c>
      <c r="F342">
        <v>518</v>
      </c>
      <c r="G342" s="1" t="str">
        <f>tbl_model[[#This Row],[ProductID]] &amp; "-" &amp; tbl_model[[#This Row],[LocationID]]</f>
        <v>435-6</v>
      </c>
    </row>
    <row r="343" spans="1:7">
      <c r="A343">
        <v>435</v>
      </c>
      <c r="B343">
        <v>50</v>
      </c>
      <c r="C343" t="str">
        <f>_xlfn.XLOOKUP(tbl_model[[#This Row],[ProductID]],tbl_product[ProductID],tbl_product[ProductName],"UNMAPPED_PRODUCT")</f>
        <v>Thin-Jam Lock Nut 8</v>
      </c>
      <c r="D343" t="str">
        <f>_xlfn.XLOOKUP(tbl_model[[#This Row],[ProductID]],tbl_product[ProductID],tbl_product[ProductNumber],"UNMAPPED_PRODUCT")</f>
        <v>LJ-7162</v>
      </c>
      <c r="E343" t="str">
        <f>_xlfn.XLOOKUP(tbl_model[[#This Row],[LocationID]],tbl_location[LocationID],tbl_location[LocationName],"UNMAPPED_LOCATION")</f>
        <v>Subassembly</v>
      </c>
      <c r="F343">
        <v>500</v>
      </c>
      <c r="G343" s="1" t="str">
        <f>tbl_model[[#This Row],[ProductID]] &amp; "-" &amp; tbl_model[[#This Row],[LocationID]]</f>
        <v>435-50</v>
      </c>
    </row>
    <row r="344" spans="1:7">
      <c r="A344">
        <v>436</v>
      </c>
      <c r="B344">
        <v>1</v>
      </c>
      <c r="C344" t="str">
        <f>_xlfn.XLOOKUP(tbl_model[[#This Row],[ProductID]],tbl_product[ProductID],tbl_product[ProductName],"UNMAPPED_PRODUCT")</f>
        <v>Thin-Jam Lock Nut 12</v>
      </c>
      <c r="D344" t="str">
        <f>_xlfn.XLOOKUP(tbl_model[[#This Row],[ProductID]],tbl_product[ProductID],tbl_product[ProductNumber],"UNMAPPED_PRODUCT")</f>
        <v>LJ-9080</v>
      </c>
      <c r="E344" t="str">
        <f>_xlfn.XLOOKUP(tbl_model[[#This Row],[LocationID]],tbl_location[LocationID],tbl_location[LocationName],"UNMAPPED_LOCATION")</f>
        <v>Tool Crib</v>
      </c>
      <c r="F344">
        <v>627</v>
      </c>
      <c r="G344" s="1" t="str">
        <f>tbl_model[[#This Row],[ProductID]] &amp; "-" &amp; tbl_model[[#This Row],[LocationID]]</f>
        <v>436-1</v>
      </c>
    </row>
    <row r="345" spans="1:7">
      <c r="A345">
        <v>436</v>
      </c>
      <c r="B345">
        <v>6</v>
      </c>
      <c r="C345" t="str">
        <f>_xlfn.XLOOKUP(tbl_model[[#This Row],[ProductID]],tbl_product[ProductID],tbl_product[ProductName],"UNMAPPED_PRODUCT")</f>
        <v>Thin-Jam Lock Nut 12</v>
      </c>
      <c r="D345" t="str">
        <f>_xlfn.XLOOKUP(tbl_model[[#This Row],[ProductID]],tbl_product[ProductID],tbl_product[ProductNumber],"UNMAPPED_PRODUCT")</f>
        <v>LJ-9080</v>
      </c>
      <c r="E345" t="str">
        <f>_xlfn.XLOOKUP(tbl_model[[#This Row],[LocationID]],tbl_location[LocationID],tbl_location[LocationName],"UNMAPPED_LOCATION")</f>
        <v>Miscellaneous Storage</v>
      </c>
      <c r="F345">
        <v>521</v>
      </c>
      <c r="G345" s="1" t="str">
        <f>tbl_model[[#This Row],[ProductID]] &amp; "-" &amp; tbl_model[[#This Row],[LocationID]]</f>
        <v>436-6</v>
      </c>
    </row>
    <row r="346" spans="1:7">
      <c r="A346">
        <v>436</v>
      </c>
      <c r="B346">
        <v>50</v>
      </c>
      <c r="C346" t="str">
        <f>_xlfn.XLOOKUP(tbl_model[[#This Row],[ProductID]],tbl_product[ProductID],tbl_product[ProductName],"UNMAPPED_PRODUCT")</f>
        <v>Thin-Jam Lock Nut 12</v>
      </c>
      <c r="D346" t="str">
        <f>_xlfn.XLOOKUP(tbl_model[[#This Row],[ProductID]],tbl_product[ProductID],tbl_product[ProductNumber],"UNMAPPED_PRODUCT")</f>
        <v>LJ-9080</v>
      </c>
      <c r="E346" t="str">
        <f>_xlfn.XLOOKUP(tbl_model[[#This Row],[LocationID]],tbl_location[LocationID],tbl_location[LocationName],"UNMAPPED_LOCATION")</f>
        <v>Subassembly</v>
      </c>
      <c r="F346">
        <v>504</v>
      </c>
      <c r="G346" s="1" t="str">
        <f>tbl_model[[#This Row],[ProductID]] &amp; "-" &amp; tbl_model[[#This Row],[LocationID]]</f>
        <v>436-50</v>
      </c>
    </row>
    <row r="347" spans="1:7">
      <c r="A347">
        <v>437</v>
      </c>
      <c r="B347">
        <v>1</v>
      </c>
      <c r="C347" t="str">
        <f>_xlfn.XLOOKUP(tbl_model[[#This Row],[ProductID]],tbl_product[ProductID],tbl_product[ProductName],"UNMAPPED_PRODUCT")</f>
        <v>Thin-Jam Lock Nut 11</v>
      </c>
      <c r="D347" t="str">
        <f>_xlfn.XLOOKUP(tbl_model[[#This Row],[ProductID]],tbl_product[ProductID],tbl_product[ProductNumber],"UNMAPPED_PRODUCT")</f>
        <v>LJ-9161</v>
      </c>
      <c r="E347" t="str">
        <f>_xlfn.XLOOKUP(tbl_model[[#This Row],[LocationID]],tbl_location[LocationID],tbl_location[LocationName],"UNMAPPED_LOCATION")</f>
        <v>Tool Crib</v>
      </c>
      <c r="F347">
        <v>630</v>
      </c>
      <c r="G347" s="1" t="str">
        <f>tbl_model[[#This Row],[ProductID]] &amp; "-" &amp; tbl_model[[#This Row],[LocationID]]</f>
        <v>437-1</v>
      </c>
    </row>
    <row r="348" spans="1:7">
      <c r="A348">
        <v>437</v>
      </c>
      <c r="B348">
        <v>6</v>
      </c>
      <c r="C348" t="str">
        <f>_xlfn.XLOOKUP(tbl_model[[#This Row],[ProductID]],tbl_product[ProductID],tbl_product[ProductName],"UNMAPPED_PRODUCT")</f>
        <v>Thin-Jam Lock Nut 11</v>
      </c>
      <c r="D348" t="str">
        <f>_xlfn.XLOOKUP(tbl_model[[#This Row],[ProductID]],tbl_product[ProductID],tbl_product[ProductNumber],"UNMAPPED_PRODUCT")</f>
        <v>LJ-9161</v>
      </c>
      <c r="E348" t="str">
        <f>_xlfn.XLOOKUP(tbl_model[[#This Row],[LocationID]],tbl_location[LocationID],tbl_location[LocationName],"UNMAPPED_LOCATION")</f>
        <v>Miscellaneous Storage</v>
      </c>
      <c r="F348">
        <v>524</v>
      </c>
      <c r="G348" s="1" t="str">
        <f>tbl_model[[#This Row],[ProductID]] &amp; "-" &amp; tbl_model[[#This Row],[LocationID]]</f>
        <v>437-6</v>
      </c>
    </row>
    <row r="349" spans="1:7">
      <c r="A349">
        <v>437</v>
      </c>
      <c r="B349">
        <v>50</v>
      </c>
      <c r="C349" t="str">
        <f>_xlfn.XLOOKUP(tbl_model[[#This Row],[ProductID]],tbl_product[ProductID],tbl_product[ProductName],"UNMAPPED_PRODUCT")</f>
        <v>Thin-Jam Lock Nut 11</v>
      </c>
      <c r="D349" t="str">
        <f>_xlfn.XLOOKUP(tbl_model[[#This Row],[ProductID]],tbl_product[ProductID],tbl_product[ProductNumber],"UNMAPPED_PRODUCT")</f>
        <v>LJ-9161</v>
      </c>
      <c r="E349" t="str">
        <f>_xlfn.XLOOKUP(tbl_model[[#This Row],[LocationID]],tbl_location[LocationID],tbl_location[LocationName],"UNMAPPED_LOCATION")</f>
        <v>Subassembly</v>
      </c>
      <c r="F349">
        <v>507</v>
      </c>
      <c r="G349" s="1" t="str">
        <f>tbl_model[[#This Row],[ProductID]] &amp; "-" &amp; tbl_model[[#This Row],[LocationID]]</f>
        <v>437-50</v>
      </c>
    </row>
    <row r="350" spans="1:7">
      <c r="A350">
        <v>438</v>
      </c>
      <c r="B350">
        <v>1</v>
      </c>
      <c r="C350" t="str">
        <f>_xlfn.XLOOKUP(tbl_model[[#This Row],[ProductID]],tbl_product[ProductID],tbl_product[ProductName],"UNMAPPED_PRODUCT")</f>
        <v>Lock Nut 5</v>
      </c>
      <c r="D350" t="str">
        <f>_xlfn.XLOOKUP(tbl_model[[#This Row],[ProductID]],tbl_product[ProductID],tbl_product[ProductNumber],"UNMAPPED_PRODUCT")</f>
        <v>LN-1024</v>
      </c>
      <c r="E350" t="str">
        <f>_xlfn.XLOOKUP(tbl_model[[#This Row],[LocationID]],tbl_location[LocationID],tbl_location[LocationName],"UNMAPPED_LOCATION")</f>
        <v>Tool Crib</v>
      </c>
      <c r="F350">
        <v>633</v>
      </c>
      <c r="G350" s="1" t="str">
        <f>tbl_model[[#This Row],[ProductID]] &amp; "-" &amp; tbl_model[[#This Row],[LocationID]]</f>
        <v>438-1</v>
      </c>
    </row>
    <row r="351" spans="1:7">
      <c r="A351">
        <v>438</v>
      </c>
      <c r="B351">
        <v>6</v>
      </c>
      <c r="C351" t="str">
        <f>_xlfn.XLOOKUP(tbl_model[[#This Row],[ProductID]],tbl_product[ProductID],tbl_product[ProductName],"UNMAPPED_PRODUCT")</f>
        <v>Lock Nut 5</v>
      </c>
      <c r="D351" t="str">
        <f>_xlfn.XLOOKUP(tbl_model[[#This Row],[ProductID]],tbl_product[ProductID],tbl_product[ProductNumber],"UNMAPPED_PRODUCT")</f>
        <v>LN-1024</v>
      </c>
      <c r="E351" t="str">
        <f>_xlfn.XLOOKUP(tbl_model[[#This Row],[LocationID]],tbl_location[LocationID],tbl_location[LocationName],"UNMAPPED_LOCATION")</f>
        <v>Miscellaneous Storage</v>
      </c>
      <c r="F351">
        <v>528</v>
      </c>
      <c r="G351" s="1" t="str">
        <f>tbl_model[[#This Row],[ProductID]] &amp; "-" &amp; tbl_model[[#This Row],[LocationID]]</f>
        <v>438-6</v>
      </c>
    </row>
    <row r="352" spans="1:7">
      <c r="A352">
        <v>438</v>
      </c>
      <c r="B352">
        <v>50</v>
      </c>
      <c r="C352" t="str">
        <f>_xlfn.XLOOKUP(tbl_model[[#This Row],[ProductID]],tbl_product[ProductID],tbl_product[ProductName],"UNMAPPED_PRODUCT")</f>
        <v>Lock Nut 5</v>
      </c>
      <c r="D352" t="str">
        <f>_xlfn.XLOOKUP(tbl_model[[#This Row],[ProductID]],tbl_product[ProductID],tbl_product[ProductNumber],"UNMAPPED_PRODUCT")</f>
        <v>LN-1024</v>
      </c>
      <c r="E352" t="str">
        <f>_xlfn.XLOOKUP(tbl_model[[#This Row],[LocationID]],tbl_location[LocationID],tbl_location[LocationName],"UNMAPPED_LOCATION")</f>
        <v>Subassembly</v>
      </c>
      <c r="F352">
        <v>510</v>
      </c>
      <c r="G352" s="1" t="str">
        <f>tbl_model[[#This Row],[ProductID]] &amp; "-" &amp; tbl_model[[#This Row],[LocationID]]</f>
        <v>438-50</v>
      </c>
    </row>
    <row r="353" spans="1:7">
      <c r="A353">
        <v>439</v>
      </c>
      <c r="B353">
        <v>1</v>
      </c>
      <c r="C353" t="str">
        <f>_xlfn.XLOOKUP(tbl_model[[#This Row],[ProductID]],tbl_product[ProductID],tbl_product[ProductName],"UNMAPPED_PRODUCT")</f>
        <v>Lock Nut 6</v>
      </c>
      <c r="D353" t="str">
        <f>_xlfn.XLOOKUP(tbl_model[[#This Row],[ProductID]],tbl_product[ProductID],tbl_product[ProductNumber],"UNMAPPED_PRODUCT")</f>
        <v>LN-1032</v>
      </c>
      <c r="E353" t="str">
        <f>_xlfn.XLOOKUP(tbl_model[[#This Row],[LocationID]],tbl_location[LocationID],tbl_location[LocationName],"UNMAPPED_LOCATION")</f>
        <v>Tool Crib</v>
      </c>
      <c r="F353">
        <v>636</v>
      </c>
      <c r="G353" s="1" t="str">
        <f>tbl_model[[#This Row],[ProductID]] &amp; "-" &amp; tbl_model[[#This Row],[LocationID]]</f>
        <v>439-1</v>
      </c>
    </row>
    <row r="354" spans="1:7">
      <c r="A354">
        <v>439</v>
      </c>
      <c r="B354">
        <v>6</v>
      </c>
      <c r="C354" t="str">
        <f>_xlfn.XLOOKUP(tbl_model[[#This Row],[ProductID]],tbl_product[ProductID],tbl_product[ProductName],"UNMAPPED_PRODUCT")</f>
        <v>Lock Nut 6</v>
      </c>
      <c r="D354" t="str">
        <f>_xlfn.XLOOKUP(tbl_model[[#This Row],[ProductID]],tbl_product[ProductID],tbl_product[ProductNumber],"UNMAPPED_PRODUCT")</f>
        <v>LN-1032</v>
      </c>
      <c r="E354" t="str">
        <f>_xlfn.XLOOKUP(tbl_model[[#This Row],[LocationID]],tbl_location[LocationID],tbl_location[LocationName],"UNMAPPED_LOCATION")</f>
        <v>Miscellaneous Storage</v>
      </c>
      <c r="F354">
        <v>531</v>
      </c>
      <c r="G354" s="1" t="str">
        <f>tbl_model[[#This Row],[ProductID]] &amp; "-" &amp; tbl_model[[#This Row],[LocationID]]</f>
        <v>439-6</v>
      </c>
    </row>
    <row r="355" spans="1:7">
      <c r="A355">
        <v>439</v>
      </c>
      <c r="B355">
        <v>50</v>
      </c>
      <c r="C355" t="str">
        <f>_xlfn.XLOOKUP(tbl_model[[#This Row],[ProductID]],tbl_product[ProductID],tbl_product[ProductName],"UNMAPPED_PRODUCT")</f>
        <v>Lock Nut 6</v>
      </c>
      <c r="D355" t="str">
        <f>_xlfn.XLOOKUP(tbl_model[[#This Row],[ProductID]],tbl_product[ProductID],tbl_product[ProductNumber],"UNMAPPED_PRODUCT")</f>
        <v>LN-1032</v>
      </c>
      <c r="E355" t="str">
        <f>_xlfn.XLOOKUP(tbl_model[[#This Row],[LocationID]],tbl_location[LocationID],tbl_location[LocationName],"UNMAPPED_LOCATION")</f>
        <v>Subassembly</v>
      </c>
      <c r="F355">
        <v>513</v>
      </c>
      <c r="G355" s="1" t="str">
        <f>tbl_model[[#This Row],[ProductID]] &amp; "-" &amp; tbl_model[[#This Row],[LocationID]]</f>
        <v>439-50</v>
      </c>
    </row>
    <row r="356" spans="1:7">
      <c r="A356">
        <v>440</v>
      </c>
      <c r="B356">
        <v>1</v>
      </c>
      <c r="C356" t="str">
        <f>_xlfn.XLOOKUP(tbl_model[[#This Row],[ProductID]],tbl_product[ProductID],tbl_product[ProductName],"UNMAPPED_PRODUCT")</f>
        <v>Lock Nut 16</v>
      </c>
      <c r="D356" t="str">
        <f>_xlfn.XLOOKUP(tbl_model[[#This Row],[ProductID]],tbl_product[ProductID],tbl_product[ProductNumber],"UNMAPPED_PRODUCT")</f>
        <v>LN-1213</v>
      </c>
      <c r="E356" t="str">
        <f>_xlfn.XLOOKUP(tbl_model[[#This Row],[LocationID]],tbl_location[LocationID],tbl_location[LocationName],"UNMAPPED_LOCATION")</f>
        <v>Tool Crib</v>
      </c>
      <c r="F356">
        <v>640</v>
      </c>
      <c r="G356" s="1" t="str">
        <f>tbl_model[[#This Row],[ProductID]] &amp; "-" &amp; tbl_model[[#This Row],[LocationID]]</f>
        <v>440-1</v>
      </c>
    </row>
    <row r="357" spans="1:7">
      <c r="A357">
        <v>440</v>
      </c>
      <c r="B357">
        <v>6</v>
      </c>
      <c r="C357" t="str">
        <f>_xlfn.XLOOKUP(tbl_model[[#This Row],[ProductID]],tbl_product[ProductID],tbl_product[ProductName],"UNMAPPED_PRODUCT")</f>
        <v>Lock Nut 16</v>
      </c>
      <c r="D357" t="str">
        <f>_xlfn.XLOOKUP(tbl_model[[#This Row],[ProductID]],tbl_product[ProductID],tbl_product[ProductNumber],"UNMAPPED_PRODUCT")</f>
        <v>LN-1213</v>
      </c>
      <c r="E357" t="str">
        <f>_xlfn.XLOOKUP(tbl_model[[#This Row],[LocationID]],tbl_location[LocationID],tbl_location[LocationName],"UNMAPPED_LOCATION")</f>
        <v>Miscellaneous Storage</v>
      </c>
      <c r="F357">
        <v>534</v>
      </c>
      <c r="G357" s="1" t="str">
        <f>tbl_model[[#This Row],[ProductID]] &amp; "-" &amp; tbl_model[[#This Row],[LocationID]]</f>
        <v>440-6</v>
      </c>
    </row>
    <row r="358" spans="1:7">
      <c r="A358">
        <v>440</v>
      </c>
      <c r="B358">
        <v>50</v>
      </c>
      <c r="C358" t="str">
        <f>_xlfn.XLOOKUP(tbl_model[[#This Row],[ProductID]],tbl_product[ProductID],tbl_product[ProductName],"UNMAPPED_PRODUCT")</f>
        <v>Lock Nut 16</v>
      </c>
      <c r="D358" t="str">
        <f>_xlfn.XLOOKUP(tbl_model[[#This Row],[ProductID]],tbl_product[ProductID],tbl_product[ProductNumber],"UNMAPPED_PRODUCT")</f>
        <v>LN-1213</v>
      </c>
      <c r="E358" t="str">
        <f>_xlfn.XLOOKUP(tbl_model[[#This Row],[LocationID]],tbl_location[LocationID],tbl_location[LocationName],"UNMAPPED_LOCATION")</f>
        <v>Subassembly</v>
      </c>
      <c r="F358">
        <v>516</v>
      </c>
      <c r="G358" s="1" t="str">
        <f>tbl_model[[#This Row],[ProductID]] &amp; "-" &amp; tbl_model[[#This Row],[LocationID]]</f>
        <v>440-50</v>
      </c>
    </row>
    <row r="359" spans="1:7">
      <c r="A359">
        <v>441</v>
      </c>
      <c r="B359">
        <v>1</v>
      </c>
      <c r="C359" t="str">
        <f>_xlfn.XLOOKUP(tbl_model[[#This Row],[ProductID]],tbl_product[ProductID],tbl_product[ProductName],"UNMAPPED_PRODUCT")</f>
        <v>Lock Nut 17</v>
      </c>
      <c r="D359" t="str">
        <f>_xlfn.XLOOKUP(tbl_model[[#This Row],[ProductID]],tbl_product[ProductID],tbl_product[ProductNumber],"UNMAPPED_PRODUCT")</f>
        <v>LN-1220</v>
      </c>
      <c r="E359" t="str">
        <f>_xlfn.XLOOKUP(tbl_model[[#This Row],[LocationID]],tbl_location[LocationID],tbl_location[LocationName],"UNMAPPED_LOCATION")</f>
        <v>Tool Crib</v>
      </c>
      <c r="F359">
        <v>635</v>
      </c>
      <c r="G359" s="1" t="str">
        <f>tbl_model[[#This Row],[ProductID]] &amp; "-" &amp; tbl_model[[#This Row],[LocationID]]</f>
        <v>441-1</v>
      </c>
    </row>
    <row r="360" spans="1:7">
      <c r="A360">
        <v>441</v>
      </c>
      <c r="B360">
        <v>6</v>
      </c>
      <c r="C360" t="str">
        <f>_xlfn.XLOOKUP(tbl_model[[#This Row],[ProductID]],tbl_product[ProductID],tbl_product[ProductName],"UNMAPPED_PRODUCT")</f>
        <v>Lock Nut 17</v>
      </c>
      <c r="D360" t="str">
        <f>_xlfn.XLOOKUP(tbl_model[[#This Row],[ProductID]],tbl_product[ProductID],tbl_product[ProductNumber],"UNMAPPED_PRODUCT")</f>
        <v>LN-1220</v>
      </c>
      <c r="E360" t="str">
        <f>_xlfn.XLOOKUP(tbl_model[[#This Row],[LocationID]],tbl_location[LocationID],tbl_location[LocationName],"UNMAPPED_LOCATION")</f>
        <v>Miscellaneous Storage</v>
      </c>
      <c r="F360">
        <v>529</v>
      </c>
      <c r="G360" s="1" t="str">
        <f>tbl_model[[#This Row],[ProductID]] &amp; "-" &amp; tbl_model[[#This Row],[LocationID]]</f>
        <v>441-6</v>
      </c>
    </row>
    <row r="361" spans="1:7">
      <c r="A361">
        <v>441</v>
      </c>
      <c r="B361">
        <v>50</v>
      </c>
      <c r="C361" t="str">
        <f>_xlfn.XLOOKUP(tbl_model[[#This Row],[ProductID]],tbl_product[ProductID],tbl_product[ProductName],"UNMAPPED_PRODUCT")</f>
        <v>Lock Nut 17</v>
      </c>
      <c r="D361" t="str">
        <f>_xlfn.XLOOKUP(tbl_model[[#This Row],[ProductID]],tbl_product[ProductID],tbl_product[ProductNumber],"UNMAPPED_PRODUCT")</f>
        <v>LN-1220</v>
      </c>
      <c r="E361" t="str">
        <f>_xlfn.XLOOKUP(tbl_model[[#This Row],[LocationID]],tbl_location[LocationID],tbl_location[LocationName],"UNMAPPED_LOCATION")</f>
        <v>Subassembly</v>
      </c>
      <c r="F361">
        <v>512</v>
      </c>
      <c r="G361" s="1" t="str">
        <f>tbl_model[[#This Row],[ProductID]] &amp; "-" &amp; tbl_model[[#This Row],[LocationID]]</f>
        <v>441-50</v>
      </c>
    </row>
    <row r="362" spans="1:7">
      <c r="A362">
        <v>442</v>
      </c>
      <c r="B362">
        <v>1</v>
      </c>
      <c r="C362" t="str">
        <f>_xlfn.XLOOKUP(tbl_model[[#This Row],[ProductID]],tbl_product[ProductID],tbl_product[ProductName],"UNMAPPED_PRODUCT")</f>
        <v>Lock Nut 7</v>
      </c>
      <c r="D362" t="str">
        <f>_xlfn.XLOOKUP(tbl_model[[#This Row],[ProductID]],tbl_product[ProductID],tbl_product[ProductNumber],"UNMAPPED_PRODUCT")</f>
        <v>LN-1224</v>
      </c>
      <c r="E362" t="str">
        <f>_xlfn.XLOOKUP(tbl_model[[#This Row],[LocationID]],tbl_location[LocationID],tbl_location[LocationName],"UNMAPPED_LOCATION")</f>
        <v>Tool Crib</v>
      </c>
      <c r="F362">
        <v>630</v>
      </c>
      <c r="G362" s="1" t="str">
        <f>tbl_model[[#This Row],[ProductID]] &amp; "-" &amp; tbl_model[[#This Row],[LocationID]]</f>
        <v>442-1</v>
      </c>
    </row>
    <row r="363" spans="1:7">
      <c r="A363">
        <v>442</v>
      </c>
      <c r="B363">
        <v>6</v>
      </c>
      <c r="C363" t="str">
        <f>_xlfn.XLOOKUP(tbl_model[[#This Row],[ProductID]],tbl_product[ProductID],tbl_product[ProductName],"UNMAPPED_PRODUCT")</f>
        <v>Lock Nut 7</v>
      </c>
      <c r="D363" t="str">
        <f>_xlfn.XLOOKUP(tbl_model[[#This Row],[ProductID]],tbl_product[ProductID],tbl_product[ProductNumber],"UNMAPPED_PRODUCT")</f>
        <v>LN-1224</v>
      </c>
      <c r="E363" t="str">
        <f>_xlfn.XLOOKUP(tbl_model[[#This Row],[LocationID]],tbl_location[LocationID],tbl_location[LocationName],"UNMAPPED_LOCATION")</f>
        <v>Miscellaneous Storage</v>
      </c>
      <c r="F363">
        <v>524</v>
      </c>
      <c r="G363" s="1" t="str">
        <f>tbl_model[[#This Row],[ProductID]] &amp; "-" &amp; tbl_model[[#This Row],[LocationID]]</f>
        <v>442-6</v>
      </c>
    </row>
    <row r="364" spans="1:7">
      <c r="A364">
        <v>442</v>
      </c>
      <c r="B364">
        <v>50</v>
      </c>
      <c r="C364" t="str">
        <f>_xlfn.XLOOKUP(tbl_model[[#This Row],[ProductID]],tbl_product[ProductID],tbl_product[ProductName],"UNMAPPED_PRODUCT")</f>
        <v>Lock Nut 7</v>
      </c>
      <c r="D364" t="str">
        <f>_xlfn.XLOOKUP(tbl_model[[#This Row],[ProductID]],tbl_product[ProductID],tbl_product[ProductNumber],"UNMAPPED_PRODUCT")</f>
        <v>LN-1224</v>
      </c>
      <c r="E364" t="str">
        <f>_xlfn.XLOOKUP(tbl_model[[#This Row],[LocationID]],tbl_location[LocationID],tbl_location[LocationName],"UNMAPPED_LOCATION")</f>
        <v>Subassembly</v>
      </c>
      <c r="F364">
        <v>507</v>
      </c>
      <c r="G364" s="1" t="str">
        <f>tbl_model[[#This Row],[ProductID]] &amp; "-" &amp; tbl_model[[#This Row],[LocationID]]</f>
        <v>442-50</v>
      </c>
    </row>
    <row r="365" spans="1:7">
      <c r="A365">
        <v>443</v>
      </c>
      <c r="B365">
        <v>1</v>
      </c>
      <c r="C365" t="str">
        <f>_xlfn.XLOOKUP(tbl_model[[#This Row],[ProductID]],tbl_product[ProductID],tbl_product[ProductName],"UNMAPPED_PRODUCT")</f>
        <v>Lock Nut 8</v>
      </c>
      <c r="D365" t="str">
        <f>_xlfn.XLOOKUP(tbl_model[[#This Row],[ProductID]],tbl_product[ProductID],tbl_product[ProductNumber],"UNMAPPED_PRODUCT")</f>
        <v>LN-1420</v>
      </c>
      <c r="E365" t="str">
        <f>_xlfn.XLOOKUP(tbl_model[[#This Row],[LocationID]],tbl_location[LocationID],tbl_location[LocationName],"UNMAPPED_LOCATION")</f>
        <v>Tool Crib</v>
      </c>
      <c r="F365">
        <v>625</v>
      </c>
      <c r="G365" s="1" t="str">
        <f>tbl_model[[#This Row],[ProductID]] &amp; "-" &amp; tbl_model[[#This Row],[LocationID]]</f>
        <v>443-1</v>
      </c>
    </row>
    <row r="366" spans="1:7">
      <c r="A366">
        <v>443</v>
      </c>
      <c r="B366">
        <v>6</v>
      </c>
      <c r="C366" t="str">
        <f>_xlfn.XLOOKUP(tbl_model[[#This Row],[ProductID]],tbl_product[ProductID],tbl_product[ProductName],"UNMAPPED_PRODUCT")</f>
        <v>Lock Nut 8</v>
      </c>
      <c r="D366" t="str">
        <f>_xlfn.XLOOKUP(tbl_model[[#This Row],[ProductID]],tbl_product[ProductID],tbl_product[ProductNumber],"UNMAPPED_PRODUCT")</f>
        <v>LN-1420</v>
      </c>
      <c r="E366" t="str">
        <f>_xlfn.XLOOKUP(tbl_model[[#This Row],[LocationID]],tbl_location[LocationID],tbl_location[LocationName],"UNMAPPED_LOCATION")</f>
        <v>Miscellaneous Storage</v>
      </c>
      <c r="F366">
        <v>520</v>
      </c>
      <c r="G366" s="1" t="str">
        <f>tbl_model[[#This Row],[ProductID]] &amp; "-" &amp; tbl_model[[#This Row],[LocationID]]</f>
        <v>443-6</v>
      </c>
    </row>
    <row r="367" spans="1:7">
      <c r="A367">
        <v>443</v>
      </c>
      <c r="B367">
        <v>50</v>
      </c>
      <c r="C367" t="str">
        <f>_xlfn.XLOOKUP(tbl_model[[#This Row],[ProductID]],tbl_product[ProductID],tbl_product[ProductName],"UNMAPPED_PRODUCT")</f>
        <v>Lock Nut 8</v>
      </c>
      <c r="D367" t="str">
        <f>_xlfn.XLOOKUP(tbl_model[[#This Row],[ProductID]],tbl_product[ProductID],tbl_product[ProductNumber],"UNMAPPED_PRODUCT")</f>
        <v>LN-1420</v>
      </c>
      <c r="E367" t="str">
        <f>_xlfn.XLOOKUP(tbl_model[[#This Row],[LocationID]],tbl_location[LocationID],tbl_location[LocationName],"UNMAPPED_LOCATION")</f>
        <v>Subassembly</v>
      </c>
      <c r="F367">
        <v>502</v>
      </c>
      <c r="G367" s="1" t="str">
        <f>tbl_model[[#This Row],[ProductID]] &amp; "-" &amp; tbl_model[[#This Row],[LocationID]]</f>
        <v>443-50</v>
      </c>
    </row>
    <row r="368" spans="1:7">
      <c r="A368">
        <v>444</v>
      </c>
      <c r="B368">
        <v>1</v>
      </c>
      <c r="C368" t="str">
        <f>_xlfn.XLOOKUP(tbl_model[[#This Row],[ProductID]],tbl_product[ProductID],tbl_product[ProductName],"UNMAPPED_PRODUCT")</f>
        <v>Lock Nut 9</v>
      </c>
      <c r="D368" t="str">
        <f>_xlfn.XLOOKUP(tbl_model[[#This Row],[ProductID]],tbl_product[ProductID],tbl_product[ProductNumber],"UNMAPPED_PRODUCT")</f>
        <v>LN-1428</v>
      </c>
      <c r="E368" t="str">
        <f>_xlfn.XLOOKUP(tbl_model[[#This Row],[LocationID]],tbl_location[LocationID],tbl_location[LocationName],"UNMAPPED_LOCATION")</f>
        <v>Tool Crib</v>
      </c>
      <c r="F368">
        <v>620</v>
      </c>
      <c r="G368" s="1" t="str">
        <f>tbl_model[[#This Row],[ProductID]] &amp; "-" &amp; tbl_model[[#This Row],[LocationID]]</f>
        <v>444-1</v>
      </c>
    </row>
    <row r="369" spans="1:7">
      <c r="A369">
        <v>444</v>
      </c>
      <c r="B369">
        <v>6</v>
      </c>
      <c r="C369" t="str">
        <f>_xlfn.XLOOKUP(tbl_model[[#This Row],[ProductID]],tbl_product[ProductID],tbl_product[ProductName],"UNMAPPED_PRODUCT")</f>
        <v>Lock Nut 9</v>
      </c>
      <c r="D369" t="str">
        <f>_xlfn.XLOOKUP(tbl_model[[#This Row],[ProductID]],tbl_product[ProductID],tbl_product[ProductNumber],"UNMAPPED_PRODUCT")</f>
        <v>LN-1428</v>
      </c>
      <c r="E369" t="str">
        <f>_xlfn.XLOOKUP(tbl_model[[#This Row],[LocationID]],tbl_location[LocationID],tbl_location[LocationName],"UNMAPPED_LOCATION")</f>
        <v>Miscellaneous Storage</v>
      </c>
      <c r="F369">
        <v>515</v>
      </c>
      <c r="G369" s="1" t="str">
        <f>tbl_model[[#This Row],[ProductID]] &amp; "-" &amp; tbl_model[[#This Row],[LocationID]]</f>
        <v>444-6</v>
      </c>
    </row>
    <row r="370" spans="1:7">
      <c r="A370">
        <v>444</v>
      </c>
      <c r="B370">
        <v>50</v>
      </c>
      <c r="C370" t="str">
        <f>_xlfn.XLOOKUP(tbl_model[[#This Row],[ProductID]],tbl_product[ProductID],tbl_product[ProductName],"UNMAPPED_PRODUCT")</f>
        <v>Lock Nut 9</v>
      </c>
      <c r="D370" t="str">
        <f>_xlfn.XLOOKUP(tbl_model[[#This Row],[ProductID]],tbl_product[ProductID],tbl_product[ProductNumber],"UNMAPPED_PRODUCT")</f>
        <v>LN-1428</v>
      </c>
      <c r="E370" t="str">
        <f>_xlfn.XLOOKUP(tbl_model[[#This Row],[LocationID]],tbl_location[LocationID],tbl_location[LocationName],"UNMAPPED_LOCATION")</f>
        <v>Subassembly</v>
      </c>
      <c r="F370">
        <v>497</v>
      </c>
      <c r="G370" s="1" t="str">
        <f>tbl_model[[#This Row],[ProductID]] &amp; "-" &amp; tbl_model[[#This Row],[LocationID]]</f>
        <v>444-50</v>
      </c>
    </row>
    <row r="371" spans="1:7">
      <c r="A371">
        <v>445</v>
      </c>
      <c r="B371">
        <v>1</v>
      </c>
      <c r="C371" t="str">
        <f>_xlfn.XLOOKUP(tbl_model[[#This Row],[ProductID]],tbl_product[ProductID],tbl_product[ProductName],"UNMAPPED_PRODUCT")</f>
        <v>Lock Nut 22</v>
      </c>
      <c r="D371" t="str">
        <f>_xlfn.XLOOKUP(tbl_model[[#This Row],[ProductID]],tbl_product[ProductID],tbl_product[ProductNumber],"UNMAPPED_PRODUCT")</f>
        <v>LN-3410</v>
      </c>
      <c r="E371" t="str">
        <f>_xlfn.XLOOKUP(tbl_model[[#This Row],[LocationID]],tbl_location[LocationID],tbl_location[LocationName],"UNMAPPED_LOCATION")</f>
        <v>Tool Crib</v>
      </c>
      <c r="F371">
        <v>616</v>
      </c>
      <c r="G371" s="1" t="str">
        <f>tbl_model[[#This Row],[ProductID]] &amp; "-" &amp; tbl_model[[#This Row],[LocationID]]</f>
        <v>445-1</v>
      </c>
    </row>
    <row r="372" spans="1:7">
      <c r="A372">
        <v>445</v>
      </c>
      <c r="B372">
        <v>6</v>
      </c>
      <c r="C372" t="str">
        <f>_xlfn.XLOOKUP(tbl_model[[#This Row],[ProductID]],tbl_product[ProductID],tbl_product[ProductName],"UNMAPPED_PRODUCT")</f>
        <v>Lock Nut 22</v>
      </c>
      <c r="D372" t="str">
        <f>_xlfn.XLOOKUP(tbl_model[[#This Row],[ProductID]],tbl_product[ProductID],tbl_product[ProductNumber],"UNMAPPED_PRODUCT")</f>
        <v>LN-3410</v>
      </c>
      <c r="E372" t="str">
        <f>_xlfn.XLOOKUP(tbl_model[[#This Row],[LocationID]],tbl_location[LocationID],tbl_location[LocationName],"UNMAPPED_LOCATION")</f>
        <v>Miscellaneous Storage</v>
      </c>
      <c r="F372">
        <v>510</v>
      </c>
      <c r="G372" s="1" t="str">
        <f>tbl_model[[#This Row],[ProductID]] &amp; "-" &amp; tbl_model[[#This Row],[LocationID]]</f>
        <v>445-6</v>
      </c>
    </row>
    <row r="373" spans="1:7">
      <c r="A373">
        <v>445</v>
      </c>
      <c r="B373">
        <v>50</v>
      </c>
      <c r="C373" t="str">
        <f>_xlfn.XLOOKUP(tbl_model[[#This Row],[ProductID]],tbl_product[ProductID],tbl_product[ProductName],"UNMAPPED_PRODUCT")</f>
        <v>Lock Nut 22</v>
      </c>
      <c r="D373" t="str">
        <f>_xlfn.XLOOKUP(tbl_model[[#This Row],[ProductID]],tbl_product[ProductID],tbl_product[ProductNumber],"UNMAPPED_PRODUCT")</f>
        <v>LN-3410</v>
      </c>
      <c r="E373" t="str">
        <f>_xlfn.XLOOKUP(tbl_model[[#This Row],[LocationID]],tbl_location[LocationID],tbl_location[LocationName],"UNMAPPED_LOCATION")</f>
        <v>Subassembly</v>
      </c>
      <c r="F373">
        <v>492</v>
      </c>
      <c r="G373" s="1" t="str">
        <f>tbl_model[[#This Row],[ProductID]] &amp; "-" &amp; tbl_model[[#This Row],[LocationID]]</f>
        <v>445-50</v>
      </c>
    </row>
    <row r="374" spans="1:7">
      <c r="A374">
        <v>446</v>
      </c>
      <c r="B374">
        <v>1</v>
      </c>
      <c r="C374" t="str">
        <f>_xlfn.XLOOKUP(tbl_model[[#This Row],[ProductID]],tbl_product[ProductID],tbl_product[ProductName],"UNMAPPED_PRODUCT")</f>
        <v>Lock Nut 23</v>
      </c>
      <c r="D374" t="str">
        <f>_xlfn.XLOOKUP(tbl_model[[#This Row],[ProductID]],tbl_product[ProductID],tbl_product[ProductNumber],"UNMAPPED_PRODUCT")</f>
        <v>LN-3416</v>
      </c>
      <c r="E374" t="str">
        <f>_xlfn.XLOOKUP(tbl_model[[#This Row],[LocationID]],tbl_location[LocationID],tbl_location[LocationName],"UNMAPPED_LOCATION")</f>
        <v>Tool Crib</v>
      </c>
      <c r="F374">
        <v>611</v>
      </c>
      <c r="G374" s="1" t="str">
        <f>tbl_model[[#This Row],[ProductID]] &amp; "-" &amp; tbl_model[[#This Row],[LocationID]]</f>
        <v>446-1</v>
      </c>
    </row>
    <row r="375" spans="1:7">
      <c r="A375">
        <v>446</v>
      </c>
      <c r="B375">
        <v>6</v>
      </c>
      <c r="C375" t="str">
        <f>_xlfn.XLOOKUP(tbl_model[[#This Row],[ProductID]],tbl_product[ProductID],tbl_product[ProductName],"UNMAPPED_PRODUCT")</f>
        <v>Lock Nut 23</v>
      </c>
      <c r="D375" t="str">
        <f>_xlfn.XLOOKUP(tbl_model[[#This Row],[ProductID]],tbl_product[ProductID],tbl_product[ProductNumber],"UNMAPPED_PRODUCT")</f>
        <v>LN-3416</v>
      </c>
      <c r="E375" t="str">
        <f>_xlfn.XLOOKUP(tbl_model[[#This Row],[LocationID]],tbl_location[LocationID],tbl_location[LocationName],"UNMAPPED_LOCATION")</f>
        <v>Miscellaneous Storage</v>
      </c>
      <c r="F375">
        <v>505</v>
      </c>
      <c r="G375" s="1" t="str">
        <f>tbl_model[[#This Row],[ProductID]] &amp; "-" &amp; tbl_model[[#This Row],[LocationID]]</f>
        <v>446-6</v>
      </c>
    </row>
    <row r="376" spans="1:7">
      <c r="A376">
        <v>446</v>
      </c>
      <c r="B376">
        <v>50</v>
      </c>
      <c r="C376" t="str">
        <f>_xlfn.XLOOKUP(tbl_model[[#This Row],[ProductID]],tbl_product[ProductID],tbl_product[ProductName],"UNMAPPED_PRODUCT")</f>
        <v>Lock Nut 23</v>
      </c>
      <c r="D376" t="str">
        <f>_xlfn.XLOOKUP(tbl_model[[#This Row],[ProductID]],tbl_product[ProductID],tbl_product[ProductNumber],"UNMAPPED_PRODUCT")</f>
        <v>LN-3416</v>
      </c>
      <c r="E376" t="str">
        <f>_xlfn.XLOOKUP(tbl_model[[#This Row],[LocationID]],tbl_location[LocationID],tbl_location[LocationName],"UNMAPPED_LOCATION")</f>
        <v>Subassembly</v>
      </c>
      <c r="F376">
        <v>488</v>
      </c>
      <c r="G376" s="1" t="str">
        <f>tbl_model[[#This Row],[ProductID]] &amp; "-" &amp; tbl_model[[#This Row],[LocationID]]</f>
        <v>446-50</v>
      </c>
    </row>
    <row r="377" spans="1:7">
      <c r="A377">
        <v>447</v>
      </c>
      <c r="B377">
        <v>1</v>
      </c>
      <c r="C377" t="str">
        <f>_xlfn.XLOOKUP(tbl_model[[#This Row],[ProductID]],tbl_product[ProductID],tbl_product[ProductName],"UNMAPPED_PRODUCT")</f>
        <v>Lock Nut 12</v>
      </c>
      <c r="D377" t="str">
        <f>_xlfn.XLOOKUP(tbl_model[[#This Row],[ProductID]],tbl_product[ProductID],tbl_product[ProductNumber],"UNMAPPED_PRODUCT")</f>
        <v>LN-3816</v>
      </c>
      <c r="E377" t="str">
        <f>_xlfn.XLOOKUP(tbl_model[[#This Row],[LocationID]],tbl_location[LocationID],tbl_location[LocationName],"UNMAPPED_LOCATION")</f>
        <v>Tool Crib</v>
      </c>
      <c r="F377">
        <v>606</v>
      </c>
      <c r="G377" s="1" t="str">
        <f>tbl_model[[#This Row],[ProductID]] &amp; "-" &amp; tbl_model[[#This Row],[LocationID]]</f>
        <v>447-1</v>
      </c>
    </row>
    <row r="378" spans="1:7">
      <c r="A378">
        <v>447</v>
      </c>
      <c r="B378">
        <v>6</v>
      </c>
      <c r="C378" t="str">
        <f>_xlfn.XLOOKUP(tbl_model[[#This Row],[ProductID]],tbl_product[ProductID],tbl_product[ProductName],"UNMAPPED_PRODUCT")</f>
        <v>Lock Nut 12</v>
      </c>
      <c r="D378" t="str">
        <f>_xlfn.XLOOKUP(tbl_model[[#This Row],[ProductID]],tbl_product[ProductID],tbl_product[ProductNumber],"UNMAPPED_PRODUCT")</f>
        <v>LN-3816</v>
      </c>
      <c r="E378" t="str">
        <f>_xlfn.XLOOKUP(tbl_model[[#This Row],[LocationID]],tbl_location[LocationID],tbl_location[LocationName],"UNMAPPED_LOCATION")</f>
        <v>Miscellaneous Storage</v>
      </c>
      <c r="F378">
        <v>500</v>
      </c>
      <c r="G378" s="1" t="str">
        <f>tbl_model[[#This Row],[ProductID]] &amp; "-" &amp; tbl_model[[#This Row],[LocationID]]</f>
        <v>447-6</v>
      </c>
    </row>
    <row r="379" spans="1:7">
      <c r="A379">
        <v>447</v>
      </c>
      <c r="B379">
        <v>50</v>
      </c>
      <c r="C379" t="str">
        <f>_xlfn.XLOOKUP(tbl_model[[#This Row],[ProductID]],tbl_product[ProductID],tbl_product[ProductName],"UNMAPPED_PRODUCT")</f>
        <v>Lock Nut 12</v>
      </c>
      <c r="D379" t="str">
        <f>_xlfn.XLOOKUP(tbl_model[[#This Row],[ProductID]],tbl_product[ProductID],tbl_product[ProductNumber],"UNMAPPED_PRODUCT")</f>
        <v>LN-3816</v>
      </c>
      <c r="E379" t="str">
        <f>_xlfn.XLOOKUP(tbl_model[[#This Row],[LocationID]],tbl_location[LocationID],tbl_location[LocationName],"UNMAPPED_LOCATION")</f>
        <v>Subassembly</v>
      </c>
      <c r="F379">
        <v>483</v>
      </c>
      <c r="G379" s="1" t="str">
        <f>tbl_model[[#This Row],[ProductID]] &amp; "-" &amp; tbl_model[[#This Row],[LocationID]]</f>
        <v>447-50</v>
      </c>
    </row>
    <row r="380" spans="1:7">
      <c r="A380">
        <v>448</v>
      </c>
      <c r="B380">
        <v>1</v>
      </c>
      <c r="C380" t="str">
        <f>_xlfn.XLOOKUP(tbl_model[[#This Row],[ProductID]],tbl_product[ProductID],tbl_product[ProductName],"UNMAPPED_PRODUCT")</f>
        <v>Lock Nut 13</v>
      </c>
      <c r="D380" t="str">
        <f>_xlfn.XLOOKUP(tbl_model[[#This Row],[ProductID]],tbl_product[ProductID],tbl_product[ProductNumber],"UNMAPPED_PRODUCT")</f>
        <v>LN-3824</v>
      </c>
      <c r="E380" t="str">
        <f>_xlfn.XLOOKUP(tbl_model[[#This Row],[LocationID]],tbl_location[LocationID],tbl_location[LocationName],"UNMAPPED_LOCATION")</f>
        <v>Tool Crib</v>
      </c>
      <c r="F380">
        <v>601</v>
      </c>
      <c r="G380" s="1" t="str">
        <f>tbl_model[[#This Row],[ProductID]] &amp; "-" &amp; tbl_model[[#This Row],[LocationID]]</f>
        <v>448-1</v>
      </c>
    </row>
    <row r="381" spans="1:7">
      <c r="A381">
        <v>448</v>
      </c>
      <c r="B381">
        <v>6</v>
      </c>
      <c r="C381" t="str">
        <f>_xlfn.XLOOKUP(tbl_model[[#This Row],[ProductID]],tbl_product[ProductID],tbl_product[ProductName],"UNMAPPED_PRODUCT")</f>
        <v>Lock Nut 13</v>
      </c>
      <c r="D381" t="str">
        <f>_xlfn.XLOOKUP(tbl_model[[#This Row],[ProductID]],tbl_product[ProductID],tbl_product[ProductNumber],"UNMAPPED_PRODUCT")</f>
        <v>LN-3824</v>
      </c>
      <c r="E381" t="str">
        <f>_xlfn.XLOOKUP(tbl_model[[#This Row],[LocationID]],tbl_location[LocationID],tbl_location[LocationName],"UNMAPPED_LOCATION")</f>
        <v>Miscellaneous Storage</v>
      </c>
      <c r="F381">
        <v>496</v>
      </c>
      <c r="G381" s="1" t="str">
        <f>tbl_model[[#This Row],[ProductID]] &amp; "-" &amp; tbl_model[[#This Row],[LocationID]]</f>
        <v>448-6</v>
      </c>
    </row>
    <row r="382" spans="1:7">
      <c r="A382">
        <v>448</v>
      </c>
      <c r="B382">
        <v>50</v>
      </c>
      <c r="C382" t="str">
        <f>_xlfn.XLOOKUP(tbl_model[[#This Row],[ProductID]],tbl_product[ProductID],tbl_product[ProductName],"UNMAPPED_PRODUCT")</f>
        <v>Lock Nut 13</v>
      </c>
      <c r="D382" t="str">
        <f>_xlfn.XLOOKUP(tbl_model[[#This Row],[ProductID]],tbl_product[ProductID],tbl_product[ProductNumber],"UNMAPPED_PRODUCT")</f>
        <v>LN-3824</v>
      </c>
      <c r="E382" t="str">
        <f>_xlfn.XLOOKUP(tbl_model[[#This Row],[LocationID]],tbl_location[LocationID],tbl_location[LocationName],"UNMAPPED_LOCATION")</f>
        <v>Subassembly</v>
      </c>
      <c r="F382">
        <v>478</v>
      </c>
      <c r="G382" s="1" t="str">
        <f>tbl_model[[#This Row],[ProductID]] &amp; "-" &amp; tbl_model[[#This Row],[LocationID]]</f>
        <v>448-50</v>
      </c>
    </row>
    <row r="383" spans="1:7">
      <c r="A383">
        <v>449</v>
      </c>
      <c r="B383">
        <v>1</v>
      </c>
      <c r="C383" t="str">
        <f>_xlfn.XLOOKUP(tbl_model[[#This Row],[ProductID]],tbl_product[ProductID],tbl_product[ProductName],"UNMAPPED_PRODUCT")</f>
        <v>Lock Nut 1</v>
      </c>
      <c r="D383" t="str">
        <f>_xlfn.XLOOKUP(tbl_model[[#This Row],[ProductID]],tbl_product[ProductID],tbl_product[ProductNumber],"UNMAPPED_PRODUCT")</f>
        <v>LN-4400</v>
      </c>
      <c r="E383" t="str">
        <f>_xlfn.XLOOKUP(tbl_model[[#This Row],[LocationID]],tbl_location[LocationID],tbl_location[LocationName],"UNMAPPED_LOCATION")</f>
        <v>Tool Crib</v>
      </c>
      <c r="F383">
        <v>596</v>
      </c>
      <c r="G383" s="1" t="str">
        <f>tbl_model[[#This Row],[ProductID]] &amp; "-" &amp; tbl_model[[#This Row],[LocationID]]</f>
        <v>449-1</v>
      </c>
    </row>
    <row r="384" spans="1:7">
      <c r="A384">
        <v>449</v>
      </c>
      <c r="B384">
        <v>6</v>
      </c>
      <c r="C384" t="str">
        <f>_xlfn.XLOOKUP(tbl_model[[#This Row],[ProductID]],tbl_product[ProductID],tbl_product[ProductName],"UNMAPPED_PRODUCT")</f>
        <v>Lock Nut 1</v>
      </c>
      <c r="D384" t="str">
        <f>_xlfn.XLOOKUP(tbl_model[[#This Row],[ProductID]],tbl_product[ProductID],tbl_product[ProductNumber],"UNMAPPED_PRODUCT")</f>
        <v>LN-4400</v>
      </c>
      <c r="E384" t="str">
        <f>_xlfn.XLOOKUP(tbl_model[[#This Row],[LocationID]],tbl_location[LocationID],tbl_location[LocationName],"UNMAPPED_LOCATION")</f>
        <v>Miscellaneous Storage</v>
      </c>
      <c r="F384">
        <v>491</v>
      </c>
      <c r="G384" s="1" t="str">
        <f>tbl_model[[#This Row],[ProductID]] &amp; "-" &amp; tbl_model[[#This Row],[LocationID]]</f>
        <v>449-6</v>
      </c>
    </row>
    <row r="385" spans="1:7">
      <c r="A385">
        <v>449</v>
      </c>
      <c r="B385">
        <v>50</v>
      </c>
      <c r="C385" t="str">
        <f>_xlfn.XLOOKUP(tbl_model[[#This Row],[ProductID]],tbl_product[ProductID],tbl_product[ProductName],"UNMAPPED_PRODUCT")</f>
        <v>Lock Nut 1</v>
      </c>
      <c r="D385" t="str">
        <f>_xlfn.XLOOKUP(tbl_model[[#This Row],[ProductID]],tbl_product[ProductID],tbl_product[ProductNumber],"UNMAPPED_PRODUCT")</f>
        <v>LN-4400</v>
      </c>
      <c r="E385" t="str">
        <f>_xlfn.XLOOKUP(tbl_model[[#This Row],[LocationID]],tbl_location[LocationID],tbl_location[LocationName],"UNMAPPED_LOCATION")</f>
        <v>Subassembly</v>
      </c>
      <c r="F385">
        <v>473</v>
      </c>
      <c r="G385" s="1" t="str">
        <f>tbl_model[[#This Row],[ProductID]] &amp; "-" &amp; tbl_model[[#This Row],[LocationID]]</f>
        <v>449-50</v>
      </c>
    </row>
    <row r="386" spans="1:7">
      <c r="A386">
        <v>450</v>
      </c>
      <c r="B386">
        <v>1</v>
      </c>
      <c r="C386" t="str">
        <f>_xlfn.XLOOKUP(tbl_model[[#This Row],[ProductID]],tbl_product[ProductID],tbl_product[ProductName],"UNMAPPED_PRODUCT")</f>
        <v>Lock Nut 10</v>
      </c>
      <c r="D386" t="str">
        <f>_xlfn.XLOOKUP(tbl_model[[#This Row],[ProductID]],tbl_product[ProductID],tbl_product[ProductNumber],"UNMAPPED_PRODUCT")</f>
        <v>LN-5161</v>
      </c>
      <c r="E386" t="str">
        <f>_xlfn.XLOOKUP(tbl_model[[#This Row],[LocationID]],tbl_location[LocationID],tbl_location[LocationName],"UNMAPPED_LOCATION")</f>
        <v>Tool Crib</v>
      </c>
      <c r="F386">
        <v>592</v>
      </c>
      <c r="G386" s="1" t="str">
        <f>tbl_model[[#This Row],[ProductID]] &amp; "-" &amp; tbl_model[[#This Row],[LocationID]]</f>
        <v>450-1</v>
      </c>
    </row>
    <row r="387" spans="1:7">
      <c r="A387">
        <v>450</v>
      </c>
      <c r="B387">
        <v>6</v>
      </c>
      <c r="C387" t="str">
        <f>_xlfn.XLOOKUP(tbl_model[[#This Row],[ProductID]],tbl_product[ProductID],tbl_product[ProductName],"UNMAPPED_PRODUCT")</f>
        <v>Lock Nut 10</v>
      </c>
      <c r="D387" t="str">
        <f>_xlfn.XLOOKUP(tbl_model[[#This Row],[ProductID]],tbl_product[ProductID],tbl_product[ProductNumber],"UNMAPPED_PRODUCT")</f>
        <v>LN-5161</v>
      </c>
      <c r="E387" t="str">
        <f>_xlfn.XLOOKUP(tbl_model[[#This Row],[LocationID]],tbl_location[LocationID],tbl_location[LocationName],"UNMAPPED_LOCATION")</f>
        <v>Miscellaneous Storage</v>
      </c>
      <c r="F387">
        <v>486</v>
      </c>
      <c r="G387" s="1" t="str">
        <f>tbl_model[[#This Row],[ProductID]] &amp; "-" &amp; tbl_model[[#This Row],[LocationID]]</f>
        <v>450-6</v>
      </c>
    </row>
    <row r="388" spans="1:7">
      <c r="A388">
        <v>450</v>
      </c>
      <c r="B388">
        <v>50</v>
      </c>
      <c r="C388" t="str">
        <f>_xlfn.XLOOKUP(tbl_model[[#This Row],[ProductID]],tbl_product[ProductID],tbl_product[ProductName],"UNMAPPED_PRODUCT")</f>
        <v>Lock Nut 10</v>
      </c>
      <c r="D388" t="str">
        <f>_xlfn.XLOOKUP(tbl_model[[#This Row],[ProductID]],tbl_product[ProductID],tbl_product[ProductNumber],"UNMAPPED_PRODUCT")</f>
        <v>LN-5161</v>
      </c>
      <c r="E388" t="str">
        <f>_xlfn.XLOOKUP(tbl_model[[#This Row],[LocationID]],tbl_location[LocationID],tbl_location[LocationName],"UNMAPPED_LOCATION")</f>
        <v>Subassembly</v>
      </c>
      <c r="F388">
        <v>468</v>
      </c>
      <c r="G388" s="1" t="str">
        <f>tbl_model[[#This Row],[ProductID]] &amp; "-" &amp; tbl_model[[#This Row],[LocationID]]</f>
        <v>450-50</v>
      </c>
    </row>
    <row r="389" spans="1:7">
      <c r="A389">
        <v>451</v>
      </c>
      <c r="B389">
        <v>1</v>
      </c>
      <c r="C389" t="str">
        <f>_xlfn.XLOOKUP(tbl_model[[#This Row],[ProductID]],tbl_product[ProductID],tbl_product[ProductName],"UNMAPPED_PRODUCT")</f>
        <v>Lock Nut 11</v>
      </c>
      <c r="D389" t="str">
        <f>_xlfn.XLOOKUP(tbl_model[[#This Row],[ProductID]],tbl_product[ProductID],tbl_product[ProductNumber],"UNMAPPED_PRODUCT")</f>
        <v>LN-5162</v>
      </c>
      <c r="E389" t="str">
        <f>_xlfn.XLOOKUP(tbl_model[[#This Row],[LocationID]],tbl_location[LocationID],tbl_location[LocationName],"UNMAPPED_LOCATION")</f>
        <v>Tool Crib</v>
      </c>
      <c r="F389">
        <v>595</v>
      </c>
      <c r="G389" s="1" t="str">
        <f>tbl_model[[#This Row],[ProductID]] &amp; "-" &amp; tbl_model[[#This Row],[LocationID]]</f>
        <v>451-1</v>
      </c>
    </row>
    <row r="390" spans="1:7">
      <c r="A390">
        <v>451</v>
      </c>
      <c r="B390">
        <v>6</v>
      </c>
      <c r="C390" t="str">
        <f>_xlfn.XLOOKUP(tbl_model[[#This Row],[ProductID]],tbl_product[ProductID],tbl_product[ProductName],"UNMAPPED_PRODUCT")</f>
        <v>Lock Nut 11</v>
      </c>
      <c r="D390" t="str">
        <f>_xlfn.XLOOKUP(tbl_model[[#This Row],[ProductID]],tbl_product[ProductID],tbl_product[ProductNumber],"UNMAPPED_PRODUCT")</f>
        <v>LN-5162</v>
      </c>
      <c r="E390" t="str">
        <f>_xlfn.XLOOKUP(tbl_model[[#This Row],[LocationID]],tbl_location[LocationID],tbl_location[LocationName],"UNMAPPED_LOCATION")</f>
        <v>Miscellaneous Storage</v>
      </c>
      <c r="F390">
        <v>489</v>
      </c>
      <c r="G390" s="1" t="str">
        <f>tbl_model[[#This Row],[ProductID]] &amp; "-" &amp; tbl_model[[#This Row],[LocationID]]</f>
        <v>451-6</v>
      </c>
    </row>
    <row r="391" spans="1:7">
      <c r="A391">
        <v>451</v>
      </c>
      <c r="B391">
        <v>50</v>
      </c>
      <c r="C391" t="str">
        <f>_xlfn.XLOOKUP(tbl_model[[#This Row],[ProductID]],tbl_product[ProductID],tbl_product[ProductName],"UNMAPPED_PRODUCT")</f>
        <v>Lock Nut 11</v>
      </c>
      <c r="D391" t="str">
        <f>_xlfn.XLOOKUP(tbl_model[[#This Row],[ProductID]],tbl_product[ProductID],tbl_product[ProductNumber],"UNMAPPED_PRODUCT")</f>
        <v>LN-5162</v>
      </c>
      <c r="E391" t="str">
        <f>_xlfn.XLOOKUP(tbl_model[[#This Row],[LocationID]],tbl_location[LocationID],tbl_location[LocationName],"UNMAPPED_LOCATION")</f>
        <v>Subassembly</v>
      </c>
      <c r="F391">
        <v>472</v>
      </c>
      <c r="G391" s="1" t="str">
        <f>tbl_model[[#This Row],[ProductID]] &amp; "-" &amp; tbl_model[[#This Row],[LocationID]]</f>
        <v>451-50</v>
      </c>
    </row>
    <row r="392" spans="1:7">
      <c r="A392">
        <v>452</v>
      </c>
      <c r="B392">
        <v>1</v>
      </c>
      <c r="C392" t="str">
        <f>_xlfn.XLOOKUP(tbl_model[[#This Row],[ProductID]],tbl_product[ProductID],tbl_product[ProductName],"UNMAPPED_PRODUCT")</f>
        <v>Lock Nut 2</v>
      </c>
      <c r="D392" t="str">
        <f>_xlfn.XLOOKUP(tbl_model[[#This Row],[ProductID]],tbl_product[ProductID],tbl_product[ProductNumber],"UNMAPPED_PRODUCT")</f>
        <v>LN-5400</v>
      </c>
      <c r="E392" t="str">
        <f>_xlfn.XLOOKUP(tbl_model[[#This Row],[LocationID]],tbl_location[LocationID],tbl_location[LocationName],"UNMAPPED_LOCATION")</f>
        <v>Tool Crib</v>
      </c>
      <c r="F392">
        <v>598</v>
      </c>
      <c r="G392" s="1" t="str">
        <f>tbl_model[[#This Row],[ProductID]] &amp; "-" &amp; tbl_model[[#This Row],[LocationID]]</f>
        <v>452-1</v>
      </c>
    </row>
    <row r="393" spans="1:7">
      <c r="A393">
        <v>452</v>
      </c>
      <c r="B393">
        <v>6</v>
      </c>
      <c r="C393" t="str">
        <f>_xlfn.XLOOKUP(tbl_model[[#This Row],[ProductID]],tbl_product[ProductID],tbl_product[ProductName],"UNMAPPED_PRODUCT")</f>
        <v>Lock Nut 2</v>
      </c>
      <c r="D393" t="str">
        <f>_xlfn.XLOOKUP(tbl_model[[#This Row],[ProductID]],tbl_product[ProductID],tbl_product[ProductNumber],"UNMAPPED_PRODUCT")</f>
        <v>LN-5400</v>
      </c>
      <c r="E393" t="str">
        <f>_xlfn.XLOOKUP(tbl_model[[#This Row],[LocationID]],tbl_location[LocationID],tbl_location[LocationName],"UNMAPPED_LOCATION")</f>
        <v>Miscellaneous Storage</v>
      </c>
      <c r="F393">
        <v>492</v>
      </c>
      <c r="G393" s="1" t="str">
        <f>tbl_model[[#This Row],[ProductID]] &amp; "-" &amp; tbl_model[[#This Row],[LocationID]]</f>
        <v>452-6</v>
      </c>
    </row>
    <row r="394" spans="1:7">
      <c r="A394">
        <v>452</v>
      </c>
      <c r="B394">
        <v>50</v>
      </c>
      <c r="C394" t="str">
        <f>_xlfn.XLOOKUP(tbl_model[[#This Row],[ProductID]],tbl_product[ProductID],tbl_product[ProductName],"UNMAPPED_PRODUCT")</f>
        <v>Lock Nut 2</v>
      </c>
      <c r="D394" t="str">
        <f>_xlfn.XLOOKUP(tbl_model[[#This Row],[ProductID]],tbl_product[ProductID],tbl_product[ProductNumber],"UNMAPPED_PRODUCT")</f>
        <v>LN-5400</v>
      </c>
      <c r="E394" t="str">
        <f>_xlfn.XLOOKUP(tbl_model[[#This Row],[LocationID]],tbl_location[LocationID],tbl_location[LocationName],"UNMAPPED_LOCATION")</f>
        <v>Subassembly</v>
      </c>
      <c r="F394">
        <v>475</v>
      </c>
      <c r="G394" s="1" t="str">
        <f>tbl_model[[#This Row],[ProductID]] &amp; "-" &amp; tbl_model[[#This Row],[LocationID]]</f>
        <v>452-50</v>
      </c>
    </row>
    <row r="395" spans="1:7">
      <c r="A395">
        <v>453</v>
      </c>
      <c r="B395">
        <v>1</v>
      </c>
      <c r="C395" t="str">
        <f>_xlfn.XLOOKUP(tbl_model[[#This Row],[ProductID]],tbl_product[ProductID],tbl_product[ProductName],"UNMAPPED_PRODUCT")</f>
        <v>Lock Nut 20</v>
      </c>
      <c r="D395" t="str">
        <f>_xlfn.XLOOKUP(tbl_model[[#This Row],[ProductID]],tbl_product[ProductID],tbl_product[ProductNumber],"UNMAPPED_PRODUCT")</f>
        <v>LN-5811</v>
      </c>
      <c r="E395" t="str">
        <f>_xlfn.XLOOKUP(tbl_model[[#This Row],[LocationID]],tbl_location[LocationID],tbl_location[LocationName],"UNMAPPED_LOCATION")</f>
        <v>Tool Crib</v>
      </c>
      <c r="F395">
        <v>601</v>
      </c>
      <c r="G395" s="1" t="str">
        <f>tbl_model[[#This Row],[ProductID]] &amp; "-" &amp; tbl_model[[#This Row],[LocationID]]</f>
        <v>453-1</v>
      </c>
    </row>
    <row r="396" spans="1:7">
      <c r="A396">
        <v>453</v>
      </c>
      <c r="B396">
        <v>6</v>
      </c>
      <c r="C396" t="str">
        <f>_xlfn.XLOOKUP(tbl_model[[#This Row],[ProductID]],tbl_product[ProductID],tbl_product[ProductName],"UNMAPPED_PRODUCT")</f>
        <v>Lock Nut 20</v>
      </c>
      <c r="D396" t="str">
        <f>_xlfn.XLOOKUP(tbl_model[[#This Row],[ProductID]],tbl_product[ProductID],tbl_product[ProductNumber],"UNMAPPED_PRODUCT")</f>
        <v>LN-5811</v>
      </c>
      <c r="E396" t="str">
        <f>_xlfn.XLOOKUP(tbl_model[[#This Row],[LocationID]],tbl_location[LocationID],tbl_location[LocationName],"UNMAPPED_LOCATION")</f>
        <v>Miscellaneous Storage</v>
      </c>
      <c r="F396">
        <v>496</v>
      </c>
      <c r="G396" s="1" t="str">
        <f>tbl_model[[#This Row],[ProductID]] &amp; "-" &amp; tbl_model[[#This Row],[LocationID]]</f>
        <v>453-6</v>
      </c>
    </row>
    <row r="397" spans="1:7">
      <c r="A397">
        <v>453</v>
      </c>
      <c r="B397">
        <v>50</v>
      </c>
      <c r="C397" t="str">
        <f>_xlfn.XLOOKUP(tbl_model[[#This Row],[ProductID]],tbl_product[ProductID],tbl_product[ProductName],"UNMAPPED_PRODUCT")</f>
        <v>Lock Nut 20</v>
      </c>
      <c r="D397" t="str">
        <f>_xlfn.XLOOKUP(tbl_model[[#This Row],[ProductID]],tbl_product[ProductID],tbl_product[ProductNumber],"UNMAPPED_PRODUCT")</f>
        <v>LN-5811</v>
      </c>
      <c r="E397" t="str">
        <f>_xlfn.XLOOKUP(tbl_model[[#This Row],[LocationID]],tbl_location[LocationID],tbl_location[LocationName],"UNMAPPED_LOCATION")</f>
        <v>Subassembly</v>
      </c>
      <c r="F397">
        <v>478</v>
      </c>
      <c r="G397" s="1" t="str">
        <f>tbl_model[[#This Row],[ProductID]] &amp; "-" &amp; tbl_model[[#This Row],[LocationID]]</f>
        <v>453-50</v>
      </c>
    </row>
    <row r="398" spans="1:7">
      <c r="A398">
        <v>454</v>
      </c>
      <c r="B398">
        <v>1</v>
      </c>
      <c r="C398" t="str">
        <f>_xlfn.XLOOKUP(tbl_model[[#This Row],[ProductID]],tbl_product[ProductID],tbl_product[ProductName],"UNMAPPED_PRODUCT")</f>
        <v>Lock Nut 21</v>
      </c>
      <c r="D398" t="str">
        <f>_xlfn.XLOOKUP(tbl_model[[#This Row],[ProductID]],tbl_product[ProductID],tbl_product[ProductNumber],"UNMAPPED_PRODUCT")</f>
        <v>LN-5818</v>
      </c>
      <c r="E398" t="str">
        <f>_xlfn.XLOOKUP(tbl_model[[#This Row],[LocationID]],tbl_location[LocationID],tbl_location[LocationName],"UNMAPPED_LOCATION")</f>
        <v>Tool Crib</v>
      </c>
      <c r="F398">
        <v>604</v>
      </c>
      <c r="G398" s="1" t="str">
        <f>tbl_model[[#This Row],[ProductID]] &amp; "-" &amp; tbl_model[[#This Row],[LocationID]]</f>
        <v>454-1</v>
      </c>
    </row>
    <row r="399" spans="1:7">
      <c r="A399">
        <v>454</v>
      </c>
      <c r="B399">
        <v>6</v>
      </c>
      <c r="C399" t="str">
        <f>_xlfn.XLOOKUP(tbl_model[[#This Row],[ProductID]],tbl_product[ProductID],tbl_product[ProductName],"UNMAPPED_PRODUCT")</f>
        <v>Lock Nut 21</v>
      </c>
      <c r="D399" t="str">
        <f>_xlfn.XLOOKUP(tbl_model[[#This Row],[ProductID]],tbl_product[ProductID],tbl_product[ProductNumber],"UNMAPPED_PRODUCT")</f>
        <v>LN-5818</v>
      </c>
      <c r="E399" t="str">
        <f>_xlfn.XLOOKUP(tbl_model[[#This Row],[LocationID]],tbl_location[LocationID],tbl_location[LocationName],"UNMAPPED_LOCATION")</f>
        <v>Miscellaneous Storage</v>
      </c>
      <c r="F399">
        <v>499</v>
      </c>
      <c r="G399" s="1" t="str">
        <f>tbl_model[[#This Row],[ProductID]] &amp; "-" &amp; tbl_model[[#This Row],[LocationID]]</f>
        <v>454-6</v>
      </c>
    </row>
    <row r="400" spans="1:7">
      <c r="A400">
        <v>454</v>
      </c>
      <c r="B400">
        <v>50</v>
      </c>
      <c r="C400" t="str">
        <f>_xlfn.XLOOKUP(tbl_model[[#This Row],[ProductID]],tbl_product[ProductID],tbl_product[ProductName],"UNMAPPED_PRODUCT")</f>
        <v>Lock Nut 21</v>
      </c>
      <c r="D400" t="str">
        <f>_xlfn.XLOOKUP(tbl_model[[#This Row],[ProductID]],tbl_product[ProductID],tbl_product[ProductNumber],"UNMAPPED_PRODUCT")</f>
        <v>LN-5818</v>
      </c>
      <c r="E400" t="str">
        <f>_xlfn.XLOOKUP(tbl_model[[#This Row],[LocationID]],tbl_location[LocationID],tbl_location[LocationName],"UNMAPPED_LOCATION")</f>
        <v>Subassembly</v>
      </c>
      <c r="F400">
        <v>481</v>
      </c>
      <c r="G400" s="1" t="str">
        <f>tbl_model[[#This Row],[ProductID]] &amp; "-" &amp; tbl_model[[#This Row],[LocationID]]</f>
        <v>454-50</v>
      </c>
    </row>
    <row r="401" spans="1:7">
      <c r="A401">
        <v>455</v>
      </c>
      <c r="B401">
        <v>1</v>
      </c>
      <c r="C401" t="str">
        <f>_xlfn.XLOOKUP(tbl_model[[#This Row],[ProductID]],tbl_product[ProductID],tbl_product[ProductName],"UNMAPPED_PRODUCT")</f>
        <v>Lock Nut 3</v>
      </c>
      <c r="D401" t="str">
        <f>_xlfn.XLOOKUP(tbl_model[[#This Row],[ProductID]],tbl_product[ProductID],tbl_product[ProductNumber],"UNMAPPED_PRODUCT")</f>
        <v>LN-6320</v>
      </c>
      <c r="E401" t="str">
        <f>_xlfn.XLOOKUP(tbl_model[[#This Row],[LocationID]],tbl_location[LocationID],tbl_location[LocationName],"UNMAPPED_LOCATION")</f>
        <v>Tool Crib</v>
      </c>
      <c r="F401">
        <v>608</v>
      </c>
      <c r="G401" s="1" t="str">
        <f>tbl_model[[#This Row],[ProductID]] &amp; "-" &amp; tbl_model[[#This Row],[LocationID]]</f>
        <v>455-1</v>
      </c>
    </row>
    <row r="402" spans="1:7">
      <c r="A402">
        <v>455</v>
      </c>
      <c r="B402">
        <v>6</v>
      </c>
      <c r="C402" t="str">
        <f>_xlfn.XLOOKUP(tbl_model[[#This Row],[ProductID]],tbl_product[ProductID],tbl_product[ProductName],"UNMAPPED_PRODUCT")</f>
        <v>Lock Nut 3</v>
      </c>
      <c r="D402" t="str">
        <f>_xlfn.XLOOKUP(tbl_model[[#This Row],[ProductID]],tbl_product[ProductID],tbl_product[ProductNumber],"UNMAPPED_PRODUCT")</f>
        <v>LN-6320</v>
      </c>
      <c r="E402" t="str">
        <f>_xlfn.XLOOKUP(tbl_model[[#This Row],[LocationID]],tbl_location[LocationID],tbl_location[LocationName],"UNMAPPED_LOCATION")</f>
        <v>Miscellaneous Storage</v>
      </c>
      <c r="F402">
        <v>502</v>
      </c>
      <c r="G402" s="1" t="str">
        <f>tbl_model[[#This Row],[ProductID]] &amp; "-" &amp; tbl_model[[#This Row],[LocationID]]</f>
        <v>455-6</v>
      </c>
    </row>
    <row r="403" spans="1:7">
      <c r="A403">
        <v>455</v>
      </c>
      <c r="B403">
        <v>50</v>
      </c>
      <c r="C403" t="str">
        <f>_xlfn.XLOOKUP(tbl_model[[#This Row],[ProductID]],tbl_product[ProductID],tbl_product[ProductName],"UNMAPPED_PRODUCT")</f>
        <v>Lock Nut 3</v>
      </c>
      <c r="D403" t="str">
        <f>_xlfn.XLOOKUP(tbl_model[[#This Row],[ProductID]],tbl_product[ProductID],tbl_product[ProductNumber],"UNMAPPED_PRODUCT")</f>
        <v>LN-6320</v>
      </c>
      <c r="E403" t="str">
        <f>_xlfn.XLOOKUP(tbl_model[[#This Row],[LocationID]],tbl_location[LocationID],tbl_location[LocationName],"UNMAPPED_LOCATION")</f>
        <v>Subassembly</v>
      </c>
      <c r="F403">
        <v>484</v>
      </c>
      <c r="G403" s="1" t="str">
        <f>tbl_model[[#This Row],[ProductID]] &amp; "-" &amp; tbl_model[[#This Row],[LocationID]]</f>
        <v>455-50</v>
      </c>
    </row>
    <row r="404" spans="1:7">
      <c r="A404">
        <v>456</v>
      </c>
      <c r="B404">
        <v>1</v>
      </c>
      <c r="C404" t="str">
        <f>_xlfn.XLOOKUP(tbl_model[[#This Row],[ProductID]],tbl_product[ProductID],tbl_product[ProductName],"UNMAPPED_PRODUCT")</f>
        <v>Lock Nut 14</v>
      </c>
      <c r="D404" t="str">
        <f>_xlfn.XLOOKUP(tbl_model[[#This Row],[ProductID]],tbl_product[ProductID],tbl_product[ProductNumber],"UNMAPPED_PRODUCT")</f>
        <v>LN-7161</v>
      </c>
      <c r="E404" t="str">
        <f>_xlfn.XLOOKUP(tbl_model[[#This Row],[LocationID]],tbl_location[LocationID],tbl_location[LocationName],"UNMAPPED_LOCATION")</f>
        <v>Tool Crib</v>
      </c>
      <c r="F404">
        <v>611</v>
      </c>
      <c r="G404" s="1" t="str">
        <f>tbl_model[[#This Row],[ProductID]] &amp; "-" &amp; tbl_model[[#This Row],[LocationID]]</f>
        <v>456-1</v>
      </c>
    </row>
    <row r="405" spans="1:7">
      <c r="A405">
        <v>456</v>
      </c>
      <c r="B405">
        <v>6</v>
      </c>
      <c r="C405" t="str">
        <f>_xlfn.XLOOKUP(tbl_model[[#This Row],[ProductID]],tbl_product[ProductID],tbl_product[ProductName],"UNMAPPED_PRODUCT")</f>
        <v>Lock Nut 14</v>
      </c>
      <c r="D405" t="str">
        <f>_xlfn.XLOOKUP(tbl_model[[#This Row],[ProductID]],tbl_product[ProductID],tbl_product[ProductNumber],"UNMAPPED_PRODUCT")</f>
        <v>LN-7161</v>
      </c>
      <c r="E405" t="str">
        <f>_xlfn.XLOOKUP(tbl_model[[#This Row],[LocationID]],tbl_location[LocationID],tbl_location[LocationName],"UNMAPPED_LOCATION")</f>
        <v>Miscellaneous Storage</v>
      </c>
      <c r="F405">
        <v>505</v>
      </c>
      <c r="G405" s="1" t="str">
        <f>tbl_model[[#This Row],[ProductID]] &amp; "-" &amp; tbl_model[[#This Row],[LocationID]]</f>
        <v>456-6</v>
      </c>
    </row>
    <row r="406" spans="1:7">
      <c r="A406">
        <v>456</v>
      </c>
      <c r="B406">
        <v>50</v>
      </c>
      <c r="C406" t="str">
        <f>_xlfn.XLOOKUP(tbl_model[[#This Row],[ProductID]],tbl_product[ProductID],tbl_product[ProductName],"UNMAPPED_PRODUCT")</f>
        <v>Lock Nut 14</v>
      </c>
      <c r="D406" t="str">
        <f>_xlfn.XLOOKUP(tbl_model[[#This Row],[ProductID]],tbl_product[ProductID],tbl_product[ProductNumber],"UNMAPPED_PRODUCT")</f>
        <v>LN-7161</v>
      </c>
      <c r="E406" t="str">
        <f>_xlfn.XLOOKUP(tbl_model[[#This Row],[LocationID]],tbl_location[LocationID],tbl_location[LocationName],"UNMAPPED_LOCATION")</f>
        <v>Subassembly</v>
      </c>
      <c r="F406">
        <v>488</v>
      </c>
      <c r="G406" s="1" t="str">
        <f>tbl_model[[#This Row],[ProductID]] &amp; "-" &amp; tbl_model[[#This Row],[LocationID]]</f>
        <v>456-50</v>
      </c>
    </row>
    <row r="407" spans="1:7">
      <c r="A407">
        <v>457</v>
      </c>
      <c r="B407">
        <v>1</v>
      </c>
      <c r="C407" t="str">
        <f>_xlfn.XLOOKUP(tbl_model[[#This Row],[ProductID]],tbl_product[ProductID],tbl_product[ProductName],"UNMAPPED_PRODUCT")</f>
        <v>Lock Nut 15</v>
      </c>
      <c r="D407" t="str">
        <f>_xlfn.XLOOKUP(tbl_model[[#This Row],[ProductID]],tbl_product[ProductID],tbl_product[ProductNumber],"UNMAPPED_PRODUCT")</f>
        <v>LN-7162</v>
      </c>
      <c r="E407" t="str">
        <f>_xlfn.XLOOKUP(tbl_model[[#This Row],[LocationID]],tbl_location[LocationID],tbl_location[LocationName],"UNMAPPED_LOCATION")</f>
        <v>Tool Crib</v>
      </c>
      <c r="F407">
        <v>614</v>
      </c>
      <c r="G407" s="1" t="str">
        <f>tbl_model[[#This Row],[ProductID]] &amp; "-" &amp; tbl_model[[#This Row],[LocationID]]</f>
        <v>457-1</v>
      </c>
    </row>
    <row r="408" spans="1:7">
      <c r="A408">
        <v>457</v>
      </c>
      <c r="B408">
        <v>6</v>
      </c>
      <c r="C408" t="str">
        <f>_xlfn.XLOOKUP(tbl_model[[#This Row],[ProductID]],tbl_product[ProductID],tbl_product[ProductName],"UNMAPPED_PRODUCT")</f>
        <v>Lock Nut 15</v>
      </c>
      <c r="D408" t="str">
        <f>_xlfn.XLOOKUP(tbl_model[[#This Row],[ProductID]],tbl_product[ProductID],tbl_product[ProductNumber],"UNMAPPED_PRODUCT")</f>
        <v>LN-7162</v>
      </c>
      <c r="E408" t="str">
        <f>_xlfn.XLOOKUP(tbl_model[[#This Row],[LocationID]],tbl_location[LocationID],tbl_location[LocationName],"UNMAPPED_LOCATION")</f>
        <v>Miscellaneous Storage</v>
      </c>
      <c r="F408">
        <v>508</v>
      </c>
      <c r="G408" s="1" t="str">
        <f>tbl_model[[#This Row],[ProductID]] &amp; "-" &amp; tbl_model[[#This Row],[LocationID]]</f>
        <v>457-6</v>
      </c>
    </row>
    <row r="409" spans="1:7">
      <c r="A409">
        <v>457</v>
      </c>
      <c r="B409">
        <v>50</v>
      </c>
      <c r="C409" t="str">
        <f>_xlfn.XLOOKUP(tbl_model[[#This Row],[ProductID]],tbl_product[ProductID],tbl_product[ProductName],"UNMAPPED_PRODUCT")</f>
        <v>Lock Nut 15</v>
      </c>
      <c r="D409" t="str">
        <f>_xlfn.XLOOKUP(tbl_model[[#This Row],[ProductID]],tbl_product[ProductID],tbl_product[ProductNumber],"UNMAPPED_PRODUCT")</f>
        <v>LN-7162</v>
      </c>
      <c r="E409" t="str">
        <f>_xlfn.XLOOKUP(tbl_model[[#This Row],[LocationID]],tbl_location[LocationID],tbl_location[LocationName],"UNMAPPED_LOCATION")</f>
        <v>Subassembly</v>
      </c>
      <c r="F409">
        <v>491</v>
      </c>
      <c r="G409" s="1" t="str">
        <f>tbl_model[[#This Row],[ProductID]] &amp; "-" &amp; tbl_model[[#This Row],[LocationID]]</f>
        <v>457-50</v>
      </c>
    </row>
    <row r="410" spans="1:7">
      <c r="A410">
        <v>458</v>
      </c>
      <c r="B410">
        <v>1</v>
      </c>
      <c r="C410" t="str">
        <f>_xlfn.XLOOKUP(tbl_model[[#This Row],[ProductID]],tbl_product[ProductID],tbl_product[ProductName],"UNMAPPED_PRODUCT")</f>
        <v>Lock Nut 4</v>
      </c>
      <c r="D410" t="str">
        <f>_xlfn.XLOOKUP(tbl_model[[#This Row],[ProductID]],tbl_product[ProductID],tbl_product[ProductNumber],"UNMAPPED_PRODUCT")</f>
        <v>LN-8320</v>
      </c>
      <c r="E410" t="str">
        <f>_xlfn.XLOOKUP(tbl_model[[#This Row],[LocationID]],tbl_location[LocationID],tbl_location[LocationName],"UNMAPPED_LOCATION")</f>
        <v>Tool Crib</v>
      </c>
      <c r="F410">
        <v>617</v>
      </c>
      <c r="G410" s="1" t="str">
        <f>tbl_model[[#This Row],[ProductID]] &amp; "-" &amp; tbl_model[[#This Row],[LocationID]]</f>
        <v>458-1</v>
      </c>
    </row>
    <row r="411" spans="1:7">
      <c r="A411">
        <v>458</v>
      </c>
      <c r="B411">
        <v>6</v>
      </c>
      <c r="C411" t="str">
        <f>_xlfn.XLOOKUP(tbl_model[[#This Row],[ProductID]],tbl_product[ProductID],tbl_product[ProductName],"UNMAPPED_PRODUCT")</f>
        <v>Lock Nut 4</v>
      </c>
      <c r="D411" t="str">
        <f>_xlfn.XLOOKUP(tbl_model[[#This Row],[ProductID]],tbl_product[ProductID],tbl_product[ProductNumber],"UNMAPPED_PRODUCT")</f>
        <v>LN-8320</v>
      </c>
      <c r="E411" t="str">
        <f>_xlfn.XLOOKUP(tbl_model[[#This Row],[LocationID]],tbl_location[LocationID],tbl_location[LocationName],"UNMAPPED_LOCATION")</f>
        <v>Miscellaneous Storage</v>
      </c>
      <c r="F411">
        <v>512</v>
      </c>
      <c r="G411" s="1" t="str">
        <f>tbl_model[[#This Row],[ProductID]] &amp; "-" &amp; tbl_model[[#This Row],[LocationID]]</f>
        <v>458-6</v>
      </c>
    </row>
    <row r="412" spans="1:7">
      <c r="A412">
        <v>458</v>
      </c>
      <c r="B412">
        <v>50</v>
      </c>
      <c r="C412" t="str">
        <f>_xlfn.XLOOKUP(tbl_model[[#This Row],[ProductID]],tbl_product[ProductID],tbl_product[ProductName],"UNMAPPED_PRODUCT")</f>
        <v>Lock Nut 4</v>
      </c>
      <c r="D412" t="str">
        <f>_xlfn.XLOOKUP(tbl_model[[#This Row],[ProductID]],tbl_product[ProductID],tbl_product[ProductNumber],"UNMAPPED_PRODUCT")</f>
        <v>LN-8320</v>
      </c>
      <c r="E412" t="str">
        <f>_xlfn.XLOOKUP(tbl_model[[#This Row],[LocationID]],tbl_location[LocationID],tbl_location[LocationName],"UNMAPPED_LOCATION")</f>
        <v>Subassembly</v>
      </c>
      <c r="F412">
        <v>494</v>
      </c>
      <c r="G412" s="1" t="str">
        <f>tbl_model[[#This Row],[ProductID]] &amp; "-" &amp; tbl_model[[#This Row],[LocationID]]</f>
        <v>458-50</v>
      </c>
    </row>
    <row r="413" spans="1:7">
      <c r="A413">
        <v>459</v>
      </c>
      <c r="B413">
        <v>1</v>
      </c>
      <c r="C413" t="str">
        <f>_xlfn.XLOOKUP(tbl_model[[#This Row],[ProductID]],tbl_product[ProductID],tbl_product[ProductName],"UNMAPPED_PRODUCT")</f>
        <v>Lock Nut 19</v>
      </c>
      <c r="D413" t="str">
        <f>_xlfn.XLOOKUP(tbl_model[[#This Row],[ProductID]],tbl_product[ProductID],tbl_product[ProductNumber],"UNMAPPED_PRODUCT")</f>
        <v>LN-9080</v>
      </c>
      <c r="E413" t="str">
        <f>_xlfn.XLOOKUP(tbl_model[[#This Row],[LocationID]],tbl_location[LocationID],tbl_location[LocationName],"UNMAPPED_LOCATION")</f>
        <v>Tool Crib</v>
      </c>
      <c r="F413">
        <v>620</v>
      </c>
      <c r="G413" s="1" t="str">
        <f>tbl_model[[#This Row],[ProductID]] &amp; "-" &amp; tbl_model[[#This Row],[LocationID]]</f>
        <v>459-1</v>
      </c>
    </row>
    <row r="414" spans="1:7">
      <c r="A414">
        <v>459</v>
      </c>
      <c r="B414">
        <v>6</v>
      </c>
      <c r="C414" t="str">
        <f>_xlfn.XLOOKUP(tbl_model[[#This Row],[ProductID]],tbl_product[ProductID],tbl_product[ProductName],"UNMAPPED_PRODUCT")</f>
        <v>Lock Nut 19</v>
      </c>
      <c r="D414" t="str">
        <f>_xlfn.XLOOKUP(tbl_model[[#This Row],[ProductID]],tbl_product[ProductID],tbl_product[ProductNumber],"UNMAPPED_PRODUCT")</f>
        <v>LN-9080</v>
      </c>
      <c r="E414" t="str">
        <f>_xlfn.XLOOKUP(tbl_model[[#This Row],[LocationID]],tbl_location[LocationID],tbl_location[LocationName],"UNMAPPED_LOCATION")</f>
        <v>Miscellaneous Storage</v>
      </c>
      <c r="F414">
        <v>515</v>
      </c>
      <c r="G414" s="1" t="str">
        <f>tbl_model[[#This Row],[ProductID]] &amp; "-" &amp; tbl_model[[#This Row],[LocationID]]</f>
        <v>459-6</v>
      </c>
    </row>
    <row r="415" spans="1:7">
      <c r="A415">
        <v>459</v>
      </c>
      <c r="B415">
        <v>50</v>
      </c>
      <c r="C415" t="str">
        <f>_xlfn.XLOOKUP(tbl_model[[#This Row],[ProductID]],tbl_product[ProductID],tbl_product[ProductName],"UNMAPPED_PRODUCT")</f>
        <v>Lock Nut 19</v>
      </c>
      <c r="D415" t="str">
        <f>_xlfn.XLOOKUP(tbl_model[[#This Row],[ProductID]],tbl_product[ProductID],tbl_product[ProductNumber],"UNMAPPED_PRODUCT")</f>
        <v>LN-9080</v>
      </c>
      <c r="E415" t="str">
        <f>_xlfn.XLOOKUP(tbl_model[[#This Row],[LocationID]],tbl_location[LocationID],tbl_location[LocationName],"UNMAPPED_LOCATION")</f>
        <v>Subassembly</v>
      </c>
      <c r="F415">
        <v>497</v>
      </c>
      <c r="G415" s="1" t="str">
        <f>tbl_model[[#This Row],[ProductID]] &amp; "-" &amp; tbl_model[[#This Row],[LocationID]]</f>
        <v>459-50</v>
      </c>
    </row>
    <row r="416" spans="1:7">
      <c r="A416">
        <v>460</v>
      </c>
      <c r="B416">
        <v>1</v>
      </c>
      <c r="C416" t="str">
        <f>_xlfn.XLOOKUP(tbl_model[[#This Row],[ProductID]],tbl_product[ProductID],tbl_product[ProductName],"UNMAPPED_PRODUCT")</f>
        <v>Lock Nut 18</v>
      </c>
      <c r="D416" t="str">
        <f>_xlfn.XLOOKUP(tbl_model[[#This Row],[ProductID]],tbl_product[ProductID],tbl_product[ProductNumber],"UNMAPPED_PRODUCT")</f>
        <v>LN-9161</v>
      </c>
      <c r="E416" t="str">
        <f>_xlfn.XLOOKUP(tbl_model[[#This Row],[LocationID]],tbl_location[LocationID],tbl_location[LocationName],"UNMAPPED_LOCATION")</f>
        <v>Tool Crib</v>
      </c>
      <c r="F416">
        <v>624</v>
      </c>
      <c r="G416" s="1" t="str">
        <f>tbl_model[[#This Row],[ProductID]] &amp; "-" &amp; tbl_model[[#This Row],[LocationID]]</f>
        <v>460-1</v>
      </c>
    </row>
    <row r="417" spans="1:7">
      <c r="A417">
        <v>460</v>
      </c>
      <c r="B417">
        <v>6</v>
      </c>
      <c r="C417" t="str">
        <f>_xlfn.XLOOKUP(tbl_model[[#This Row],[ProductID]],tbl_product[ProductID],tbl_product[ProductName],"UNMAPPED_PRODUCT")</f>
        <v>Lock Nut 18</v>
      </c>
      <c r="D417" t="str">
        <f>_xlfn.XLOOKUP(tbl_model[[#This Row],[ProductID]],tbl_product[ProductID],tbl_product[ProductNumber],"UNMAPPED_PRODUCT")</f>
        <v>LN-9161</v>
      </c>
      <c r="E417" t="str">
        <f>_xlfn.XLOOKUP(tbl_model[[#This Row],[LocationID]],tbl_location[LocationID],tbl_location[LocationName],"UNMAPPED_LOCATION")</f>
        <v>Miscellaneous Storage</v>
      </c>
      <c r="F417">
        <v>518</v>
      </c>
      <c r="G417" s="1" t="str">
        <f>tbl_model[[#This Row],[ProductID]] &amp; "-" &amp; tbl_model[[#This Row],[LocationID]]</f>
        <v>460-6</v>
      </c>
    </row>
    <row r="418" spans="1:7">
      <c r="A418">
        <v>460</v>
      </c>
      <c r="B418">
        <v>50</v>
      </c>
      <c r="C418" t="str">
        <f>_xlfn.XLOOKUP(tbl_model[[#This Row],[ProductID]],tbl_product[ProductID],tbl_product[ProductName],"UNMAPPED_PRODUCT")</f>
        <v>Lock Nut 18</v>
      </c>
      <c r="D418" t="str">
        <f>_xlfn.XLOOKUP(tbl_model[[#This Row],[ProductID]],tbl_product[ProductID],tbl_product[ProductNumber],"UNMAPPED_PRODUCT")</f>
        <v>LN-9161</v>
      </c>
      <c r="E418" t="str">
        <f>_xlfn.XLOOKUP(tbl_model[[#This Row],[LocationID]],tbl_location[LocationID],tbl_location[LocationName],"UNMAPPED_LOCATION")</f>
        <v>Subassembly</v>
      </c>
      <c r="F418">
        <v>500</v>
      </c>
      <c r="G418" s="1" t="str">
        <f>tbl_model[[#This Row],[ProductID]] &amp; "-" &amp; tbl_model[[#This Row],[LocationID]]</f>
        <v>460-50</v>
      </c>
    </row>
    <row r="419" spans="1:7">
      <c r="A419">
        <v>461</v>
      </c>
      <c r="B419">
        <v>1</v>
      </c>
      <c r="C419" t="str">
        <f>_xlfn.XLOOKUP(tbl_model[[#This Row],[ProductID]],tbl_product[ProductID],tbl_product[ProductName],"UNMAPPED_PRODUCT")</f>
        <v>Lock Ring</v>
      </c>
      <c r="D419" t="str">
        <f>_xlfn.XLOOKUP(tbl_model[[#This Row],[ProductID]],tbl_product[ProductID],tbl_product[ProductNumber],"UNMAPPED_PRODUCT")</f>
        <v>LR-2398</v>
      </c>
      <c r="E419" t="str">
        <f>_xlfn.XLOOKUP(tbl_model[[#This Row],[LocationID]],tbl_location[LocationID],tbl_location[LocationName],"UNMAPPED_LOCATION")</f>
        <v>Tool Crib</v>
      </c>
      <c r="F419">
        <v>627</v>
      </c>
      <c r="G419" s="1" t="str">
        <f>tbl_model[[#This Row],[ProductID]] &amp; "-" &amp; tbl_model[[#This Row],[LocationID]]</f>
        <v>461-1</v>
      </c>
    </row>
    <row r="420" spans="1:7">
      <c r="A420">
        <v>461</v>
      </c>
      <c r="B420">
        <v>6</v>
      </c>
      <c r="C420" t="str">
        <f>_xlfn.XLOOKUP(tbl_model[[#This Row],[ProductID]],tbl_product[ProductID],tbl_product[ProductName],"UNMAPPED_PRODUCT")</f>
        <v>Lock Ring</v>
      </c>
      <c r="D420" t="str">
        <f>_xlfn.XLOOKUP(tbl_model[[#This Row],[ProductID]],tbl_product[ProductID],tbl_product[ProductNumber],"UNMAPPED_PRODUCT")</f>
        <v>LR-2398</v>
      </c>
      <c r="E420" t="str">
        <f>_xlfn.XLOOKUP(tbl_model[[#This Row],[LocationID]],tbl_location[LocationID],tbl_location[LocationName],"UNMAPPED_LOCATION")</f>
        <v>Miscellaneous Storage</v>
      </c>
      <c r="F420">
        <v>521</v>
      </c>
      <c r="G420" s="1" t="str">
        <f>tbl_model[[#This Row],[ProductID]] &amp; "-" &amp; tbl_model[[#This Row],[LocationID]]</f>
        <v>461-6</v>
      </c>
    </row>
    <row r="421" spans="1:7">
      <c r="A421">
        <v>461</v>
      </c>
      <c r="B421">
        <v>50</v>
      </c>
      <c r="C421" t="str">
        <f>_xlfn.XLOOKUP(tbl_model[[#This Row],[ProductID]],tbl_product[ProductID],tbl_product[ProductName],"UNMAPPED_PRODUCT")</f>
        <v>Lock Ring</v>
      </c>
      <c r="D421" t="str">
        <f>_xlfn.XLOOKUP(tbl_model[[#This Row],[ProductID]],tbl_product[ProductID],tbl_product[ProductNumber],"UNMAPPED_PRODUCT")</f>
        <v>LR-2398</v>
      </c>
      <c r="E421" t="str">
        <f>_xlfn.XLOOKUP(tbl_model[[#This Row],[LocationID]],tbl_location[LocationID],tbl_location[LocationName],"UNMAPPED_LOCATION")</f>
        <v>Subassembly</v>
      </c>
      <c r="F421">
        <v>504</v>
      </c>
      <c r="G421" s="1" t="str">
        <f>tbl_model[[#This Row],[ProductID]] &amp; "-" &amp; tbl_model[[#This Row],[LocationID]]</f>
        <v>461-50</v>
      </c>
    </row>
    <row r="422" spans="1:7">
      <c r="A422">
        <v>462</v>
      </c>
      <c r="B422">
        <v>1</v>
      </c>
      <c r="C422" t="str">
        <f>_xlfn.XLOOKUP(tbl_model[[#This Row],[ProductID]],tbl_product[ProductID],tbl_product[ProductName],"UNMAPPED_PRODUCT")</f>
        <v>Lower Head Race</v>
      </c>
      <c r="D422" t="str">
        <f>_xlfn.XLOOKUP(tbl_model[[#This Row],[ProductID]],tbl_product[ProductID],tbl_product[ProductNumber],"UNMAPPED_PRODUCT")</f>
        <v>LR-8520</v>
      </c>
      <c r="E422" t="str">
        <f>_xlfn.XLOOKUP(tbl_model[[#This Row],[LocationID]],tbl_location[LocationID],tbl_location[LocationName],"UNMAPPED_LOCATION")</f>
        <v>Tool Crib</v>
      </c>
      <c r="F422">
        <v>310</v>
      </c>
      <c r="G422" s="1" t="str">
        <f>tbl_model[[#This Row],[ProductID]] &amp; "-" &amp; tbl_model[[#This Row],[LocationID]]</f>
        <v>462-1</v>
      </c>
    </row>
    <row r="423" spans="1:7">
      <c r="A423">
        <v>462</v>
      </c>
      <c r="B423">
        <v>6</v>
      </c>
      <c r="C423" t="str">
        <f>_xlfn.XLOOKUP(tbl_model[[#This Row],[ProductID]],tbl_product[ProductID],tbl_product[ProductName],"UNMAPPED_PRODUCT")</f>
        <v>Lower Head Race</v>
      </c>
      <c r="D423" t="str">
        <f>_xlfn.XLOOKUP(tbl_model[[#This Row],[ProductID]],tbl_product[ProductID],tbl_product[ProductNumber],"UNMAPPED_PRODUCT")</f>
        <v>LR-8520</v>
      </c>
      <c r="E423" t="str">
        <f>_xlfn.XLOOKUP(tbl_model[[#This Row],[LocationID]],tbl_location[LocationID],tbl_location[LocationName],"UNMAPPED_LOCATION")</f>
        <v>Miscellaneous Storage</v>
      </c>
      <c r="F423">
        <v>204</v>
      </c>
      <c r="G423" s="1" t="str">
        <f>tbl_model[[#This Row],[ProductID]] &amp; "-" &amp; tbl_model[[#This Row],[LocationID]]</f>
        <v>462-6</v>
      </c>
    </row>
    <row r="424" spans="1:7">
      <c r="A424">
        <v>462</v>
      </c>
      <c r="B424">
        <v>50</v>
      </c>
      <c r="C424" t="str">
        <f>_xlfn.XLOOKUP(tbl_model[[#This Row],[ProductID]],tbl_product[ProductID],tbl_product[ProductName],"UNMAPPED_PRODUCT")</f>
        <v>Lower Head Race</v>
      </c>
      <c r="D424" t="str">
        <f>_xlfn.XLOOKUP(tbl_model[[#This Row],[ProductID]],tbl_product[ProductID],tbl_product[ProductNumber],"UNMAPPED_PRODUCT")</f>
        <v>LR-8520</v>
      </c>
      <c r="E424" t="str">
        <f>_xlfn.XLOOKUP(tbl_model[[#This Row],[LocationID]],tbl_location[LocationID],tbl_location[LocationName],"UNMAPPED_LOCATION")</f>
        <v>Subassembly</v>
      </c>
      <c r="F424">
        <v>187</v>
      </c>
      <c r="G424" s="1" t="str">
        <f>tbl_model[[#This Row],[ProductID]] &amp; "-" &amp; tbl_model[[#This Row],[LocationID]]</f>
        <v>462-50</v>
      </c>
    </row>
    <row r="425" spans="1:7">
      <c r="A425">
        <v>463</v>
      </c>
      <c r="B425">
        <v>1</v>
      </c>
      <c r="C425" t="str">
        <f>_xlfn.XLOOKUP(tbl_model[[#This Row],[ProductID]],tbl_product[ProductID],tbl_product[ProductName],"UNMAPPED_PRODUCT")</f>
        <v>Lock Washer 4</v>
      </c>
      <c r="D425" t="str">
        <f>_xlfn.XLOOKUP(tbl_model[[#This Row],[ProductID]],tbl_product[ProductID],tbl_product[ProductNumber],"UNMAPPED_PRODUCT")</f>
        <v>LW-1000</v>
      </c>
      <c r="E425" t="str">
        <f>_xlfn.XLOOKUP(tbl_model[[#This Row],[LocationID]],tbl_location[LocationID],tbl_location[LocationName],"UNMAPPED_LOCATION")</f>
        <v>Tool Crib</v>
      </c>
      <c r="F425">
        <v>499</v>
      </c>
      <c r="G425" s="1" t="str">
        <f>tbl_model[[#This Row],[ProductID]] &amp; "-" &amp; tbl_model[[#This Row],[LocationID]]</f>
        <v>463-1</v>
      </c>
    </row>
    <row r="426" spans="1:7">
      <c r="A426">
        <v>463</v>
      </c>
      <c r="B426">
        <v>6</v>
      </c>
      <c r="C426" t="str">
        <f>_xlfn.XLOOKUP(tbl_model[[#This Row],[ProductID]],tbl_product[ProductID],tbl_product[ProductName],"UNMAPPED_PRODUCT")</f>
        <v>Lock Washer 4</v>
      </c>
      <c r="D426" t="str">
        <f>_xlfn.XLOOKUP(tbl_model[[#This Row],[ProductID]],tbl_product[ProductID],tbl_product[ProductNumber],"UNMAPPED_PRODUCT")</f>
        <v>LW-1000</v>
      </c>
      <c r="E426" t="str">
        <f>_xlfn.XLOOKUP(tbl_model[[#This Row],[LocationID]],tbl_location[LocationID],tbl_location[LocationName],"UNMAPPED_LOCATION")</f>
        <v>Miscellaneous Storage</v>
      </c>
      <c r="F426">
        <v>566</v>
      </c>
      <c r="G426" s="1" t="str">
        <f>tbl_model[[#This Row],[ProductID]] &amp; "-" &amp; tbl_model[[#This Row],[LocationID]]</f>
        <v>463-6</v>
      </c>
    </row>
    <row r="427" spans="1:7">
      <c r="A427">
        <v>463</v>
      </c>
      <c r="B427">
        <v>50</v>
      </c>
      <c r="C427" t="str">
        <f>_xlfn.XLOOKUP(tbl_model[[#This Row],[ProductID]],tbl_product[ProductID],tbl_product[ProductName],"UNMAPPED_PRODUCT")</f>
        <v>Lock Washer 4</v>
      </c>
      <c r="D427" t="str">
        <f>_xlfn.XLOOKUP(tbl_model[[#This Row],[ProductID]],tbl_product[ProductID],tbl_product[ProductNumber],"UNMAPPED_PRODUCT")</f>
        <v>LW-1000</v>
      </c>
      <c r="E427" t="str">
        <f>_xlfn.XLOOKUP(tbl_model[[#This Row],[LocationID]],tbl_location[LocationID],tbl_location[LocationName],"UNMAPPED_LOCATION")</f>
        <v>Subassembly</v>
      </c>
      <c r="F427">
        <v>620</v>
      </c>
      <c r="G427" s="1" t="str">
        <f>tbl_model[[#This Row],[ProductID]] &amp; "-" &amp; tbl_model[[#This Row],[LocationID]]</f>
        <v>463-50</v>
      </c>
    </row>
    <row r="428" spans="1:7">
      <c r="A428">
        <v>464</v>
      </c>
      <c r="B428">
        <v>1</v>
      </c>
      <c r="C428" t="str">
        <f>_xlfn.XLOOKUP(tbl_model[[#This Row],[ProductID]],tbl_product[ProductID],tbl_product[ProductName],"UNMAPPED_PRODUCT")</f>
        <v>Lock Washer 5</v>
      </c>
      <c r="D428" t="str">
        <f>_xlfn.XLOOKUP(tbl_model[[#This Row],[ProductID]],tbl_product[ProductID],tbl_product[ProductNumber],"UNMAPPED_PRODUCT")</f>
        <v>LW-1200</v>
      </c>
      <c r="E428" t="str">
        <f>_xlfn.XLOOKUP(tbl_model[[#This Row],[LocationID]],tbl_location[LocationID],tbl_location[LocationName],"UNMAPPED_LOCATION")</f>
        <v>Tool Crib</v>
      </c>
      <c r="F428">
        <v>500</v>
      </c>
      <c r="G428" s="1" t="str">
        <f>tbl_model[[#This Row],[ProductID]] &amp; "-" &amp; tbl_model[[#This Row],[LocationID]]</f>
        <v>464-1</v>
      </c>
    </row>
    <row r="429" spans="1:7">
      <c r="A429">
        <v>464</v>
      </c>
      <c r="B429">
        <v>6</v>
      </c>
      <c r="C429" t="str">
        <f>_xlfn.XLOOKUP(tbl_model[[#This Row],[ProductID]],tbl_product[ProductID],tbl_product[ProductName],"UNMAPPED_PRODUCT")</f>
        <v>Lock Washer 5</v>
      </c>
      <c r="D429" t="str">
        <f>_xlfn.XLOOKUP(tbl_model[[#This Row],[ProductID]],tbl_product[ProductID],tbl_product[ProductNumber],"UNMAPPED_PRODUCT")</f>
        <v>LW-1200</v>
      </c>
      <c r="E429" t="str">
        <f>_xlfn.XLOOKUP(tbl_model[[#This Row],[LocationID]],tbl_location[LocationID],tbl_location[LocationName],"UNMAPPED_LOCATION")</f>
        <v>Miscellaneous Storage</v>
      </c>
      <c r="F429">
        <v>568</v>
      </c>
      <c r="G429" s="1" t="str">
        <f>tbl_model[[#This Row],[ProductID]] &amp; "-" &amp; tbl_model[[#This Row],[LocationID]]</f>
        <v>464-6</v>
      </c>
    </row>
    <row r="430" spans="1:7">
      <c r="A430">
        <v>464</v>
      </c>
      <c r="B430">
        <v>50</v>
      </c>
      <c r="C430" t="str">
        <f>_xlfn.XLOOKUP(tbl_model[[#This Row],[ProductID]],tbl_product[ProductID],tbl_product[ProductName],"UNMAPPED_PRODUCT")</f>
        <v>Lock Washer 5</v>
      </c>
      <c r="D430" t="str">
        <f>_xlfn.XLOOKUP(tbl_model[[#This Row],[ProductID]],tbl_product[ProductID],tbl_product[ProductNumber],"UNMAPPED_PRODUCT")</f>
        <v>LW-1200</v>
      </c>
      <c r="E430" t="str">
        <f>_xlfn.XLOOKUP(tbl_model[[#This Row],[LocationID]],tbl_location[LocationID],tbl_location[LocationName],"UNMAPPED_LOCATION")</f>
        <v>Subassembly</v>
      </c>
      <c r="F430">
        <v>622</v>
      </c>
      <c r="G430" s="1" t="str">
        <f>tbl_model[[#This Row],[ProductID]] &amp; "-" &amp; tbl_model[[#This Row],[LocationID]]</f>
        <v>464-50</v>
      </c>
    </row>
    <row r="431" spans="1:7">
      <c r="A431">
        <v>465</v>
      </c>
      <c r="B431">
        <v>1</v>
      </c>
      <c r="C431" t="str">
        <f>_xlfn.XLOOKUP(tbl_model[[#This Row],[ProductID]],tbl_product[ProductID],tbl_product[ProductName],"UNMAPPED_PRODUCT")</f>
        <v>Lock Washer 10</v>
      </c>
      <c r="D431" t="str">
        <f>_xlfn.XLOOKUP(tbl_model[[#This Row],[ProductID]],tbl_product[ProductID],tbl_product[ProductNumber],"UNMAPPED_PRODUCT")</f>
        <v>LW-1201</v>
      </c>
      <c r="E431" t="str">
        <f>_xlfn.XLOOKUP(tbl_model[[#This Row],[LocationID]],tbl_location[LocationID],tbl_location[LocationName],"UNMAPPED_LOCATION")</f>
        <v>Tool Crib</v>
      </c>
      <c r="F431">
        <v>502</v>
      </c>
      <c r="G431" s="1" t="str">
        <f>tbl_model[[#This Row],[ProductID]] &amp; "-" &amp; tbl_model[[#This Row],[LocationID]]</f>
        <v>465-1</v>
      </c>
    </row>
    <row r="432" spans="1:7">
      <c r="A432">
        <v>465</v>
      </c>
      <c r="B432">
        <v>6</v>
      </c>
      <c r="C432" t="str">
        <f>_xlfn.XLOOKUP(tbl_model[[#This Row],[ProductID]],tbl_product[ProductID],tbl_product[ProductName],"UNMAPPED_PRODUCT")</f>
        <v>Lock Washer 10</v>
      </c>
      <c r="D432" t="str">
        <f>_xlfn.XLOOKUP(tbl_model[[#This Row],[ProductID]],tbl_product[ProductID],tbl_product[ProductNumber],"UNMAPPED_PRODUCT")</f>
        <v>LW-1201</v>
      </c>
      <c r="E432" t="str">
        <f>_xlfn.XLOOKUP(tbl_model[[#This Row],[LocationID]],tbl_location[LocationID],tbl_location[LocationName],"UNMAPPED_LOCATION")</f>
        <v>Miscellaneous Storage</v>
      </c>
      <c r="F432">
        <v>569</v>
      </c>
      <c r="G432" s="1" t="str">
        <f>tbl_model[[#This Row],[ProductID]] &amp; "-" &amp; tbl_model[[#This Row],[LocationID]]</f>
        <v>465-6</v>
      </c>
    </row>
    <row r="433" spans="1:7">
      <c r="A433">
        <v>465</v>
      </c>
      <c r="B433">
        <v>50</v>
      </c>
      <c r="C433" t="str">
        <f>_xlfn.XLOOKUP(tbl_model[[#This Row],[ProductID]],tbl_product[ProductID],tbl_product[ProductName],"UNMAPPED_PRODUCT")</f>
        <v>Lock Washer 10</v>
      </c>
      <c r="D433" t="str">
        <f>_xlfn.XLOOKUP(tbl_model[[#This Row],[ProductID]],tbl_product[ProductID],tbl_product[ProductNumber],"UNMAPPED_PRODUCT")</f>
        <v>LW-1201</v>
      </c>
      <c r="E433" t="str">
        <f>_xlfn.XLOOKUP(tbl_model[[#This Row],[LocationID]],tbl_location[LocationID],tbl_location[LocationName],"UNMAPPED_LOCATION")</f>
        <v>Subassembly</v>
      </c>
      <c r="F433">
        <v>624</v>
      </c>
      <c r="G433" s="1" t="str">
        <f>tbl_model[[#This Row],[ProductID]] &amp; "-" &amp; tbl_model[[#This Row],[LocationID]]</f>
        <v>465-50</v>
      </c>
    </row>
    <row r="434" spans="1:7">
      <c r="A434">
        <v>466</v>
      </c>
      <c r="B434">
        <v>1</v>
      </c>
      <c r="C434" t="str">
        <f>_xlfn.XLOOKUP(tbl_model[[#This Row],[ProductID]],tbl_product[ProductID],tbl_product[ProductName],"UNMAPPED_PRODUCT")</f>
        <v>Lock Washer 6</v>
      </c>
      <c r="D434" t="str">
        <f>_xlfn.XLOOKUP(tbl_model[[#This Row],[ProductID]],tbl_product[ProductID],tbl_product[ProductNumber],"UNMAPPED_PRODUCT")</f>
        <v>LW-1400</v>
      </c>
      <c r="E434" t="str">
        <f>_xlfn.XLOOKUP(tbl_model[[#This Row],[LocationID]],tbl_location[LocationID],tbl_location[LocationName],"UNMAPPED_LOCATION")</f>
        <v>Tool Crib</v>
      </c>
      <c r="F434">
        <v>504</v>
      </c>
      <c r="G434" s="1" t="str">
        <f>tbl_model[[#This Row],[ProductID]] &amp; "-" &amp; tbl_model[[#This Row],[LocationID]]</f>
        <v>466-1</v>
      </c>
    </row>
    <row r="435" spans="1:7">
      <c r="A435">
        <v>466</v>
      </c>
      <c r="B435">
        <v>6</v>
      </c>
      <c r="C435" t="str">
        <f>_xlfn.XLOOKUP(tbl_model[[#This Row],[ProductID]],tbl_product[ProductID],tbl_product[ProductName],"UNMAPPED_PRODUCT")</f>
        <v>Lock Washer 6</v>
      </c>
      <c r="D435" t="str">
        <f>_xlfn.XLOOKUP(tbl_model[[#This Row],[ProductID]],tbl_product[ProductID],tbl_product[ProductNumber],"UNMAPPED_PRODUCT")</f>
        <v>LW-1400</v>
      </c>
      <c r="E435" t="str">
        <f>_xlfn.XLOOKUP(tbl_model[[#This Row],[LocationID]],tbl_location[LocationID],tbl_location[LocationName],"UNMAPPED_LOCATION")</f>
        <v>Miscellaneous Storage</v>
      </c>
      <c r="F435">
        <v>571</v>
      </c>
      <c r="G435" s="1" t="str">
        <f>tbl_model[[#This Row],[ProductID]] &amp; "-" &amp; tbl_model[[#This Row],[LocationID]]</f>
        <v>466-6</v>
      </c>
    </row>
    <row r="436" spans="1:7">
      <c r="A436">
        <v>466</v>
      </c>
      <c r="B436">
        <v>50</v>
      </c>
      <c r="C436" t="str">
        <f>_xlfn.XLOOKUP(tbl_model[[#This Row],[ProductID]],tbl_product[ProductID],tbl_product[ProductName],"UNMAPPED_PRODUCT")</f>
        <v>Lock Washer 6</v>
      </c>
      <c r="D436" t="str">
        <f>_xlfn.XLOOKUP(tbl_model[[#This Row],[ProductID]],tbl_product[ProductID],tbl_product[ProductNumber],"UNMAPPED_PRODUCT")</f>
        <v>LW-1400</v>
      </c>
      <c r="E436" t="str">
        <f>_xlfn.XLOOKUP(tbl_model[[#This Row],[LocationID]],tbl_location[LocationID],tbl_location[LocationName],"UNMAPPED_LOCATION")</f>
        <v>Subassembly</v>
      </c>
      <c r="F436">
        <v>625</v>
      </c>
      <c r="G436" s="1" t="str">
        <f>tbl_model[[#This Row],[ProductID]] &amp; "-" &amp; tbl_model[[#This Row],[LocationID]]</f>
        <v>466-50</v>
      </c>
    </row>
    <row r="437" spans="1:7">
      <c r="A437">
        <v>467</v>
      </c>
      <c r="B437">
        <v>1</v>
      </c>
      <c r="C437" t="str">
        <f>_xlfn.XLOOKUP(tbl_model[[#This Row],[ProductID]],tbl_product[ProductID],tbl_product[ProductName],"UNMAPPED_PRODUCT")</f>
        <v>Lock Washer 13</v>
      </c>
      <c r="D437" t="str">
        <f>_xlfn.XLOOKUP(tbl_model[[#This Row],[ProductID]],tbl_product[ProductID],tbl_product[ProductNumber],"UNMAPPED_PRODUCT")</f>
        <v>LW-3400</v>
      </c>
      <c r="E437" t="str">
        <f>_xlfn.XLOOKUP(tbl_model[[#This Row],[LocationID]],tbl_location[LocationID],tbl_location[LocationName],"UNMAPPED_LOCATION")</f>
        <v>Tool Crib</v>
      </c>
      <c r="F437">
        <v>505</v>
      </c>
      <c r="G437" s="1" t="str">
        <f>tbl_model[[#This Row],[ProductID]] &amp; "-" &amp; tbl_model[[#This Row],[LocationID]]</f>
        <v>467-1</v>
      </c>
    </row>
    <row r="438" spans="1:7">
      <c r="A438">
        <v>467</v>
      </c>
      <c r="B438">
        <v>6</v>
      </c>
      <c r="C438" t="str">
        <f>_xlfn.XLOOKUP(tbl_model[[#This Row],[ProductID]],tbl_product[ProductID],tbl_product[ProductName],"UNMAPPED_PRODUCT")</f>
        <v>Lock Washer 13</v>
      </c>
      <c r="D438" t="str">
        <f>_xlfn.XLOOKUP(tbl_model[[#This Row],[ProductID]],tbl_product[ProductID],tbl_product[ProductNumber],"UNMAPPED_PRODUCT")</f>
        <v>LW-3400</v>
      </c>
      <c r="E438" t="str">
        <f>_xlfn.XLOOKUP(tbl_model[[#This Row],[LocationID]],tbl_location[LocationID],tbl_location[LocationName],"UNMAPPED_LOCATION")</f>
        <v>Miscellaneous Storage</v>
      </c>
      <c r="F438">
        <v>572</v>
      </c>
      <c r="G438" s="1" t="str">
        <f>tbl_model[[#This Row],[ProductID]] &amp; "-" &amp; tbl_model[[#This Row],[LocationID]]</f>
        <v>467-6</v>
      </c>
    </row>
    <row r="439" spans="1:7">
      <c r="A439">
        <v>467</v>
      </c>
      <c r="B439">
        <v>50</v>
      </c>
      <c r="C439" t="str">
        <f>_xlfn.XLOOKUP(tbl_model[[#This Row],[ProductID]],tbl_product[ProductID],tbl_product[ProductName],"UNMAPPED_PRODUCT")</f>
        <v>Lock Washer 13</v>
      </c>
      <c r="D439" t="str">
        <f>_xlfn.XLOOKUP(tbl_model[[#This Row],[ProductID]],tbl_product[ProductID],tbl_product[ProductNumber],"UNMAPPED_PRODUCT")</f>
        <v>LW-3400</v>
      </c>
      <c r="E439" t="str">
        <f>_xlfn.XLOOKUP(tbl_model[[#This Row],[LocationID]],tbl_location[LocationID],tbl_location[LocationName],"UNMAPPED_LOCATION")</f>
        <v>Subassembly</v>
      </c>
      <c r="F439">
        <v>627</v>
      </c>
      <c r="G439" s="1" t="str">
        <f>tbl_model[[#This Row],[ProductID]] &amp; "-" &amp; tbl_model[[#This Row],[LocationID]]</f>
        <v>467-50</v>
      </c>
    </row>
    <row r="440" spans="1:7">
      <c r="A440">
        <v>468</v>
      </c>
      <c r="B440">
        <v>1</v>
      </c>
      <c r="C440" t="str">
        <f>_xlfn.XLOOKUP(tbl_model[[#This Row],[ProductID]],tbl_product[ProductID],tbl_product[ProductName],"UNMAPPED_PRODUCT")</f>
        <v>Lock Washer 8</v>
      </c>
      <c r="D440" t="str">
        <f>_xlfn.XLOOKUP(tbl_model[[#This Row],[ProductID]],tbl_product[ProductID],tbl_product[ProductNumber],"UNMAPPED_PRODUCT")</f>
        <v>LW-3800</v>
      </c>
      <c r="E440" t="str">
        <f>_xlfn.XLOOKUP(tbl_model[[#This Row],[LocationID]],tbl_location[LocationID],tbl_location[LocationName],"UNMAPPED_LOCATION")</f>
        <v>Tool Crib</v>
      </c>
      <c r="F440">
        <v>507</v>
      </c>
      <c r="G440" s="1" t="str">
        <f>tbl_model[[#This Row],[ProductID]] &amp; "-" &amp; tbl_model[[#This Row],[LocationID]]</f>
        <v>468-1</v>
      </c>
    </row>
    <row r="441" spans="1:7">
      <c r="A441">
        <v>468</v>
      </c>
      <c r="B441">
        <v>6</v>
      </c>
      <c r="C441" t="str">
        <f>_xlfn.XLOOKUP(tbl_model[[#This Row],[ProductID]],tbl_product[ProductID],tbl_product[ProductName],"UNMAPPED_PRODUCT")</f>
        <v>Lock Washer 8</v>
      </c>
      <c r="D441" t="str">
        <f>_xlfn.XLOOKUP(tbl_model[[#This Row],[ProductID]],tbl_product[ProductID],tbl_product[ProductNumber],"UNMAPPED_PRODUCT")</f>
        <v>LW-3800</v>
      </c>
      <c r="E441" t="str">
        <f>_xlfn.XLOOKUP(tbl_model[[#This Row],[LocationID]],tbl_location[LocationID],tbl_location[LocationName],"UNMAPPED_LOCATION")</f>
        <v>Miscellaneous Storage</v>
      </c>
      <c r="F441">
        <v>574</v>
      </c>
      <c r="G441" s="1" t="str">
        <f>tbl_model[[#This Row],[ProductID]] &amp; "-" &amp; tbl_model[[#This Row],[LocationID]]</f>
        <v>468-6</v>
      </c>
    </row>
    <row r="442" spans="1:7">
      <c r="A442">
        <v>468</v>
      </c>
      <c r="B442">
        <v>50</v>
      </c>
      <c r="C442" t="str">
        <f>_xlfn.XLOOKUP(tbl_model[[#This Row],[ProductID]],tbl_product[ProductID],tbl_product[ProductName],"UNMAPPED_PRODUCT")</f>
        <v>Lock Washer 8</v>
      </c>
      <c r="D442" t="str">
        <f>_xlfn.XLOOKUP(tbl_model[[#This Row],[ProductID]],tbl_product[ProductID],tbl_product[ProductNumber],"UNMAPPED_PRODUCT")</f>
        <v>LW-3800</v>
      </c>
      <c r="E442" t="str">
        <f>_xlfn.XLOOKUP(tbl_model[[#This Row],[LocationID]],tbl_location[LocationID],tbl_location[LocationName],"UNMAPPED_LOCATION")</f>
        <v>Subassembly</v>
      </c>
      <c r="F442">
        <v>628</v>
      </c>
      <c r="G442" s="1" t="str">
        <f>tbl_model[[#This Row],[ProductID]] &amp; "-" &amp; tbl_model[[#This Row],[LocationID]]</f>
        <v>468-50</v>
      </c>
    </row>
    <row r="443" spans="1:7">
      <c r="A443">
        <v>469</v>
      </c>
      <c r="B443">
        <v>1</v>
      </c>
      <c r="C443" t="str">
        <f>_xlfn.XLOOKUP(tbl_model[[#This Row],[ProductID]],tbl_product[ProductID],tbl_product[ProductName],"UNMAPPED_PRODUCT")</f>
        <v>Lock Washer 1</v>
      </c>
      <c r="D443" t="str">
        <f>_xlfn.XLOOKUP(tbl_model[[#This Row],[ProductID]],tbl_product[ProductID],tbl_product[ProductNumber],"UNMAPPED_PRODUCT")</f>
        <v>LW-4000</v>
      </c>
      <c r="E443" t="str">
        <f>_xlfn.XLOOKUP(tbl_model[[#This Row],[LocationID]],tbl_location[LocationID],tbl_location[LocationName],"UNMAPPED_LOCATION")</f>
        <v>Tool Crib</v>
      </c>
      <c r="F443">
        <v>508</v>
      </c>
      <c r="G443" s="1" t="str">
        <f>tbl_model[[#This Row],[ProductID]] &amp; "-" &amp; tbl_model[[#This Row],[LocationID]]</f>
        <v>469-1</v>
      </c>
    </row>
    <row r="444" spans="1:7">
      <c r="A444">
        <v>469</v>
      </c>
      <c r="B444">
        <v>6</v>
      </c>
      <c r="C444" t="str">
        <f>_xlfn.XLOOKUP(tbl_model[[#This Row],[ProductID]],tbl_product[ProductID],tbl_product[ProductName],"UNMAPPED_PRODUCT")</f>
        <v>Lock Washer 1</v>
      </c>
      <c r="D444" t="str">
        <f>_xlfn.XLOOKUP(tbl_model[[#This Row],[ProductID]],tbl_product[ProductID],tbl_product[ProductNumber],"UNMAPPED_PRODUCT")</f>
        <v>LW-4000</v>
      </c>
      <c r="E444" t="str">
        <f>_xlfn.XLOOKUP(tbl_model[[#This Row],[LocationID]],tbl_location[LocationID],tbl_location[LocationName],"UNMAPPED_LOCATION")</f>
        <v>Miscellaneous Storage</v>
      </c>
      <c r="F444">
        <v>576</v>
      </c>
      <c r="G444" s="1" t="str">
        <f>tbl_model[[#This Row],[ProductID]] &amp; "-" &amp; tbl_model[[#This Row],[LocationID]]</f>
        <v>469-6</v>
      </c>
    </row>
    <row r="445" spans="1:7">
      <c r="A445">
        <v>469</v>
      </c>
      <c r="B445">
        <v>50</v>
      </c>
      <c r="C445" t="str">
        <f>_xlfn.XLOOKUP(tbl_model[[#This Row],[ProductID]],tbl_product[ProductID],tbl_product[ProductName],"UNMAPPED_PRODUCT")</f>
        <v>Lock Washer 1</v>
      </c>
      <c r="D445" t="str">
        <f>_xlfn.XLOOKUP(tbl_model[[#This Row],[ProductID]],tbl_product[ProductID],tbl_product[ProductNumber],"UNMAPPED_PRODUCT")</f>
        <v>LW-4000</v>
      </c>
      <c r="E445" t="str">
        <f>_xlfn.XLOOKUP(tbl_model[[#This Row],[LocationID]],tbl_location[LocationID],tbl_location[LocationName],"UNMAPPED_LOCATION")</f>
        <v>Subassembly</v>
      </c>
      <c r="F445">
        <v>630</v>
      </c>
      <c r="G445" s="1" t="str">
        <f>tbl_model[[#This Row],[ProductID]] &amp; "-" &amp; tbl_model[[#This Row],[LocationID]]</f>
        <v>469-50</v>
      </c>
    </row>
    <row r="446" spans="1:7">
      <c r="A446">
        <v>470</v>
      </c>
      <c r="B446">
        <v>1</v>
      </c>
      <c r="C446" t="str">
        <f>_xlfn.XLOOKUP(tbl_model[[#This Row],[ProductID]],tbl_product[ProductID],tbl_product[ProductName],"UNMAPPED_PRODUCT")</f>
        <v>Lock Washer 7</v>
      </c>
      <c r="D446" t="str">
        <f>_xlfn.XLOOKUP(tbl_model[[#This Row],[ProductID]],tbl_product[ProductID],tbl_product[ProductNumber],"UNMAPPED_PRODUCT")</f>
        <v>LW-5160</v>
      </c>
      <c r="E446" t="str">
        <f>_xlfn.XLOOKUP(tbl_model[[#This Row],[LocationID]],tbl_location[LocationID],tbl_location[LocationName],"UNMAPPED_LOCATION")</f>
        <v>Tool Crib</v>
      </c>
      <c r="F446">
        <v>510</v>
      </c>
      <c r="G446" s="1" t="str">
        <f>tbl_model[[#This Row],[ProductID]] &amp; "-" &amp; tbl_model[[#This Row],[LocationID]]</f>
        <v>470-1</v>
      </c>
    </row>
    <row r="447" spans="1:7">
      <c r="A447">
        <v>470</v>
      </c>
      <c r="B447">
        <v>6</v>
      </c>
      <c r="C447" t="str">
        <f>_xlfn.XLOOKUP(tbl_model[[#This Row],[ProductID]],tbl_product[ProductID],tbl_product[ProductName],"UNMAPPED_PRODUCT")</f>
        <v>Lock Washer 7</v>
      </c>
      <c r="D447" t="str">
        <f>_xlfn.XLOOKUP(tbl_model[[#This Row],[ProductID]],tbl_product[ProductID],tbl_product[ProductNumber],"UNMAPPED_PRODUCT")</f>
        <v>LW-5160</v>
      </c>
      <c r="E447" t="str">
        <f>_xlfn.XLOOKUP(tbl_model[[#This Row],[LocationID]],tbl_location[LocationID],tbl_location[LocationName],"UNMAPPED_LOCATION")</f>
        <v>Miscellaneous Storage</v>
      </c>
      <c r="F447">
        <v>577</v>
      </c>
      <c r="G447" s="1" t="str">
        <f>tbl_model[[#This Row],[ProductID]] &amp; "-" &amp; tbl_model[[#This Row],[LocationID]]</f>
        <v>470-6</v>
      </c>
    </row>
    <row r="448" spans="1:7">
      <c r="A448">
        <v>470</v>
      </c>
      <c r="B448">
        <v>50</v>
      </c>
      <c r="C448" t="str">
        <f>_xlfn.XLOOKUP(tbl_model[[#This Row],[ProductID]],tbl_product[ProductID],tbl_product[ProductName],"UNMAPPED_PRODUCT")</f>
        <v>Lock Washer 7</v>
      </c>
      <c r="D448" t="str">
        <f>_xlfn.XLOOKUP(tbl_model[[#This Row],[ProductID]],tbl_product[ProductID],tbl_product[ProductNumber],"UNMAPPED_PRODUCT")</f>
        <v>LW-5160</v>
      </c>
      <c r="E448" t="str">
        <f>_xlfn.XLOOKUP(tbl_model[[#This Row],[LocationID]],tbl_location[LocationID],tbl_location[LocationName],"UNMAPPED_LOCATION")</f>
        <v>Subassembly</v>
      </c>
      <c r="F448">
        <v>632</v>
      </c>
      <c r="G448" s="1" t="str">
        <f>tbl_model[[#This Row],[ProductID]] &amp; "-" &amp; tbl_model[[#This Row],[LocationID]]</f>
        <v>470-50</v>
      </c>
    </row>
    <row r="449" spans="1:7">
      <c r="A449">
        <v>471</v>
      </c>
      <c r="B449">
        <v>1</v>
      </c>
      <c r="C449" t="str">
        <f>_xlfn.XLOOKUP(tbl_model[[#This Row],[ProductID]],tbl_product[ProductID],tbl_product[ProductName],"UNMAPPED_PRODUCT")</f>
        <v>Lock Washer 12</v>
      </c>
      <c r="D449" t="str">
        <f>_xlfn.XLOOKUP(tbl_model[[#This Row],[ProductID]],tbl_product[ProductID],tbl_product[ProductNumber],"UNMAPPED_PRODUCT")</f>
        <v>LW-5800</v>
      </c>
      <c r="E449" t="str">
        <f>_xlfn.XLOOKUP(tbl_model[[#This Row],[LocationID]],tbl_location[LocationID],tbl_location[LocationName],"UNMAPPED_LOCATION")</f>
        <v>Tool Crib</v>
      </c>
      <c r="F449">
        <v>512</v>
      </c>
      <c r="G449" s="1" t="str">
        <f>tbl_model[[#This Row],[ProductID]] &amp; "-" &amp; tbl_model[[#This Row],[LocationID]]</f>
        <v>471-1</v>
      </c>
    </row>
    <row r="450" spans="1:7">
      <c r="A450">
        <v>471</v>
      </c>
      <c r="B450">
        <v>6</v>
      </c>
      <c r="C450" t="str">
        <f>_xlfn.XLOOKUP(tbl_model[[#This Row],[ProductID]],tbl_product[ProductID],tbl_product[ProductName],"UNMAPPED_PRODUCT")</f>
        <v>Lock Washer 12</v>
      </c>
      <c r="D450" t="str">
        <f>_xlfn.XLOOKUP(tbl_model[[#This Row],[ProductID]],tbl_product[ProductID],tbl_product[ProductNumber],"UNMAPPED_PRODUCT")</f>
        <v>LW-5800</v>
      </c>
      <c r="E450" t="str">
        <f>_xlfn.XLOOKUP(tbl_model[[#This Row],[LocationID]],tbl_location[LocationID],tbl_location[LocationName],"UNMAPPED_LOCATION")</f>
        <v>Miscellaneous Storage</v>
      </c>
      <c r="F450">
        <v>579</v>
      </c>
      <c r="G450" s="1" t="str">
        <f>tbl_model[[#This Row],[ProductID]] &amp; "-" &amp; tbl_model[[#This Row],[LocationID]]</f>
        <v>471-6</v>
      </c>
    </row>
    <row r="451" spans="1:7">
      <c r="A451">
        <v>471</v>
      </c>
      <c r="B451">
        <v>50</v>
      </c>
      <c r="C451" t="str">
        <f>_xlfn.XLOOKUP(tbl_model[[#This Row],[ProductID]],tbl_product[ProductID],tbl_product[ProductName],"UNMAPPED_PRODUCT")</f>
        <v>Lock Washer 12</v>
      </c>
      <c r="D451" t="str">
        <f>_xlfn.XLOOKUP(tbl_model[[#This Row],[ProductID]],tbl_product[ProductID],tbl_product[ProductNumber],"UNMAPPED_PRODUCT")</f>
        <v>LW-5800</v>
      </c>
      <c r="E451" t="str">
        <f>_xlfn.XLOOKUP(tbl_model[[#This Row],[LocationID]],tbl_location[LocationID],tbl_location[LocationName],"UNMAPPED_LOCATION")</f>
        <v>Subassembly</v>
      </c>
      <c r="F451">
        <v>633</v>
      </c>
      <c r="G451" s="1" t="str">
        <f>tbl_model[[#This Row],[ProductID]] &amp; "-" &amp; tbl_model[[#This Row],[LocationID]]</f>
        <v>471-50</v>
      </c>
    </row>
    <row r="452" spans="1:7">
      <c r="A452">
        <v>472</v>
      </c>
      <c r="B452">
        <v>1</v>
      </c>
      <c r="C452" t="str">
        <f>_xlfn.XLOOKUP(tbl_model[[#This Row],[ProductID]],tbl_product[ProductID],tbl_product[ProductName],"UNMAPPED_PRODUCT")</f>
        <v>Lock Washer 2</v>
      </c>
      <c r="D452" t="str">
        <f>_xlfn.XLOOKUP(tbl_model[[#This Row],[ProductID]],tbl_product[ProductID],tbl_product[ProductNumber],"UNMAPPED_PRODUCT")</f>
        <v>LW-6000</v>
      </c>
      <c r="E452" t="str">
        <f>_xlfn.XLOOKUP(tbl_model[[#This Row],[LocationID]],tbl_location[LocationID],tbl_location[LocationName],"UNMAPPED_LOCATION")</f>
        <v>Tool Crib</v>
      </c>
      <c r="F452">
        <v>513</v>
      </c>
      <c r="G452" s="1" t="str">
        <f>tbl_model[[#This Row],[ProductID]] &amp; "-" &amp; tbl_model[[#This Row],[LocationID]]</f>
        <v>472-1</v>
      </c>
    </row>
    <row r="453" spans="1:7">
      <c r="A453">
        <v>472</v>
      </c>
      <c r="B453">
        <v>6</v>
      </c>
      <c r="C453" t="str">
        <f>_xlfn.XLOOKUP(tbl_model[[#This Row],[ProductID]],tbl_product[ProductID],tbl_product[ProductName],"UNMAPPED_PRODUCT")</f>
        <v>Lock Washer 2</v>
      </c>
      <c r="D453" t="str">
        <f>_xlfn.XLOOKUP(tbl_model[[#This Row],[ProductID]],tbl_product[ProductID],tbl_product[ProductNumber],"UNMAPPED_PRODUCT")</f>
        <v>LW-6000</v>
      </c>
      <c r="E453" t="str">
        <f>_xlfn.XLOOKUP(tbl_model[[#This Row],[LocationID]],tbl_location[LocationID],tbl_location[LocationName],"UNMAPPED_LOCATION")</f>
        <v>Miscellaneous Storage</v>
      </c>
      <c r="F453">
        <v>580</v>
      </c>
      <c r="G453" s="1" t="str">
        <f>tbl_model[[#This Row],[ProductID]] &amp; "-" &amp; tbl_model[[#This Row],[LocationID]]</f>
        <v>472-6</v>
      </c>
    </row>
    <row r="454" spans="1:7">
      <c r="A454">
        <v>472</v>
      </c>
      <c r="B454">
        <v>50</v>
      </c>
      <c r="C454" t="str">
        <f>_xlfn.XLOOKUP(tbl_model[[#This Row],[ProductID]],tbl_product[ProductID],tbl_product[ProductName],"UNMAPPED_PRODUCT")</f>
        <v>Lock Washer 2</v>
      </c>
      <c r="D454" t="str">
        <f>_xlfn.XLOOKUP(tbl_model[[#This Row],[ProductID]],tbl_product[ProductID],tbl_product[ProductNumber],"UNMAPPED_PRODUCT")</f>
        <v>LW-6000</v>
      </c>
      <c r="E454" t="str">
        <f>_xlfn.XLOOKUP(tbl_model[[#This Row],[LocationID]],tbl_location[LocationID],tbl_location[LocationName],"UNMAPPED_LOCATION")</f>
        <v>Subassembly</v>
      </c>
      <c r="F454">
        <v>635</v>
      </c>
      <c r="G454" s="1" t="str">
        <f>tbl_model[[#This Row],[ProductID]] &amp; "-" &amp; tbl_model[[#This Row],[LocationID]]</f>
        <v>472-50</v>
      </c>
    </row>
    <row r="455" spans="1:7">
      <c r="A455">
        <v>473</v>
      </c>
      <c r="B455">
        <v>1</v>
      </c>
      <c r="C455" t="str">
        <f>_xlfn.XLOOKUP(tbl_model[[#This Row],[ProductID]],tbl_product[ProductID],tbl_product[ProductName],"UNMAPPED_PRODUCT")</f>
        <v>Lock Washer 9</v>
      </c>
      <c r="D455" t="str">
        <f>_xlfn.XLOOKUP(tbl_model[[#This Row],[ProductID]],tbl_product[ProductID],tbl_product[ProductNumber],"UNMAPPED_PRODUCT")</f>
        <v>LW-7160</v>
      </c>
      <c r="E455" t="str">
        <f>_xlfn.XLOOKUP(tbl_model[[#This Row],[LocationID]],tbl_location[LocationID],tbl_location[LocationName],"UNMAPPED_LOCATION")</f>
        <v>Tool Crib</v>
      </c>
      <c r="F455">
        <v>515</v>
      </c>
      <c r="G455" s="1" t="str">
        <f>tbl_model[[#This Row],[ProductID]] &amp; "-" &amp; tbl_model[[#This Row],[LocationID]]</f>
        <v>473-1</v>
      </c>
    </row>
    <row r="456" spans="1:7">
      <c r="A456">
        <v>473</v>
      </c>
      <c r="B456">
        <v>6</v>
      </c>
      <c r="C456" t="str">
        <f>_xlfn.XLOOKUP(tbl_model[[#This Row],[ProductID]],tbl_product[ProductID],tbl_product[ProductName],"UNMAPPED_PRODUCT")</f>
        <v>Lock Washer 9</v>
      </c>
      <c r="D456" t="str">
        <f>_xlfn.XLOOKUP(tbl_model[[#This Row],[ProductID]],tbl_product[ProductID],tbl_product[ProductNumber],"UNMAPPED_PRODUCT")</f>
        <v>LW-7160</v>
      </c>
      <c r="E456" t="str">
        <f>_xlfn.XLOOKUP(tbl_model[[#This Row],[LocationID]],tbl_location[LocationID],tbl_location[LocationName],"UNMAPPED_LOCATION")</f>
        <v>Miscellaneous Storage</v>
      </c>
      <c r="F456">
        <v>582</v>
      </c>
      <c r="G456" s="1" t="str">
        <f>tbl_model[[#This Row],[ProductID]] &amp; "-" &amp; tbl_model[[#This Row],[LocationID]]</f>
        <v>473-6</v>
      </c>
    </row>
    <row r="457" spans="1:7">
      <c r="A457">
        <v>473</v>
      </c>
      <c r="B457">
        <v>50</v>
      </c>
      <c r="C457" t="str">
        <f>_xlfn.XLOOKUP(tbl_model[[#This Row],[ProductID]],tbl_product[ProductID],tbl_product[ProductName],"UNMAPPED_PRODUCT")</f>
        <v>Lock Washer 9</v>
      </c>
      <c r="D457" t="str">
        <f>_xlfn.XLOOKUP(tbl_model[[#This Row],[ProductID]],tbl_product[ProductID],tbl_product[ProductNumber],"UNMAPPED_PRODUCT")</f>
        <v>LW-7160</v>
      </c>
      <c r="E457" t="str">
        <f>_xlfn.XLOOKUP(tbl_model[[#This Row],[LocationID]],tbl_location[LocationID],tbl_location[LocationName],"UNMAPPED_LOCATION")</f>
        <v>Subassembly</v>
      </c>
      <c r="F457">
        <v>636</v>
      </c>
      <c r="G457" s="1" t="str">
        <f>tbl_model[[#This Row],[ProductID]] &amp; "-" &amp; tbl_model[[#This Row],[LocationID]]</f>
        <v>473-50</v>
      </c>
    </row>
    <row r="458" spans="1:7">
      <c r="A458">
        <v>474</v>
      </c>
      <c r="B458">
        <v>1</v>
      </c>
      <c r="C458" t="str">
        <f>_xlfn.XLOOKUP(tbl_model[[#This Row],[ProductID]],tbl_product[ProductID],tbl_product[ProductName],"UNMAPPED_PRODUCT")</f>
        <v>Lock Washer 3</v>
      </c>
      <c r="D458" t="str">
        <f>_xlfn.XLOOKUP(tbl_model[[#This Row],[ProductID]],tbl_product[ProductID],tbl_product[ProductNumber],"UNMAPPED_PRODUCT")</f>
        <v>LW-8000</v>
      </c>
      <c r="E458" t="str">
        <f>_xlfn.XLOOKUP(tbl_model[[#This Row],[LocationID]],tbl_location[LocationID],tbl_location[LocationName],"UNMAPPED_LOCATION")</f>
        <v>Tool Crib</v>
      </c>
      <c r="F458">
        <v>516</v>
      </c>
      <c r="G458" s="1" t="str">
        <f>tbl_model[[#This Row],[ProductID]] &amp; "-" &amp; tbl_model[[#This Row],[LocationID]]</f>
        <v>474-1</v>
      </c>
    </row>
    <row r="459" spans="1:7">
      <c r="A459">
        <v>474</v>
      </c>
      <c r="B459">
        <v>6</v>
      </c>
      <c r="C459" t="str">
        <f>_xlfn.XLOOKUP(tbl_model[[#This Row],[ProductID]],tbl_product[ProductID],tbl_product[ProductName],"UNMAPPED_PRODUCT")</f>
        <v>Lock Washer 3</v>
      </c>
      <c r="D459" t="str">
        <f>_xlfn.XLOOKUP(tbl_model[[#This Row],[ProductID]],tbl_product[ProductID],tbl_product[ProductNumber],"UNMAPPED_PRODUCT")</f>
        <v>LW-8000</v>
      </c>
      <c r="E459" t="str">
        <f>_xlfn.XLOOKUP(tbl_model[[#This Row],[LocationID]],tbl_location[LocationID],tbl_location[LocationName],"UNMAPPED_LOCATION")</f>
        <v>Miscellaneous Storage</v>
      </c>
      <c r="F459">
        <v>584</v>
      </c>
      <c r="G459" s="1" t="str">
        <f>tbl_model[[#This Row],[ProductID]] &amp; "-" &amp; tbl_model[[#This Row],[LocationID]]</f>
        <v>474-6</v>
      </c>
    </row>
    <row r="460" spans="1:7">
      <c r="A460">
        <v>474</v>
      </c>
      <c r="B460">
        <v>50</v>
      </c>
      <c r="C460" t="str">
        <f>_xlfn.XLOOKUP(tbl_model[[#This Row],[ProductID]],tbl_product[ProductID],tbl_product[ProductName],"UNMAPPED_PRODUCT")</f>
        <v>Lock Washer 3</v>
      </c>
      <c r="D460" t="str">
        <f>_xlfn.XLOOKUP(tbl_model[[#This Row],[ProductID]],tbl_product[ProductID],tbl_product[ProductNumber],"UNMAPPED_PRODUCT")</f>
        <v>LW-8000</v>
      </c>
      <c r="E460" t="str">
        <f>_xlfn.XLOOKUP(tbl_model[[#This Row],[LocationID]],tbl_location[LocationID],tbl_location[LocationName],"UNMAPPED_LOCATION")</f>
        <v>Subassembly</v>
      </c>
      <c r="F460">
        <v>638</v>
      </c>
      <c r="G460" s="1" t="str">
        <f>tbl_model[[#This Row],[ProductID]] &amp; "-" &amp; tbl_model[[#This Row],[LocationID]]</f>
        <v>474-50</v>
      </c>
    </row>
    <row r="461" spans="1:7">
      <c r="A461">
        <v>475</v>
      </c>
      <c r="B461">
        <v>1</v>
      </c>
      <c r="C461" t="str">
        <f>_xlfn.XLOOKUP(tbl_model[[#This Row],[ProductID]],tbl_product[ProductID],tbl_product[ProductName],"UNMAPPED_PRODUCT")</f>
        <v>Lock Washer 11</v>
      </c>
      <c r="D461" t="str">
        <f>_xlfn.XLOOKUP(tbl_model[[#This Row],[ProductID]],tbl_product[ProductID],tbl_product[ProductNumber],"UNMAPPED_PRODUCT")</f>
        <v>LW-9160</v>
      </c>
      <c r="E461" t="str">
        <f>_xlfn.XLOOKUP(tbl_model[[#This Row],[LocationID]],tbl_location[LocationID],tbl_location[LocationName],"UNMAPPED_LOCATION")</f>
        <v>Tool Crib</v>
      </c>
      <c r="F461">
        <v>518</v>
      </c>
      <c r="G461" s="1" t="str">
        <f>tbl_model[[#This Row],[ProductID]] &amp; "-" &amp; tbl_model[[#This Row],[LocationID]]</f>
        <v>475-1</v>
      </c>
    </row>
    <row r="462" spans="1:7">
      <c r="A462">
        <v>475</v>
      </c>
      <c r="B462">
        <v>6</v>
      </c>
      <c r="C462" t="str">
        <f>_xlfn.XLOOKUP(tbl_model[[#This Row],[ProductID]],tbl_product[ProductID],tbl_product[ProductName],"UNMAPPED_PRODUCT")</f>
        <v>Lock Washer 11</v>
      </c>
      <c r="D462" t="str">
        <f>_xlfn.XLOOKUP(tbl_model[[#This Row],[ProductID]],tbl_product[ProductID],tbl_product[ProductNumber],"UNMAPPED_PRODUCT")</f>
        <v>LW-9160</v>
      </c>
      <c r="E462" t="str">
        <f>_xlfn.XLOOKUP(tbl_model[[#This Row],[LocationID]],tbl_location[LocationID],tbl_location[LocationName],"UNMAPPED_LOCATION")</f>
        <v>Miscellaneous Storage</v>
      </c>
      <c r="F462">
        <v>585</v>
      </c>
      <c r="G462" s="1" t="str">
        <f>tbl_model[[#This Row],[ProductID]] &amp; "-" &amp; tbl_model[[#This Row],[LocationID]]</f>
        <v>475-6</v>
      </c>
    </row>
    <row r="463" spans="1:7">
      <c r="A463">
        <v>475</v>
      </c>
      <c r="B463">
        <v>50</v>
      </c>
      <c r="C463" t="str">
        <f>_xlfn.XLOOKUP(tbl_model[[#This Row],[ProductID]],tbl_product[ProductID],tbl_product[ProductName],"UNMAPPED_PRODUCT")</f>
        <v>Lock Washer 11</v>
      </c>
      <c r="D463" t="str">
        <f>_xlfn.XLOOKUP(tbl_model[[#This Row],[ProductID]],tbl_product[ProductID],tbl_product[ProductNumber],"UNMAPPED_PRODUCT")</f>
        <v>LW-9160</v>
      </c>
      <c r="E463" t="str">
        <f>_xlfn.XLOOKUP(tbl_model[[#This Row],[LocationID]],tbl_location[LocationID],tbl_location[LocationName],"UNMAPPED_LOCATION")</f>
        <v>Subassembly</v>
      </c>
      <c r="F463">
        <v>640</v>
      </c>
      <c r="G463" s="1" t="str">
        <f>tbl_model[[#This Row],[ProductID]] &amp; "-" &amp; tbl_model[[#This Row],[LocationID]]</f>
        <v>475-50</v>
      </c>
    </row>
    <row r="464" spans="1:7">
      <c r="A464">
        <v>476</v>
      </c>
      <c r="B464">
        <v>5</v>
      </c>
      <c r="C464" t="str">
        <f>_xlfn.XLOOKUP(tbl_model[[#This Row],[ProductID]],tbl_product[ProductID],tbl_product[ProductName],"UNMAPPED_PRODUCT")</f>
        <v>Metal Angle</v>
      </c>
      <c r="D464" t="str">
        <f>_xlfn.XLOOKUP(tbl_model[[#This Row],[ProductID]],tbl_product[ProductID],tbl_product[ProductNumber],"UNMAPPED_PRODUCT")</f>
        <v>MA-7075</v>
      </c>
      <c r="E464" t="str">
        <f>_xlfn.XLOOKUP(tbl_model[[#This Row],[LocationID]],tbl_location[LocationID],tbl_location[LocationName],"UNMAPPED_LOCATION")</f>
        <v>Metal Storage</v>
      </c>
      <c r="F464">
        <v>324</v>
      </c>
      <c r="G464" s="1" t="str">
        <f>tbl_model[[#This Row],[ProductID]] &amp; "-" &amp; tbl_model[[#This Row],[LocationID]]</f>
        <v>476-5</v>
      </c>
    </row>
    <row r="465" spans="1:7">
      <c r="A465">
        <v>476</v>
      </c>
      <c r="B465">
        <v>10</v>
      </c>
      <c r="C465" t="str">
        <f>_xlfn.XLOOKUP(tbl_model[[#This Row],[ProductID]],tbl_product[ProductID],tbl_product[ProductName],"UNMAPPED_PRODUCT")</f>
        <v>Metal Angle</v>
      </c>
      <c r="D465" t="str">
        <f>_xlfn.XLOOKUP(tbl_model[[#This Row],[ProductID]],tbl_product[ProductID],tbl_product[ProductNumber],"UNMAPPED_PRODUCT")</f>
        <v>MA-7075</v>
      </c>
      <c r="E465" t="str">
        <f>_xlfn.XLOOKUP(tbl_model[[#This Row],[LocationID]],tbl_location[LocationID],tbl_location[LocationName],"UNMAPPED_LOCATION")</f>
        <v>Frame Forming</v>
      </c>
      <c r="F465">
        <v>404</v>
      </c>
      <c r="G465" s="1" t="str">
        <f>tbl_model[[#This Row],[ProductID]] &amp; "-" &amp; tbl_model[[#This Row],[LocationID]]</f>
        <v>476-10</v>
      </c>
    </row>
    <row r="466" spans="1:7">
      <c r="A466">
        <v>476</v>
      </c>
      <c r="B466">
        <v>20</v>
      </c>
      <c r="C466" t="str">
        <f>_xlfn.XLOOKUP(tbl_model[[#This Row],[ProductID]],tbl_product[ProductID],tbl_product[ProductName],"UNMAPPED_PRODUCT")</f>
        <v>Metal Angle</v>
      </c>
      <c r="D466" t="str">
        <f>_xlfn.XLOOKUP(tbl_model[[#This Row],[ProductID]],tbl_product[ProductID],tbl_product[ProductNumber],"UNMAPPED_PRODUCT")</f>
        <v>MA-7075</v>
      </c>
      <c r="E466" t="str">
        <f>_xlfn.XLOOKUP(tbl_model[[#This Row],[LocationID]],tbl_location[LocationID],tbl_location[LocationName],"UNMAPPED_LOCATION")</f>
        <v>Frame Welding</v>
      </c>
      <c r="F466">
        <v>355</v>
      </c>
      <c r="G466" s="1" t="str">
        <f>tbl_model[[#This Row],[ProductID]] &amp; "-" &amp; tbl_model[[#This Row],[LocationID]]</f>
        <v>476-20</v>
      </c>
    </row>
    <row r="467" spans="1:7">
      <c r="A467">
        <v>477</v>
      </c>
      <c r="B467">
        <v>2</v>
      </c>
      <c r="C467" t="str">
        <f>_xlfn.XLOOKUP(tbl_model[[#This Row],[ProductID]],tbl_product[ProductID],tbl_product[ProductName],"UNMAPPED_PRODUCT")</f>
        <v>Metal Bar 1</v>
      </c>
      <c r="D467" t="str">
        <f>_xlfn.XLOOKUP(tbl_model[[#This Row],[ProductID]],tbl_product[ProductID],tbl_product[ProductNumber],"UNMAPPED_PRODUCT")</f>
        <v>MB-2024</v>
      </c>
      <c r="E467" t="str">
        <f>_xlfn.XLOOKUP(tbl_model[[#This Row],[LocationID]],tbl_location[LocationID],tbl_location[LocationName],"UNMAPPED_LOCATION")</f>
        <v>Sheet Metal Racks</v>
      </c>
      <c r="F467">
        <v>403</v>
      </c>
      <c r="G467" s="1" t="str">
        <f>tbl_model[[#This Row],[ProductID]] &amp; "-" &amp; tbl_model[[#This Row],[LocationID]]</f>
        <v>477-2</v>
      </c>
    </row>
    <row r="468" spans="1:7">
      <c r="A468">
        <v>477</v>
      </c>
      <c r="B468">
        <v>5</v>
      </c>
      <c r="C468" t="str">
        <f>_xlfn.XLOOKUP(tbl_model[[#This Row],[ProductID]],tbl_product[ProductID],tbl_product[ProductName],"UNMAPPED_PRODUCT")</f>
        <v>Metal Bar 1</v>
      </c>
      <c r="D468" t="str">
        <f>_xlfn.XLOOKUP(tbl_model[[#This Row],[ProductID]],tbl_product[ProductID],tbl_product[ProductNumber],"UNMAPPED_PRODUCT")</f>
        <v>MB-2024</v>
      </c>
      <c r="E468" t="str">
        <f>_xlfn.XLOOKUP(tbl_model[[#This Row],[LocationID]],tbl_location[LocationID],tbl_location[LocationName],"UNMAPPED_LOCATION")</f>
        <v>Metal Storage</v>
      </c>
      <c r="F468">
        <v>323</v>
      </c>
      <c r="G468" s="1" t="str">
        <f>tbl_model[[#This Row],[ProductID]] &amp; "-" &amp; tbl_model[[#This Row],[LocationID]]</f>
        <v>477-5</v>
      </c>
    </row>
    <row r="469" spans="1:7">
      <c r="A469">
        <v>477</v>
      </c>
      <c r="B469">
        <v>10</v>
      </c>
      <c r="C469" t="str">
        <f>_xlfn.XLOOKUP(tbl_model[[#This Row],[ProductID]],tbl_product[ProductID],tbl_product[ProductName],"UNMAPPED_PRODUCT")</f>
        <v>Metal Bar 1</v>
      </c>
      <c r="D469" t="str">
        <f>_xlfn.XLOOKUP(tbl_model[[#This Row],[ProductID]],tbl_product[ProductID],tbl_product[ProductNumber],"UNMAPPED_PRODUCT")</f>
        <v>MB-2024</v>
      </c>
      <c r="E469" t="str">
        <f>_xlfn.XLOOKUP(tbl_model[[#This Row],[LocationID]],tbl_location[LocationID],tbl_location[LocationName],"UNMAPPED_LOCATION")</f>
        <v>Frame Forming</v>
      </c>
      <c r="F469">
        <v>353</v>
      </c>
      <c r="G469" s="1" t="str">
        <f>tbl_model[[#This Row],[ProductID]] &amp; "-" &amp; tbl_model[[#This Row],[LocationID]]</f>
        <v>477-10</v>
      </c>
    </row>
    <row r="470" spans="1:7">
      <c r="A470">
        <v>478</v>
      </c>
      <c r="B470">
        <v>2</v>
      </c>
      <c r="C470" t="str">
        <f>_xlfn.XLOOKUP(tbl_model[[#This Row],[ProductID]],tbl_product[ProductID],tbl_product[ProductName],"UNMAPPED_PRODUCT")</f>
        <v>Metal Bar 2</v>
      </c>
      <c r="D470" t="str">
        <f>_xlfn.XLOOKUP(tbl_model[[#This Row],[ProductID]],tbl_product[ProductID],tbl_product[ProductNumber],"UNMAPPED_PRODUCT")</f>
        <v>MB-6061</v>
      </c>
      <c r="E470" t="str">
        <f>_xlfn.XLOOKUP(tbl_model[[#This Row],[LocationID]],tbl_location[LocationID],tbl_location[LocationName],"UNMAPPED_LOCATION")</f>
        <v>Sheet Metal Racks</v>
      </c>
      <c r="F470">
        <v>497</v>
      </c>
      <c r="G470" s="1" t="str">
        <f>tbl_model[[#This Row],[ProductID]] &amp; "-" &amp; tbl_model[[#This Row],[LocationID]]</f>
        <v>478-2</v>
      </c>
    </row>
    <row r="471" spans="1:7">
      <c r="A471">
        <v>478</v>
      </c>
      <c r="B471">
        <v>5</v>
      </c>
      <c r="C471" t="str">
        <f>_xlfn.XLOOKUP(tbl_model[[#This Row],[ProductID]],tbl_product[ProductID],tbl_product[ProductName],"UNMAPPED_PRODUCT")</f>
        <v>Metal Bar 2</v>
      </c>
      <c r="D471" t="str">
        <f>_xlfn.XLOOKUP(tbl_model[[#This Row],[ProductID]],tbl_product[ProductID],tbl_product[ProductNumber],"UNMAPPED_PRODUCT")</f>
        <v>MB-6061</v>
      </c>
      <c r="E471" t="str">
        <f>_xlfn.XLOOKUP(tbl_model[[#This Row],[LocationID]],tbl_location[LocationID],tbl_location[LocationName],"UNMAPPED_LOCATION")</f>
        <v>Metal Storage</v>
      </c>
      <c r="F471">
        <v>568</v>
      </c>
      <c r="G471" s="1" t="str">
        <f>tbl_model[[#This Row],[ProductID]] &amp; "-" &amp; tbl_model[[#This Row],[LocationID]]</f>
        <v>478-5</v>
      </c>
    </row>
    <row r="472" spans="1:7">
      <c r="A472">
        <v>478</v>
      </c>
      <c r="B472">
        <v>10</v>
      </c>
      <c r="C472" t="str">
        <f>_xlfn.XLOOKUP(tbl_model[[#This Row],[ProductID]],tbl_product[ProductID],tbl_product[ProductName],"UNMAPPED_PRODUCT")</f>
        <v>Metal Bar 2</v>
      </c>
      <c r="D472" t="str">
        <f>_xlfn.XLOOKUP(tbl_model[[#This Row],[ProductID]],tbl_product[ProductID],tbl_product[ProductNumber],"UNMAPPED_PRODUCT")</f>
        <v>MB-6061</v>
      </c>
      <c r="E472" t="str">
        <f>_xlfn.XLOOKUP(tbl_model[[#This Row],[LocationID]],tbl_location[LocationID],tbl_location[LocationName],"UNMAPPED_LOCATION")</f>
        <v>Frame Forming</v>
      </c>
      <c r="F472">
        <v>622</v>
      </c>
      <c r="G472" s="1" t="str">
        <f>tbl_model[[#This Row],[ProductID]] &amp; "-" &amp; tbl_model[[#This Row],[LocationID]]</f>
        <v>478-10</v>
      </c>
    </row>
    <row r="473" spans="1:7">
      <c r="A473">
        <v>479</v>
      </c>
      <c r="B473">
        <v>2</v>
      </c>
      <c r="C473" t="str">
        <f>_xlfn.XLOOKUP(tbl_model[[#This Row],[ProductID]],tbl_product[ProductID],tbl_product[ProductName],"UNMAPPED_PRODUCT")</f>
        <v>Metal Plate 2</v>
      </c>
      <c r="D473" t="str">
        <f>_xlfn.XLOOKUP(tbl_model[[#This Row],[ProductID]],tbl_product[ProductID],tbl_product[ProductNumber],"UNMAPPED_PRODUCT")</f>
        <v>MP-2066</v>
      </c>
      <c r="E473" t="str">
        <f>_xlfn.XLOOKUP(tbl_model[[#This Row],[LocationID]],tbl_location[LocationID],tbl_location[LocationName],"UNMAPPED_LOCATION")</f>
        <v>Sheet Metal Racks</v>
      </c>
      <c r="F473">
        <v>441</v>
      </c>
      <c r="G473" s="1" t="str">
        <f>tbl_model[[#This Row],[ProductID]] &amp; "-" &amp; tbl_model[[#This Row],[LocationID]]</f>
        <v>479-2</v>
      </c>
    </row>
    <row r="474" spans="1:7">
      <c r="A474">
        <v>479</v>
      </c>
      <c r="B474">
        <v>5</v>
      </c>
      <c r="C474" t="str">
        <f>_xlfn.XLOOKUP(tbl_model[[#This Row],[ProductID]],tbl_product[ProductID],tbl_product[ProductName],"UNMAPPED_PRODUCT")</f>
        <v>Metal Plate 2</v>
      </c>
      <c r="D474" t="str">
        <f>_xlfn.XLOOKUP(tbl_model[[#This Row],[ProductID]],tbl_product[ProductID],tbl_product[ProductNumber],"UNMAPPED_PRODUCT")</f>
        <v>MP-2066</v>
      </c>
      <c r="E474" t="str">
        <f>_xlfn.XLOOKUP(tbl_model[[#This Row],[LocationID]],tbl_location[LocationID],tbl_location[LocationName],"UNMAPPED_LOCATION")</f>
        <v>Metal Storage</v>
      </c>
      <c r="F474">
        <v>390</v>
      </c>
      <c r="G474" s="1" t="str">
        <f>tbl_model[[#This Row],[ProductID]] &amp; "-" &amp; tbl_model[[#This Row],[LocationID]]</f>
        <v>479-5</v>
      </c>
    </row>
    <row r="475" spans="1:7">
      <c r="A475">
        <v>479</v>
      </c>
      <c r="B475">
        <v>10</v>
      </c>
      <c r="C475" t="str">
        <f>_xlfn.XLOOKUP(tbl_model[[#This Row],[ProductID]],tbl_product[ProductID],tbl_product[ProductName],"UNMAPPED_PRODUCT")</f>
        <v>Metal Plate 2</v>
      </c>
      <c r="D475" t="str">
        <f>_xlfn.XLOOKUP(tbl_model[[#This Row],[ProductID]],tbl_product[ProductID],tbl_product[ProductNumber],"UNMAPPED_PRODUCT")</f>
        <v>MP-2066</v>
      </c>
      <c r="E475" t="str">
        <f>_xlfn.XLOOKUP(tbl_model[[#This Row],[LocationID]],tbl_location[LocationID],tbl_location[LocationName],"UNMAPPED_LOCATION")</f>
        <v>Frame Forming</v>
      </c>
      <c r="F475">
        <v>198</v>
      </c>
      <c r="G475" s="1" t="str">
        <f>tbl_model[[#This Row],[ProductID]] &amp; "-" &amp; tbl_model[[#This Row],[LocationID]]</f>
        <v>479-10</v>
      </c>
    </row>
    <row r="476" spans="1:7">
      <c r="A476">
        <v>480</v>
      </c>
      <c r="B476">
        <v>2</v>
      </c>
      <c r="C476" t="str">
        <f>_xlfn.XLOOKUP(tbl_model[[#This Row],[ProductID]],tbl_product[ProductID],tbl_product[ProductName],"UNMAPPED_PRODUCT")</f>
        <v>Metal Plate 1</v>
      </c>
      <c r="D476" t="str">
        <f>_xlfn.XLOOKUP(tbl_model[[#This Row],[ProductID]],tbl_product[ProductID],tbl_product[ProductNumber],"UNMAPPED_PRODUCT")</f>
        <v>MP-2503</v>
      </c>
      <c r="E476" t="str">
        <f>_xlfn.XLOOKUP(tbl_model[[#This Row],[LocationID]],tbl_location[LocationID],tbl_location[LocationName],"UNMAPPED_LOCATION")</f>
        <v>Sheet Metal Racks</v>
      </c>
      <c r="F476">
        <v>689</v>
      </c>
      <c r="G476" s="1" t="str">
        <f>tbl_model[[#This Row],[ProductID]] &amp; "-" &amp; tbl_model[[#This Row],[LocationID]]</f>
        <v>480-2</v>
      </c>
    </row>
    <row r="477" spans="1:7">
      <c r="A477">
        <v>480</v>
      </c>
      <c r="B477">
        <v>5</v>
      </c>
      <c r="C477" t="str">
        <f>_xlfn.XLOOKUP(tbl_model[[#This Row],[ProductID]],tbl_product[ProductID],tbl_product[ProductName],"UNMAPPED_PRODUCT")</f>
        <v>Metal Plate 1</v>
      </c>
      <c r="D477" t="str">
        <f>_xlfn.XLOOKUP(tbl_model[[#This Row],[ProductID]],tbl_product[ProductID],tbl_product[ProductNumber],"UNMAPPED_PRODUCT")</f>
        <v>MP-2503</v>
      </c>
      <c r="E477" t="str">
        <f>_xlfn.XLOOKUP(tbl_model[[#This Row],[LocationID]],tbl_location[LocationID],tbl_location[LocationName],"UNMAPPED_LOCATION")</f>
        <v>Metal Storage</v>
      </c>
      <c r="F477">
        <v>515</v>
      </c>
      <c r="G477" s="1" t="str">
        <f>tbl_model[[#This Row],[ProductID]] &amp; "-" &amp; tbl_model[[#This Row],[LocationID]]</f>
        <v>480-5</v>
      </c>
    </row>
    <row r="478" spans="1:7">
      <c r="A478">
        <v>480</v>
      </c>
      <c r="B478">
        <v>10</v>
      </c>
      <c r="C478" t="str">
        <f>_xlfn.XLOOKUP(tbl_model[[#This Row],[ProductID]],tbl_product[ProductID],tbl_product[ProductName],"UNMAPPED_PRODUCT")</f>
        <v>Metal Plate 1</v>
      </c>
      <c r="D478" t="str">
        <f>_xlfn.XLOOKUP(tbl_model[[#This Row],[ProductID]],tbl_product[ProductID],tbl_product[ProductNumber],"UNMAPPED_PRODUCT")</f>
        <v>MP-2503</v>
      </c>
      <c r="E478" t="str">
        <f>_xlfn.XLOOKUP(tbl_model[[#This Row],[LocationID]],tbl_location[LocationID],tbl_location[LocationName],"UNMAPPED_LOCATION")</f>
        <v>Frame Forming</v>
      </c>
      <c r="F478">
        <v>457</v>
      </c>
      <c r="G478" s="1" t="str">
        <f>tbl_model[[#This Row],[ProductID]] &amp; "-" &amp; tbl_model[[#This Row],[LocationID]]</f>
        <v>480-10</v>
      </c>
    </row>
    <row r="479" spans="1:7">
      <c r="A479">
        <v>481</v>
      </c>
      <c r="B479">
        <v>2</v>
      </c>
      <c r="C479" t="str">
        <f>_xlfn.XLOOKUP(tbl_model[[#This Row],[ProductID]],tbl_product[ProductID],tbl_product[ProductName],"UNMAPPED_PRODUCT")</f>
        <v>Metal Plate 3</v>
      </c>
      <c r="D479" t="str">
        <f>_xlfn.XLOOKUP(tbl_model[[#This Row],[ProductID]],tbl_product[ProductID],tbl_product[ProductNumber],"UNMAPPED_PRODUCT")</f>
        <v>MP-4960</v>
      </c>
      <c r="E479" t="str">
        <f>_xlfn.XLOOKUP(tbl_model[[#This Row],[LocationID]],tbl_location[LocationID],tbl_location[LocationName],"UNMAPPED_LOCATION")</f>
        <v>Sheet Metal Racks</v>
      </c>
      <c r="F479">
        <v>427</v>
      </c>
      <c r="G479" s="1" t="str">
        <f>tbl_model[[#This Row],[ProductID]] &amp; "-" &amp; tbl_model[[#This Row],[LocationID]]</f>
        <v>481-2</v>
      </c>
    </row>
    <row r="480" spans="1:7">
      <c r="A480">
        <v>481</v>
      </c>
      <c r="B480">
        <v>5</v>
      </c>
      <c r="C480" t="str">
        <f>_xlfn.XLOOKUP(tbl_model[[#This Row],[ProductID]],tbl_product[ProductID],tbl_product[ProductName],"UNMAPPED_PRODUCT")</f>
        <v>Metal Plate 3</v>
      </c>
      <c r="D480" t="str">
        <f>_xlfn.XLOOKUP(tbl_model[[#This Row],[ProductID]],tbl_product[ProductID],tbl_product[ProductNumber],"UNMAPPED_PRODUCT")</f>
        <v>MP-4960</v>
      </c>
      <c r="E480" t="str">
        <f>_xlfn.XLOOKUP(tbl_model[[#This Row],[LocationID]],tbl_location[LocationID],tbl_location[LocationName],"UNMAPPED_LOCATION")</f>
        <v>Metal Storage</v>
      </c>
      <c r="F480">
        <v>374</v>
      </c>
      <c r="G480" s="1" t="str">
        <f>tbl_model[[#This Row],[ProductID]] &amp; "-" &amp; tbl_model[[#This Row],[LocationID]]</f>
        <v>481-5</v>
      </c>
    </row>
    <row r="481" spans="1:7">
      <c r="A481">
        <v>481</v>
      </c>
      <c r="B481">
        <v>10</v>
      </c>
      <c r="C481" t="str">
        <f>_xlfn.XLOOKUP(tbl_model[[#This Row],[ProductID]],tbl_product[ProductID],tbl_product[ProductName],"UNMAPPED_PRODUCT")</f>
        <v>Metal Plate 3</v>
      </c>
      <c r="D481" t="str">
        <f>_xlfn.XLOOKUP(tbl_model[[#This Row],[ProductID]],tbl_product[ProductID],tbl_product[ProductNumber],"UNMAPPED_PRODUCT")</f>
        <v>MP-4960</v>
      </c>
      <c r="E481" t="str">
        <f>_xlfn.XLOOKUP(tbl_model[[#This Row],[LocationID]],tbl_location[LocationID],tbl_location[LocationName],"UNMAPPED_LOCATION")</f>
        <v>Frame Forming</v>
      </c>
      <c r="F481">
        <v>196</v>
      </c>
      <c r="G481" s="1" t="str">
        <f>tbl_model[[#This Row],[ProductID]] &amp; "-" &amp; tbl_model[[#This Row],[LocationID]]</f>
        <v>481-10</v>
      </c>
    </row>
    <row r="482" spans="1:7">
      <c r="A482">
        <v>482</v>
      </c>
      <c r="B482">
        <v>2</v>
      </c>
      <c r="C482" t="str">
        <f>_xlfn.XLOOKUP(tbl_model[[#This Row],[ProductID]],tbl_product[ProductID],tbl_product[ProductName],"UNMAPPED_PRODUCT")</f>
        <v>Metal Sheet 2</v>
      </c>
      <c r="D482" t="str">
        <f>_xlfn.XLOOKUP(tbl_model[[#This Row],[ProductID]],tbl_product[ProductID],tbl_product[ProductNumber],"UNMAPPED_PRODUCT")</f>
        <v>MS-0253</v>
      </c>
      <c r="E482" t="str">
        <f>_xlfn.XLOOKUP(tbl_model[[#This Row],[LocationID]],tbl_location[LocationID],tbl_location[LocationName],"UNMAPPED_LOCATION")</f>
        <v>Sheet Metal Racks</v>
      </c>
      <c r="F482">
        <v>321</v>
      </c>
      <c r="G482" s="1" t="str">
        <f>tbl_model[[#This Row],[ProductID]] &amp; "-" &amp; tbl_model[[#This Row],[LocationID]]</f>
        <v>482-2</v>
      </c>
    </row>
    <row r="483" spans="1:7">
      <c r="A483">
        <v>482</v>
      </c>
      <c r="B483">
        <v>5</v>
      </c>
      <c r="C483" t="str">
        <f>_xlfn.XLOOKUP(tbl_model[[#This Row],[ProductID]],tbl_product[ProductID],tbl_product[ProductName],"UNMAPPED_PRODUCT")</f>
        <v>Metal Sheet 2</v>
      </c>
      <c r="D483" t="str">
        <f>_xlfn.XLOOKUP(tbl_model[[#This Row],[ProductID]],tbl_product[ProductID],tbl_product[ProductNumber],"UNMAPPED_PRODUCT")</f>
        <v>MS-0253</v>
      </c>
      <c r="E483" t="str">
        <f>_xlfn.XLOOKUP(tbl_model[[#This Row],[LocationID]],tbl_location[LocationID],tbl_location[LocationName],"UNMAPPED_LOCATION")</f>
        <v>Metal Storage</v>
      </c>
      <c r="F483">
        <v>427</v>
      </c>
      <c r="G483" s="1" t="str">
        <f>tbl_model[[#This Row],[ProductID]] &amp; "-" &amp; tbl_model[[#This Row],[LocationID]]</f>
        <v>482-5</v>
      </c>
    </row>
    <row r="484" spans="1:7">
      <c r="A484">
        <v>482</v>
      </c>
      <c r="B484">
        <v>10</v>
      </c>
      <c r="C484" t="str">
        <f>_xlfn.XLOOKUP(tbl_model[[#This Row],[ProductID]],tbl_product[ProductID],tbl_product[ProductName],"UNMAPPED_PRODUCT")</f>
        <v>Metal Sheet 2</v>
      </c>
      <c r="D484" t="str">
        <f>_xlfn.XLOOKUP(tbl_model[[#This Row],[ProductID]],tbl_product[ProductID],tbl_product[ProductNumber],"UNMAPPED_PRODUCT")</f>
        <v>MS-0253</v>
      </c>
      <c r="E484" t="str">
        <f>_xlfn.XLOOKUP(tbl_model[[#This Row],[LocationID]],tbl_location[LocationID],tbl_location[LocationName],"UNMAPPED_LOCATION")</f>
        <v>Frame Forming</v>
      </c>
      <c r="F484">
        <v>176</v>
      </c>
      <c r="G484" s="1" t="str">
        <f>tbl_model[[#This Row],[ProductID]] &amp; "-" &amp; tbl_model[[#This Row],[LocationID]]</f>
        <v>482-10</v>
      </c>
    </row>
    <row r="485" spans="1:7">
      <c r="A485">
        <v>483</v>
      </c>
      <c r="B485">
        <v>2</v>
      </c>
      <c r="C485" t="str">
        <f>_xlfn.XLOOKUP(tbl_model[[#This Row],[ProductID]],tbl_product[ProductID],tbl_product[ProductName],"UNMAPPED_PRODUCT")</f>
        <v>Metal Sheet 3</v>
      </c>
      <c r="D485" t="str">
        <f>_xlfn.XLOOKUP(tbl_model[[#This Row],[ProductID]],tbl_product[ProductID],tbl_product[ProductNumber],"UNMAPPED_PRODUCT")</f>
        <v>MS-1256</v>
      </c>
      <c r="E485" t="str">
        <f>_xlfn.XLOOKUP(tbl_model[[#This Row],[LocationID]],tbl_location[LocationID],tbl_location[LocationName],"UNMAPPED_LOCATION")</f>
        <v>Sheet Metal Racks</v>
      </c>
      <c r="F485">
        <v>691</v>
      </c>
      <c r="G485" s="1" t="str">
        <f>tbl_model[[#This Row],[ProductID]] &amp; "-" &amp; tbl_model[[#This Row],[LocationID]]</f>
        <v>483-2</v>
      </c>
    </row>
    <row r="486" spans="1:7">
      <c r="A486">
        <v>483</v>
      </c>
      <c r="B486">
        <v>5</v>
      </c>
      <c r="C486" t="str">
        <f>_xlfn.XLOOKUP(tbl_model[[#This Row],[ProductID]],tbl_product[ProductID],tbl_product[ProductName],"UNMAPPED_PRODUCT")</f>
        <v>Metal Sheet 3</v>
      </c>
      <c r="D486" t="str">
        <f>_xlfn.XLOOKUP(tbl_model[[#This Row],[ProductID]],tbl_product[ProductID],tbl_product[ProductNumber],"UNMAPPED_PRODUCT")</f>
        <v>MS-1256</v>
      </c>
      <c r="E486" t="str">
        <f>_xlfn.XLOOKUP(tbl_model[[#This Row],[LocationID]],tbl_location[LocationID],tbl_location[LocationName],"UNMAPPED_LOCATION")</f>
        <v>Metal Storage</v>
      </c>
      <c r="F486">
        <v>531</v>
      </c>
      <c r="G486" s="1" t="str">
        <f>tbl_model[[#This Row],[ProductID]] &amp; "-" &amp; tbl_model[[#This Row],[LocationID]]</f>
        <v>483-5</v>
      </c>
    </row>
    <row r="487" spans="1:7">
      <c r="A487">
        <v>483</v>
      </c>
      <c r="B487">
        <v>10</v>
      </c>
      <c r="C487" t="str">
        <f>_xlfn.XLOOKUP(tbl_model[[#This Row],[ProductID]],tbl_product[ProductID],tbl_product[ProductName],"UNMAPPED_PRODUCT")</f>
        <v>Metal Sheet 3</v>
      </c>
      <c r="D487" t="str">
        <f>_xlfn.XLOOKUP(tbl_model[[#This Row],[ProductID]],tbl_product[ProductID],tbl_product[ProductNumber],"UNMAPPED_PRODUCT")</f>
        <v>MS-1256</v>
      </c>
      <c r="E487" t="str">
        <f>_xlfn.XLOOKUP(tbl_model[[#This Row],[LocationID]],tbl_location[LocationID],tbl_location[LocationName],"UNMAPPED_LOCATION")</f>
        <v>Frame Forming</v>
      </c>
      <c r="F487">
        <v>459</v>
      </c>
      <c r="G487" s="1" t="str">
        <f>tbl_model[[#This Row],[ProductID]] &amp; "-" &amp; tbl_model[[#This Row],[LocationID]]</f>
        <v>483-10</v>
      </c>
    </row>
    <row r="488" spans="1:7">
      <c r="A488">
        <v>484</v>
      </c>
      <c r="B488">
        <v>2</v>
      </c>
      <c r="C488" t="str">
        <f>_xlfn.XLOOKUP(tbl_model[[#This Row],[ProductID]],tbl_product[ProductID],tbl_product[ProductName],"UNMAPPED_PRODUCT")</f>
        <v>Metal Sheet 7</v>
      </c>
      <c r="D488" t="str">
        <f>_xlfn.XLOOKUP(tbl_model[[#This Row],[ProductID]],tbl_product[ProductID],tbl_product[ProductNumber],"UNMAPPED_PRODUCT")</f>
        <v>MS-1981</v>
      </c>
      <c r="E488" t="str">
        <f>_xlfn.XLOOKUP(tbl_model[[#This Row],[LocationID]],tbl_location[LocationID],tbl_location[LocationName],"UNMAPPED_LOCATION")</f>
        <v>Sheet Metal Racks</v>
      </c>
      <c r="F488">
        <v>427</v>
      </c>
      <c r="G488" s="1" t="str">
        <f>tbl_model[[#This Row],[ProductID]] &amp; "-" &amp; tbl_model[[#This Row],[LocationID]]</f>
        <v>484-2</v>
      </c>
    </row>
    <row r="489" spans="1:7">
      <c r="A489">
        <v>484</v>
      </c>
      <c r="B489">
        <v>5</v>
      </c>
      <c r="C489" t="str">
        <f>_xlfn.XLOOKUP(tbl_model[[#This Row],[ProductID]],tbl_product[ProductID],tbl_product[ProductName],"UNMAPPED_PRODUCT")</f>
        <v>Metal Sheet 7</v>
      </c>
      <c r="D489" t="str">
        <f>_xlfn.XLOOKUP(tbl_model[[#This Row],[ProductID]],tbl_product[ProductID],tbl_product[ProductNumber],"UNMAPPED_PRODUCT")</f>
        <v>MS-1981</v>
      </c>
      <c r="E489" t="str">
        <f>_xlfn.XLOOKUP(tbl_model[[#This Row],[LocationID]],tbl_location[LocationID],tbl_location[LocationName],"UNMAPPED_LOCATION")</f>
        <v>Metal Storage</v>
      </c>
      <c r="F489">
        <v>374</v>
      </c>
      <c r="G489" s="1" t="str">
        <f>tbl_model[[#This Row],[ProductID]] &amp; "-" &amp; tbl_model[[#This Row],[LocationID]]</f>
        <v>484-5</v>
      </c>
    </row>
    <row r="490" spans="1:7">
      <c r="A490">
        <v>484</v>
      </c>
      <c r="B490">
        <v>10</v>
      </c>
      <c r="C490" t="str">
        <f>_xlfn.XLOOKUP(tbl_model[[#This Row],[ProductID]],tbl_product[ProductID],tbl_product[ProductName],"UNMAPPED_PRODUCT")</f>
        <v>Metal Sheet 7</v>
      </c>
      <c r="D490" t="str">
        <f>_xlfn.XLOOKUP(tbl_model[[#This Row],[ProductID]],tbl_product[ProductID],tbl_product[ProductNumber],"UNMAPPED_PRODUCT")</f>
        <v>MS-1981</v>
      </c>
      <c r="E490" t="str">
        <f>_xlfn.XLOOKUP(tbl_model[[#This Row],[LocationID]],tbl_location[LocationID],tbl_location[LocationName],"UNMAPPED_LOCATION")</f>
        <v>Frame Forming</v>
      </c>
      <c r="F490">
        <v>196</v>
      </c>
      <c r="G490" s="1" t="str">
        <f>tbl_model[[#This Row],[ProductID]] &amp; "-" &amp; tbl_model[[#This Row],[LocationID]]</f>
        <v>484-10</v>
      </c>
    </row>
    <row r="491" spans="1:7">
      <c r="A491">
        <v>485</v>
      </c>
      <c r="B491">
        <v>2</v>
      </c>
      <c r="C491" t="str">
        <f>_xlfn.XLOOKUP(tbl_model[[#This Row],[ProductID]],tbl_product[ProductID],tbl_product[ProductName],"UNMAPPED_PRODUCT")</f>
        <v>Metal Sheet 4</v>
      </c>
      <c r="D491" t="str">
        <f>_xlfn.XLOOKUP(tbl_model[[#This Row],[ProductID]],tbl_product[ProductID],tbl_product[ProductNumber],"UNMAPPED_PRODUCT")</f>
        <v>MS-2259</v>
      </c>
      <c r="E491" t="str">
        <f>_xlfn.XLOOKUP(tbl_model[[#This Row],[LocationID]],tbl_location[LocationID],tbl_location[LocationName],"UNMAPPED_LOCATION")</f>
        <v>Sheet Metal Racks</v>
      </c>
      <c r="F491">
        <v>321</v>
      </c>
      <c r="G491" s="1" t="str">
        <f>tbl_model[[#This Row],[ProductID]] &amp; "-" &amp; tbl_model[[#This Row],[LocationID]]</f>
        <v>485-2</v>
      </c>
    </row>
    <row r="492" spans="1:7">
      <c r="A492">
        <v>485</v>
      </c>
      <c r="B492">
        <v>5</v>
      </c>
      <c r="C492" t="str">
        <f>_xlfn.XLOOKUP(tbl_model[[#This Row],[ProductID]],tbl_product[ProductID],tbl_product[ProductName],"UNMAPPED_PRODUCT")</f>
        <v>Metal Sheet 4</v>
      </c>
      <c r="D492" t="str">
        <f>_xlfn.XLOOKUP(tbl_model[[#This Row],[ProductID]],tbl_product[ProductID],tbl_product[ProductNumber],"UNMAPPED_PRODUCT")</f>
        <v>MS-2259</v>
      </c>
      <c r="E492" t="str">
        <f>_xlfn.XLOOKUP(tbl_model[[#This Row],[LocationID]],tbl_location[LocationID],tbl_location[LocationName],"UNMAPPED_LOCATION")</f>
        <v>Metal Storage</v>
      </c>
      <c r="F492">
        <v>427</v>
      </c>
      <c r="G492" s="1" t="str">
        <f>tbl_model[[#This Row],[ProductID]] &amp; "-" &amp; tbl_model[[#This Row],[LocationID]]</f>
        <v>485-5</v>
      </c>
    </row>
    <row r="493" spans="1:7">
      <c r="A493">
        <v>485</v>
      </c>
      <c r="B493">
        <v>10</v>
      </c>
      <c r="C493" t="str">
        <f>_xlfn.XLOOKUP(tbl_model[[#This Row],[ProductID]],tbl_product[ProductID],tbl_product[ProductName],"UNMAPPED_PRODUCT")</f>
        <v>Metal Sheet 4</v>
      </c>
      <c r="D493" t="str">
        <f>_xlfn.XLOOKUP(tbl_model[[#This Row],[ProductID]],tbl_product[ProductID],tbl_product[ProductNumber],"UNMAPPED_PRODUCT")</f>
        <v>MS-2259</v>
      </c>
      <c r="E493" t="str">
        <f>_xlfn.XLOOKUP(tbl_model[[#This Row],[LocationID]],tbl_location[LocationID],tbl_location[LocationName],"UNMAPPED_LOCATION")</f>
        <v>Frame Forming</v>
      </c>
      <c r="F493">
        <v>176</v>
      </c>
      <c r="G493" s="1" t="str">
        <f>tbl_model[[#This Row],[ProductID]] &amp; "-" &amp; tbl_model[[#This Row],[LocationID]]</f>
        <v>485-10</v>
      </c>
    </row>
    <row r="494" spans="1:7">
      <c r="A494">
        <v>486</v>
      </c>
      <c r="B494">
        <v>2</v>
      </c>
      <c r="C494" t="str">
        <f>_xlfn.XLOOKUP(tbl_model[[#This Row],[ProductID]],tbl_product[ProductID],tbl_product[ProductName],"UNMAPPED_PRODUCT")</f>
        <v>Metal Sheet 5</v>
      </c>
      <c r="D494" t="str">
        <f>_xlfn.XLOOKUP(tbl_model[[#This Row],[ProductID]],tbl_product[ProductID],tbl_product[ProductNumber],"UNMAPPED_PRODUCT")</f>
        <v>MS-2341</v>
      </c>
      <c r="E494" t="str">
        <f>_xlfn.XLOOKUP(tbl_model[[#This Row],[LocationID]],tbl_location[LocationID],tbl_location[LocationName],"UNMAPPED_LOCATION")</f>
        <v>Sheet Metal Racks</v>
      </c>
      <c r="F494">
        <v>689</v>
      </c>
      <c r="G494" s="1" t="str">
        <f>tbl_model[[#This Row],[ProductID]] &amp; "-" &amp; tbl_model[[#This Row],[LocationID]]</f>
        <v>486-2</v>
      </c>
    </row>
    <row r="495" spans="1:7">
      <c r="A495">
        <v>486</v>
      </c>
      <c r="B495">
        <v>5</v>
      </c>
      <c r="C495" t="str">
        <f>_xlfn.XLOOKUP(tbl_model[[#This Row],[ProductID]],tbl_product[ProductID],tbl_product[ProductName],"UNMAPPED_PRODUCT")</f>
        <v>Metal Sheet 5</v>
      </c>
      <c r="D495" t="str">
        <f>_xlfn.XLOOKUP(tbl_model[[#This Row],[ProductID]],tbl_product[ProductID],tbl_product[ProductNumber],"UNMAPPED_PRODUCT")</f>
        <v>MS-2341</v>
      </c>
      <c r="E495" t="str">
        <f>_xlfn.XLOOKUP(tbl_model[[#This Row],[LocationID]],tbl_location[LocationID],tbl_location[LocationName],"UNMAPPED_LOCATION")</f>
        <v>Metal Storage</v>
      </c>
      <c r="F495">
        <v>515</v>
      </c>
      <c r="G495" s="1" t="str">
        <f>tbl_model[[#This Row],[ProductID]] &amp; "-" &amp; tbl_model[[#This Row],[LocationID]]</f>
        <v>486-5</v>
      </c>
    </row>
    <row r="496" spans="1:7">
      <c r="A496">
        <v>486</v>
      </c>
      <c r="B496">
        <v>10</v>
      </c>
      <c r="C496" t="str">
        <f>_xlfn.XLOOKUP(tbl_model[[#This Row],[ProductID]],tbl_product[ProductID],tbl_product[ProductName],"UNMAPPED_PRODUCT")</f>
        <v>Metal Sheet 5</v>
      </c>
      <c r="D496" t="str">
        <f>_xlfn.XLOOKUP(tbl_model[[#This Row],[ProductID]],tbl_product[ProductID],tbl_product[ProductNumber],"UNMAPPED_PRODUCT")</f>
        <v>MS-2341</v>
      </c>
      <c r="E496" t="str">
        <f>_xlfn.XLOOKUP(tbl_model[[#This Row],[LocationID]],tbl_location[LocationID],tbl_location[LocationName],"UNMAPPED_LOCATION")</f>
        <v>Frame Forming</v>
      </c>
      <c r="F496">
        <v>457</v>
      </c>
      <c r="G496" s="1" t="str">
        <f>tbl_model[[#This Row],[ProductID]] &amp; "-" &amp; tbl_model[[#This Row],[LocationID]]</f>
        <v>486-10</v>
      </c>
    </row>
    <row r="497" spans="1:7">
      <c r="A497">
        <v>487</v>
      </c>
      <c r="B497">
        <v>2</v>
      </c>
      <c r="C497" t="str">
        <f>_xlfn.XLOOKUP(tbl_model[[#This Row],[ProductID]],tbl_product[ProductID],tbl_product[ProductName],"UNMAPPED_PRODUCT")</f>
        <v>Metal Sheet 6</v>
      </c>
      <c r="D497" t="str">
        <f>_xlfn.XLOOKUP(tbl_model[[#This Row],[ProductID]],tbl_product[ProductID],tbl_product[ProductNumber],"UNMAPPED_PRODUCT")</f>
        <v>MS-2348</v>
      </c>
      <c r="E497" t="str">
        <f>_xlfn.XLOOKUP(tbl_model[[#This Row],[LocationID]],tbl_location[LocationID],tbl_location[LocationName],"UNMAPPED_LOCATION")</f>
        <v>Sheet Metal Racks</v>
      </c>
      <c r="F497">
        <v>331</v>
      </c>
      <c r="G497" s="1" t="str">
        <f>tbl_model[[#This Row],[ProductID]] &amp; "-" &amp; tbl_model[[#This Row],[LocationID]]</f>
        <v>487-2</v>
      </c>
    </row>
    <row r="498" spans="1:7">
      <c r="A498">
        <v>487</v>
      </c>
      <c r="B498">
        <v>5</v>
      </c>
      <c r="C498" t="str">
        <f>_xlfn.XLOOKUP(tbl_model[[#This Row],[ProductID]],tbl_product[ProductID],tbl_product[ProductName],"UNMAPPED_PRODUCT")</f>
        <v>Metal Sheet 6</v>
      </c>
      <c r="D498" t="str">
        <f>_xlfn.XLOOKUP(tbl_model[[#This Row],[ProductID]],tbl_product[ProductID],tbl_product[ProductNumber],"UNMAPPED_PRODUCT")</f>
        <v>MS-2348</v>
      </c>
      <c r="E498" t="str">
        <f>_xlfn.XLOOKUP(tbl_model[[#This Row],[LocationID]],tbl_location[LocationID],tbl_location[LocationName],"UNMAPPED_LOCATION")</f>
        <v>Metal Storage</v>
      </c>
      <c r="F498">
        <v>337</v>
      </c>
      <c r="G498" s="1" t="str">
        <f>tbl_model[[#This Row],[ProductID]] &amp; "-" &amp; tbl_model[[#This Row],[LocationID]]</f>
        <v>487-5</v>
      </c>
    </row>
    <row r="499" spans="1:7">
      <c r="A499">
        <v>487</v>
      </c>
      <c r="B499">
        <v>10</v>
      </c>
      <c r="C499" t="str">
        <f>_xlfn.XLOOKUP(tbl_model[[#This Row],[ProductID]],tbl_product[ProductID],tbl_product[ProductName],"UNMAPPED_PRODUCT")</f>
        <v>Metal Sheet 6</v>
      </c>
      <c r="D499" t="str">
        <f>_xlfn.XLOOKUP(tbl_model[[#This Row],[ProductID]],tbl_product[ProductID],tbl_product[ProductNumber],"UNMAPPED_PRODUCT")</f>
        <v>MS-2348</v>
      </c>
      <c r="E499" t="str">
        <f>_xlfn.XLOOKUP(tbl_model[[#This Row],[LocationID]],tbl_location[LocationID],tbl_location[LocationName],"UNMAPPED_LOCATION")</f>
        <v>Frame Forming</v>
      </c>
      <c r="F499">
        <v>324</v>
      </c>
      <c r="G499" s="1" t="str">
        <f>tbl_model[[#This Row],[ProductID]] &amp; "-" &amp; tbl_model[[#This Row],[LocationID]]</f>
        <v>487-10</v>
      </c>
    </row>
    <row r="500" spans="1:7">
      <c r="A500">
        <v>488</v>
      </c>
      <c r="B500">
        <v>2</v>
      </c>
      <c r="C500" t="str">
        <f>_xlfn.XLOOKUP(tbl_model[[#This Row],[ProductID]],tbl_product[ProductID],tbl_product[ProductName],"UNMAPPED_PRODUCT")</f>
        <v>Metal Sheet 1</v>
      </c>
      <c r="D500" t="str">
        <f>_xlfn.XLOOKUP(tbl_model[[#This Row],[ProductID]],tbl_product[ProductID],tbl_product[ProductNumber],"UNMAPPED_PRODUCT")</f>
        <v>MS-6061</v>
      </c>
      <c r="E500" t="str">
        <f>_xlfn.XLOOKUP(tbl_model[[#This Row],[LocationID]],tbl_location[LocationID],tbl_location[LocationName],"UNMAPPED_LOCATION")</f>
        <v>Sheet Metal Racks</v>
      </c>
      <c r="F500">
        <v>312</v>
      </c>
      <c r="G500" s="1" t="str">
        <f>tbl_model[[#This Row],[ProductID]] &amp; "-" &amp; tbl_model[[#This Row],[LocationID]]</f>
        <v>488-2</v>
      </c>
    </row>
    <row r="501" spans="1:7">
      <c r="A501">
        <v>488</v>
      </c>
      <c r="B501">
        <v>5</v>
      </c>
      <c r="C501" t="str">
        <f>_xlfn.XLOOKUP(tbl_model[[#This Row],[ProductID]],tbl_product[ProductID],tbl_product[ProductName],"UNMAPPED_PRODUCT")</f>
        <v>Metal Sheet 1</v>
      </c>
      <c r="D501" t="str">
        <f>_xlfn.XLOOKUP(tbl_model[[#This Row],[ProductID]],tbl_product[ProductID],tbl_product[ProductNumber],"UNMAPPED_PRODUCT")</f>
        <v>MS-6061</v>
      </c>
      <c r="E501" t="str">
        <f>_xlfn.XLOOKUP(tbl_model[[#This Row],[LocationID]],tbl_location[LocationID],tbl_location[LocationName],"UNMAPPED_LOCATION")</f>
        <v>Metal Storage</v>
      </c>
      <c r="F501">
        <v>318</v>
      </c>
      <c r="G501" s="1" t="str">
        <f>tbl_model[[#This Row],[ProductID]] &amp; "-" &amp; tbl_model[[#This Row],[LocationID]]</f>
        <v>488-5</v>
      </c>
    </row>
    <row r="502" spans="1:7">
      <c r="A502">
        <v>488</v>
      </c>
      <c r="B502">
        <v>10</v>
      </c>
      <c r="C502" t="str">
        <f>_xlfn.XLOOKUP(tbl_model[[#This Row],[ProductID]],tbl_product[ProductID],tbl_product[ProductName],"UNMAPPED_PRODUCT")</f>
        <v>Metal Sheet 1</v>
      </c>
      <c r="D502" t="str">
        <f>_xlfn.XLOOKUP(tbl_model[[#This Row],[ProductID]],tbl_product[ProductID],tbl_product[ProductNumber],"UNMAPPED_PRODUCT")</f>
        <v>MS-6061</v>
      </c>
      <c r="E502" t="str">
        <f>_xlfn.XLOOKUP(tbl_model[[#This Row],[LocationID]],tbl_location[LocationID],tbl_location[LocationName],"UNMAPPED_LOCATION")</f>
        <v>Frame Forming</v>
      </c>
      <c r="F502">
        <v>305</v>
      </c>
      <c r="G502" s="1" t="str">
        <f>tbl_model[[#This Row],[ProductID]] &amp; "-" &amp; tbl_model[[#This Row],[LocationID]]</f>
        <v>488-10</v>
      </c>
    </row>
    <row r="503" spans="1:7">
      <c r="A503">
        <v>489</v>
      </c>
      <c r="B503">
        <v>1</v>
      </c>
      <c r="C503" t="str">
        <f>_xlfn.XLOOKUP(tbl_model[[#This Row],[ProductID]],tbl_product[ProductID],tbl_product[ProductName],"UNMAPPED_PRODUCT")</f>
        <v>Metal Tread Plate</v>
      </c>
      <c r="D503" t="str">
        <f>_xlfn.XLOOKUP(tbl_model[[#This Row],[ProductID]],tbl_product[ProductID],tbl_product[ProductNumber],"UNMAPPED_PRODUCT")</f>
        <v>MT-1000</v>
      </c>
      <c r="E503" t="str">
        <f>_xlfn.XLOOKUP(tbl_model[[#This Row],[LocationID]],tbl_location[LocationID],tbl_location[LocationName],"UNMAPPED_LOCATION")</f>
        <v>Tool Crib</v>
      </c>
      <c r="F503">
        <v>612</v>
      </c>
      <c r="G503" s="1" t="str">
        <f>tbl_model[[#This Row],[ProductID]] &amp; "-" &amp; tbl_model[[#This Row],[LocationID]]</f>
        <v>489-1</v>
      </c>
    </row>
    <row r="504" spans="1:7">
      <c r="A504">
        <v>489</v>
      </c>
      <c r="B504">
        <v>6</v>
      </c>
      <c r="C504" t="str">
        <f>_xlfn.XLOOKUP(tbl_model[[#This Row],[ProductID]],tbl_product[ProductID],tbl_product[ProductName],"UNMAPPED_PRODUCT")</f>
        <v>Metal Tread Plate</v>
      </c>
      <c r="D504" t="str">
        <f>_xlfn.XLOOKUP(tbl_model[[#This Row],[ProductID]],tbl_product[ProductID],tbl_product[ProductNumber],"UNMAPPED_PRODUCT")</f>
        <v>MT-1000</v>
      </c>
      <c r="E504" t="str">
        <f>_xlfn.XLOOKUP(tbl_model[[#This Row],[LocationID]],tbl_location[LocationID],tbl_location[LocationName],"UNMAPPED_LOCATION")</f>
        <v>Miscellaneous Storage</v>
      </c>
      <c r="F504">
        <v>619</v>
      </c>
      <c r="G504" s="1" t="str">
        <f>tbl_model[[#This Row],[ProductID]] &amp; "-" &amp; tbl_model[[#This Row],[LocationID]]</f>
        <v>489-6</v>
      </c>
    </row>
    <row r="505" spans="1:7">
      <c r="A505">
        <v>489</v>
      </c>
      <c r="B505">
        <v>50</v>
      </c>
      <c r="C505" t="str">
        <f>_xlfn.XLOOKUP(tbl_model[[#This Row],[ProductID]],tbl_product[ProductID],tbl_product[ProductName],"UNMAPPED_PRODUCT")</f>
        <v>Metal Tread Plate</v>
      </c>
      <c r="D505" t="str">
        <f>_xlfn.XLOOKUP(tbl_model[[#This Row],[ProductID]],tbl_product[ProductID],tbl_product[ProductNumber],"UNMAPPED_PRODUCT")</f>
        <v>MT-1000</v>
      </c>
      <c r="E505" t="str">
        <f>_xlfn.XLOOKUP(tbl_model[[#This Row],[LocationID]],tbl_location[LocationID],tbl_location[LocationName],"UNMAPPED_LOCATION")</f>
        <v>Subassembly</v>
      </c>
      <c r="F505">
        <v>606</v>
      </c>
      <c r="G505" s="1" t="str">
        <f>tbl_model[[#This Row],[ProductID]] &amp; "-" &amp; tbl_model[[#This Row],[LocationID]]</f>
        <v>489-50</v>
      </c>
    </row>
    <row r="506" spans="1:7">
      <c r="A506">
        <v>490</v>
      </c>
      <c r="B506">
        <v>1</v>
      </c>
      <c r="C506" t="str">
        <f>_xlfn.XLOOKUP(tbl_model[[#This Row],[ProductID]],tbl_product[ProductID],tbl_product[ProductName],"UNMAPPED_PRODUCT")</f>
        <v>LL Nipple</v>
      </c>
      <c r="D506" t="str">
        <f>_xlfn.XLOOKUP(tbl_model[[#This Row],[ProductID]],tbl_product[ProductID],tbl_product[ProductNumber],"UNMAPPED_PRODUCT")</f>
        <v>NI-4127</v>
      </c>
      <c r="E506" t="str">
        <f>_xlfn.XLOOKUP(tbl_model[[#This Row],[LocationID]],tbl_location[LocationID],tbl_location[LocationName],"UNMAPPED_LOCATION")</f>
        <v>Tool Crib</v>
      </c>
      <c r="F506">
        <v>593</v>
      </c>
      <c r="G506" s="1" t="str">
        <f>tbl_model[[#This Row],[ProductID]] &amp; "-" &amp; tbl_model[[#This Row],[LocationID]]</f>
        <v>490-1</v>
      </c>
    </row>
    <row r="507" spans="1:7">
      <c r="A507">
        <v>490</v>
      </c>
      <c r="B507">
        <v>6</v>
      </c>
      <c r="C507" t="str">
        <f>_xlfn.XLOOKUP(tbl_model[[#This Row],[ProductID]],tbl_product[ProductID],tbl_product[ProductName],"UNMAPPED_PRODUCT")</f>
        <v>LL Nipple</v>
      </c>
      <c r="D507" t="str">
        <f>_xlfn.XLOOKUP(tbl_model[[#This Row],[ProductID]],tbl_product[ProductID],tbl_product[ProductNumber],"UNMAPPED_PRODUCT")</f>
        <v>NI-4127</v>
      </c>
      <c r="E507" t="str">
        <f>_xlfn.XLOOKUP(tbl_model[[#This Row],[LocationID]],tbl_location[LocationID],tbl_location[LocationName],"UNMAPPED_LOCATION")</f>
        <v>Miscellaneous Storage</v>
      </c>
      <c r="F507">
        <v>600</v>
      </c>
      <c r="G507" s="1" t="str">
        <f>tbl_model[[#This Row],[ProductID]] &amp; "-" &amp; tbl_model[[#This Row],[LocationID]]</f>
        <v>490-6</v>
      </c>
    </row>
    <row r="508" spans="1:7">
      <c r="A508">
        <v>490</v>
      </c>
      <c r="B508">
        <v>50</v>
      </c>
      <c r="C508" t="str">
        <f>_xlfn.XLOOKUP(tbl_model[[#This Row],[ProductID]],tbl_product[ProductID],tbl_product[ProductName],"UNMAPPED_PRODUCT")</f>
        <v>LL Nipple</v>
      </c>
      <c r="D508" t="str">
        <f>_xlfn.XLOOKUP(tbl_model[[#This Row],[ProductID]],tbl_product[ProductID],tbl_product[ProductNumber],"UNMAPPED_PRODUCT")</f>
        <v>NI-4127</v>
      </c>
      <c r="E508" t="str">
        <f>_xlfn.XLOOKUP(tbl_model[[#This Row],[LocationID]],tbl_location[LocationID],tbl_location[LocationName],"UNMAPPED_LOCATION")</f>
        <v>Subassembly</v>
      </c>
      <c r="F508">
        <v>587</v>
      </c>
      <c r="G508" s="1" t="str">
        <f>tbl_model[[#This Row],[ProductID]] &amp; "-" &amp; tbl_model[[#This Row],[LocationID]]</f>
        <v>490-50</v>
      </c>
    </row>
    <row r="509" spans="1:7">
      <c r="A509">
        <v>491</v>
      </c>
      <c r="B509">
        <v>1</v>
      </c>
      <c r="C509" t="str">
        <f>_xlfn.XLOOKUP(tbl_model[[#This Row],[ProductID]],tbl_product[ProductID],tbl_product[ProductName],"UNMAPPED_PRODUCT")</f>
        <v>HL Nipple</v>
      </c>
      <c r="D509" t="str">
        <f>_xlfn.XLOOKUP(tbl_model[[#This Row],[ProductID]],tbl_product[ProductID],tbl_product[ProductNumber],"UNMAPPED_PRODUCT")</f>
        <v>NI-9522</v>
      </c>
      <c r="E509" t="str">
        <f>_xlfn.XLOOKUP(tbl_model[[#This Row],[LocationID]],tbl_location[LocationID],tbl_location[LocationName],"UNMAPPED_LOCATION")</f>
        <v>Tool Crib</v>
      </c>
      <c r="F509">
        <v>254</v>
      </c>
      <c r="G509" s="1" t="str">
        <f>tbl_model[[#This Row],[ProductID]] &amp; "-" &amp; tbl_model[[#This Row],[LocationID]]</f>
        <v>491-1</v>
      </c>
    </row>
    <row r="510" spans="1:7">
      <c r="A510">
        <v>491</v>
      </c>
      <c r="B510">
        <v>6</v>
      </c>
      <c r="C510" t="str">
        <f>_xlfn.XLOOKUP(tbl_model[[#This Row],[ProductID]],tbl_product[ProductID],tbl_product[ProductName],"UNMAPPED_PRODUCT")</f>
        <v>HL Nipple</v>
      </c>
      <c r="D510" t="str">
        <f>_xlfn.XLOOKUP(tbl_model[[#This Row],[ProductID]],tbl_product[ProductID],tbl_product[ProductNumber],"UNMAPPED_PRODUCT")</f>
        <v>NI-9522</v>
      </c>
      <c r="E510" t="str">
        <f>_xlfn.XLOOKUP(tbl_model[[#This Row],[LocationID]],tbl_location[LocationID],tbl_location[LocationName],"UNMAPPED_LOCATION")</f>
        <v>Miscellaneous Storage</v>
      </c>
      <c r="F510">
        <v>420</v>
      </c>
      <c r="G510" s="1" t="str">
        <f>tbl_model[[#This Row],[ProductID]] &amp; "-" &amp; tbl_model[[#This Row],[LocationID]]</f>
        <v>491-6</v>
      </c>
    </row>
    <row r="511" spans="1:7">
      <c r="A511">
        <v>491</v>
      </c>
      <c r="B511">
        <v>50</v>
      </c>
      <c r="C511" t="str">
        <f>_xlfn.XLOOKUP(tbl_model[[#This Row],[ProductID]],tbl_product[ProductID],tbl_product[ProductName],"UNMAPPED_PRODUCT")</f>
        <v>HL Nipple</v>
      </c>
      <c r="D511" t="str">
        <f>_xlfn.XLOOKUP(tbl_model[[#This Row],[ProductID]],tbl_product[ProductID],tbl_product[ProductNumber],"UNMAPPED_PRODUCT")</f>
        <v>NI-9522</v>
      </c>
      <c r="E511" t="str">
        <f>_xlfn.XLOOKUP(tbl_model[[#This Row],[LocationID]],tbl_location[LocationID],tbl_location[LocationName],"UNMAPPED_LOCATION")</f>
        <v>Subassembly</v>
      </c>
      <c r="F511">
        <v>248</v>
      </c>
      <c r="G511" s="1" t="str">
        <f>tbl_model[[#This Row],[ProductID]] &amp; "-" &amp; tbl_model[[#This Row],[LocationID]]</f>
        <v>491-50</v>
      </c>
    </row>
    <row r="512" spans="1:7">
      <c r="A512">
        <v>492</v>
      </c>
      <c r="B512">
        <v>3</v>
      </c>
      <c r="C512" t="str">
        <f>_xlfn.XLOOKUP(tbl_model[[#This Row],[ProductID]],tbl_product[ProductID],tbl_product[ProductName],"UNMAPPED_PRODUCT")</f>
        <v>Paint - Black</v>
      </c>
      <c r="D512" t="str">
        <f>_xlfn.XLOOKUP(tbl_model[[#This Row],[ProductID]],tbl_product[ProductID],tbl_product[ProductNumber],"UNMAPPED_PRODUCT")</f>
        <v>PA-187B</v>
      </c>
      <c r="E512" t="str">
        <f>_xlfn.XLOOKUP(tbl_model[[#This Row],[LocationID]],tbl_location[LocationID],tbl_location[LocationName],"UNMAPPED_LOCATION")</f>
        <v>Paint Shop</v>
      </c>
      <c r="F512">
        <v>17</v>
      </c>
      <c r="G512" s="1" t="str">
        <f>tbl_model[[#This Row],[ProductID]] &amp; "-" &amp; tbl_model[[#This Row],[LocationID]]</f>
        <v>492-3</v>
      </c>
    </row>
    <row r="513" spans="1:7">
      <c r="A513">
        <v>492</v>
      </c>
      <c r="B513">
        <v>4</v>
      </c>
      <c r="C513" t="str">
        <f>_xlfn.XLOOKUP(tbl_model[[#This Row],[ProductID]],tbl_product[ProductID],tbl_product[ProductName],"UNMAPPED_PRODUCT")</f>
        <v>Paint - Black</v>
      </c>
      <c r="D513" t="str">
        <f>_xlfn.XLOOKUP(tbl_model[[#This Row],[ProductID]],tbl_product[ProductID],tbl_product[ProductNumber],"UNMAPPED_PRODUCT")</f>
        <v>PA-187B</v>
      </c>
      <c r="E513" t="str">
        <f>_xlfn.XLOOKUP(tbl_model[[#This Row],[LocationID]],tbl_location[LocationID],tbl_location[LocationName],"UNMAPPED_LOCATION")</f>
        <v>Paint Storage</v>
      </c>
      <c r="F513">
        <v>14</v>
      </c>
      <c r="G513" s="1" t="str">
        <f>tbl_model[[#This Row],[ProductID]] &amp; "-" &amp; tbl_model[[#This Row],[LocationID]]</f>
        <v>492-4</v>
      </c>
    </row>
    <row r="514" spans="1:7">
      <c r="A514">
        <v>492</v>
      </c>
      <c r="B514">
        <v>40</v>
      </c>
      <c r="C514" t="str">
        <f>_xlfn.XLOOKUP(tbl_model[[#This Row],[ProductID]],tbl_product[ProductID],tbl_product[ProductName],"UNMAPPED_PRODUCT")</f>
        <v>Paint - Black</v>
      </c>
      <c r="D514" t="str">
        <f>_xlfn.XLOOKUP(tbl_model[[#This Row],[ProductID]],tbl_product[ProductID],tbl_product[ProductNumber],"UNMAPPED_PRODUCT")</f>
        <v>PA-187B</v>
      </c>
      <c r="E514" t="str">
        <f>_xlfn.XLOOKUP(tbl_model[[#This Row],[LocationID]],tbl_location[LocationID],tbl_location[LocationName],"UNMAPPED_LOCATION")</f>
        <v>Paint</v>
      </c>
      <c r="F514">
        <v>16</v>
      </c>
      <c r="G514" s="1" t="str">
        <f>tbl_model[[#This Row],[ProductID]] &amp; "-" &amp; tbl_model[[#This Row],[LocationID]]</f>
        <v>492-40</v>
      </c>
    </row>
    <row r="515" spans="1:7">
      <c r="A515">
        <v>493</v>
      </c>
      <c r="B515">
        <v>3</v>
      </c>
      <c r="C515" t="str">
        <f>_xlfn.XLOOKUP(tbl_model[[#This Row],[ProductID]],tbl_product[ProductID],tbl_product[ProductName],"UNMAPPED_PRODUCT")</f>
        <v>Paint - Red</v>
      </c>
      <c r="D515" t="str">
        <f>_xlfn.XLOOKUP(tbl_model[[#This Row],[ProductID]],tbl_product[ProductID],tbl_product[ProductNumber],"UNMAPPED_PRODUCT")</f>
        <v>PA-361R</v>
      </c>
      <c r="E515" t="str">
        <f>_xlfn.XLOOKUP(tbl_model[[#This Row],[LocationID]],tbl_location[LocationID],tbl_location[LocationName],"UNMAPPED_LOCATION")</f>
        <v>Paint Shop</v>
      </c>
      <c r="F515">
        <v>41</v>
      </c>
      <c r="G515" s="1" t="str">
        <f>tbl_model[[#This Row],[ProductID]] &amp; "-" &amp; tbl_model[[#This Row],[LocationID]]</f>
        <v>493-3</v>
      </c>
    </row>
    <row r="516" spans="1:7">
      <c r="A516">
        <v>493</v>
      </c>
      <c r="B516">
        <v>4</v>
      </c>
      <c r="C516" t="str">
        <f>_xlfn.XLOOKUP(tbl_model[[#This Row],[ProductID]],tbl_product[ProductID],tbl_product[ProductName],"UNMAPPED_PRODUCT")</f>
        <v>Paint - Red</v>
      </c>
      <c r="D516" t="str">
        <f>_xlfn.XLOOKUP(tbl_model[[#This Row],[ProductID]],tbl_product[ProductID],tbl_product[ProductNumber],"UNMAPPED_PRODUCT")</f>
        <v>PA-361R</v>
      </c>
      <c r="E516" t="str">
        <f>_xlfn.XLOOKUP(tbl_model[[#This Row],[LocationID]],tbl_location[LocationID],tbl_location[LocationName],"UNMAPPED_LOCATION")</f>
        <v>Paint Storage</v>
      </c>
      <c r="F516">
        <v>24</v>
      </c>
      <c r="G516" s="1" t="str">
        <f>tbl_model[[#This Row],[ProductID]] &amp; "-" &amp; tbl_model[[#This Row],[LocationID]]</f>
        <v>493-4</v>
      </c>
    </row>
    <row r="517" spans="1:7">
      <c r="A517">
        <v>493</v>
      </c>
      <c r="B517">
        <v>40</v>
      </c>
      <c r="C517" t="str">
        <f>_xlfn.XLOOKUP(tbl_model[[#This Row],[ProductID]],tbl_product[ProductID],tbl_product[ProductName],"UNMAPPED_PRODUCT")</f>
        <v>Paint - Red</v>
      </c>
      <c r="D517" t="str">
        <f>_xlfn.XLOOKUP(tbl_model[[#This Row],[ProductID]],tbl_product[ProductID],tbl_product[ProductNumber],"UNMAPPED_PRODUCT")</f>
        <v>PA-361R</v>
      </c>
      <c r="E517" t="str">
        <f>_xlfn.XLOOKUP(tbl_model[[#This Row],[LocationID]],tbl_location[LocationID],tbl_location[LocationName],"UNMAPPED_LOCATION")</f>
        <v>Paint</v>
      </c>
      <c r="F517">
        <v>28</v>
      </c>
      <c r="G517" s="1" t="str">
        <f>tbl_model[[#This Row],[ProductID]] &amp; "-" &amp; tbl_model[[#This Row],[LocationID]]</f>
        <v>493-40</v>
      </c>
    </row>
    <row r="518" spans="1:7">
      <c r="A518">
        <v>494</v>
      </c>
      <c r="B518">
        <v>3</v>
      </c>
      <c r="C518" t="str">
        <f>_xlfn.XLOOKUP(tbl_model[[#This Row],[ProductID]],tbl_product[ProductID],tbl_product[ProductName],"UNMAPPED_PRODUCT")</f>
        <v>Paint - Silver</v>
      </c>
      <c r="D518" t="str">
        <f>_xlfn.XLOOKUP(tbl_model[[#This Row],[ProductID]],tbl_product[ProductID],tbl_product[ProductNumber],"UNMAPPED_PRODUCT")</f>
        <v>PA-529S</v>
      </c>
      <c r="E518" t="str">
        <f>_xlfn.XLOOKUP(tbl_model[[#This Row],[LocationID]],tbl_location[LocationID],tbl_location[LocationName],"UNMAPPED_LOCATION")</f>
        <v>Paint Shop</v>
      </c>
      <c r="F518">
        <v>49</v>
      </c>
      <c r="G518" s="1" t="str">
        <f>tbl_model[[#This Row],[ProductID]] &amp; "-" &amp; tbl_model[[#This Row],[LocationID]]</f>
        <v>494-3</v>
      </c>
    </row>
    <row r="519" spans="1:7">
      <c r="A519">
        <v>494</v>
      </c>
      <c r="B519">
        <v>4</v>
      </c>
      <c r="C519" t="str">
        <f>_xlfn.XLOOKUP(tbl_model[[#This Row],[ProductID]],tbl_product[ProductID],tbl_product[ProductName],"UNMAPPED_PRODUCT")</f>
        <v>Paint - Silver</v>
      </c>
      <c r="D519" t="str">
        <f>_xlfn.XLOOKUP(tbl_model[[#This Row],[ProductID]],tbl_product[ProductID],tbl_product[ProductNumber],"UNMAPPED_PRODUCT")</f>
        <v>PA-529S</v>
      </c>
      <c r="E519" t="str">
        <f>_xlfn.XLOOKUP(tbl_model[[#This Row],[LocationID]],tbl_location[LocationID],tbl_location[LocationName],"UNMAPPED_LOCATION")</f>
        <v>Paint Storage</v>
      </c>
      <c r="F519">
        <v>12</v>
      </c>
      <c r="G519" s="1" t="str">
        <f>tbl_model[[#This Row],[ProductID]] &amp; "-" &amp; tbl_model[[#This Row],[LocationID]]</f>
        <v>494-4</v>
      </c>
    </row>
    <row r="520" spans="1:7">
      <c r="A520">
        <v>494</v>
      </c>
      <c r="B520">
        <v>40</v>
      </c>
      <c r="C520" t="str">
        <f>_xlfn.XLOOKUP(tbl_model[[#This Row],[ProductID]],tbl_product[ProductID],tbl_product[ProductName],"UNMAPPED_PRODUCT")</f>
        <v>Paint - Silver</v>
      </c>
      <c r="D520" t="str">
        <f>_xlfn.XLOOKUP(tbl_model[[#This Row],[ProductID]],tbl_product[ProductID],tbl_product[ProductNumber],"UNMAPPED_PRODUCT")</f>
        <v>PA-529S</v>
      </c>
      <c r="E520" t="str">
        <f>_xlfn.XLOOKUP(tbl_model[[#This Row],[LocationID]],tbl_location[LocationID],tbl_location[LocationName],"UNMAPPED_LOCATION")</f>
        <v>Paint</v>
      </c>
      <c r="F520">
        <v>4</v>
      </c>
      <c r="G520" s="1" t="str">
        <f>tbl_model[[#This Row],[ProductID]] &amp; "-" &amp; tbl_model[[#This Row],[LocationID]]</f>
        <v>494-40</v>
      </c>
    </row>
    <row r="521" spans="1:7">
      <c r="A521">
        <v>495</v>
      </c>
      <c r="B521">
        <v>3</v>
      </c>
      <c r="C521" t="str">
        <f>_xlfn.XLOOKUP(tbl_model[[#This Row],[ProductID]],tbl_product[ProductID],tbl_product[ProductName],"UNMAPPED_PRODUCT")</f>
        <v>Paint - Blue</v>
      </c>
      <c r="D521" t="str">
        <f>_xlfn.XLOOKUP(tbl_model[[#This Row],[ProductID]],tbl_product[ProductID],tbl_product[ProductNumber],"UNMAPPED_PRODUCT")</f>
        <v>PA-632U</v>
      </c>
      <c r="E521" t="str">
        <f>_xlfn.XLOOKUP(tbl_model[[#This Row],[LocationID]],tbl_location[LocationID],tbl_location[LocationName],"UNMAPPED_LOCATION")</f>
        <v>Paint Shop</v>
      </c>
      <c r="F521">
        <v>49</v>
      </c>
      <c r="G521" s="1" t="str">
        <f>tbl_model[[#This Row],[ProductID]] &amp; "-" &amp; tbl_model[[#This Row],[LocationID]]</f>
        <v>495-3</v>
      </c>
    </row>
    <row r="522" spans="1:7">
      <c r="A522">
        <v>495</v>
      </c>
      <c r="B522">
        <v>4</v>
      </c>
      <c r="C522" t="str">
        <f>_xlfn.XLOOKUP(tbl_model[[#This Row],[ProductID]],tbl_product[ProductID],tbl_product[ProductName],"UNMAPPED_PRODUCT")</f>
        <v>Paint - Blue</v>
      </c>
      <c r="D522" t="str">
        <f>_xlfn.XLOOKUP(tbl_model[[#This Row],[ProductID]],tbl_product[ProductID],tbl_product[ProductNumber],"UNMAPPED_PRODUCT")</f>
        <v>PA-632U</v>
      </c>
      <c r="E522" t="str">
        <f>_xlfn.XLOOKUP(tbl_model[[#This Row],[LocationID]],tbl_location[LocationID],tbl_location[LocationName],"UNMAPPED_LOCATION")</f>
        <v>Paint Storage</v>
      </c>
      <c r="F522">
        <v>35</v>
      </c>
      <c r="G522" s="1" t="str">
        <f>tbl_model[[#This Row],[ProductID]] &amp; "-" &amp; tbl_model[[#This Row],[LocationID]]</f>
        <v>495-4</v>
      </c>
    </row>
    <row r="523" spans="1:7">
      <c r="A523">
        <v>495</v>
      </c>
      <c r="B523">
        <v>40</v>
      </c>
      <c r="C523" t="str">
        <f>_xlfn.XLOOKUP(tbl_model[[#This Row],[ProductID]],tbl_product[ProductID],tbl_product[ProductName],"UNMAPPED_PRODUCT")</f>
        <v>Paint - Blue</v>
      </c>
      <c r="D523" t="str">
        <f>_xlfn.XLOOKUP(tbl_model[[#This Row],[ProductID]],tbl_product[ProductID],tbl_product[ProductNumber],"UNMAPPED_PRODUCT")</f>
        <v>PA-632U</v>
      </c>
      <c r="E523" t="str">
        <f>_xlfn.XLOOKUP(tbl_model[[#This Row],[LocationID]],tbl_location[LocationID],tbl_location[LocationName],"UNMAPPED_LOCATION")</f>
        <v>Paint</v>
      </c>
      <c r="F523">
        <v>25</v>
      </c>
      <c r="G523" s="1" t="str">
        <f>tbl_model[[#This Row],[ProductID]] &amp; "-" &amp; tbl_model[[#This Row],[LocationID]]</f>
        <v>495-40</v>
      </c>
    </row>
    <row r="524" spans="1:7">
      <c r="A524">
        <v>496</v>
      </c>
      <c r="B524">
        <v>3</v>
      </c>
      <c r="C524" t="str">
        <f>_xlfn.XLOOKUP(tbl_model[[#This Row],[ProductID]],tbl_product[ProductID],tbl_product[ProductName],"UNMAPPED_PRODUCT")</f>
        <v>Paint - Yellow</v>
      </c>
      <c r="D524" t="str">
        <f>_xlfn.XLOOKUP(tbl_model[[#This Row],[ProductID]],tbl_product[ProductID],tbl_product[ProductNumber],"UNMAPPED_PRODUCT")</f>
        <v>PA-823Y</v>
      </c>
      <c r="E524" t="str">
        <f>_xlfn.XLOOKUP(tbl_model[[#This Row],[LocationID]],tbl_location[LocationID],tbl_location[LocationName],"UNMAPPED_LOCATION")</f>
        <v>Paint Shop</v>
      </c>
      <c r="F524">
        <v>30</v>
      </c>
      <c r="G524" s="1" t="str">
        <f>tbl_model[[#This Row],[ProductID]] &amp; "-" &amp; tbl_model[[#This Row],[LocationID]]</f>
        <v>496-3</v>
      </c>
    </row>
    <row r="525" spans="1:7">
      <c r="A525">
        <v>496</v>
      </c>
      <c r="B525">
        <v>4</v>
      </c>
      <c r="C525" t="str">
        <f>_xlfn.XLOOKUP(tbl_model[[#This Row],[ProductID]],tbl_product[ProductID],tbl_product[ProductName],"UNMAPPED_PRODUCT")</f>
        <v>Paint - Yellow</v>
      </c>
      <c r="D525" t="str">
        <f>_xlfn.XLOOKUP(tbl_model[[#This Row],[ProductID]],tbl_product[ProductID],tbl_product[ProductNumber],"UNMAPPED_PRODUCT")</f>
        <v>PA-823Y</v>
      </c>
      <c r="E525" t="str">
        <f>_xlfn.XLOOKUP(tbl_model[[#This Row],[LocationID]],tbl_location[LocationID],tbl_location[LocationName],"UNMAPPED_LOCATION")</f>
        <v>Paint Storage</v>
      </c>
      <c r="F525">
        <v>25</v>
      </c>
      <c r="G525" s="1" t="str">
        <f>tbl_model[[#This Row],[ProductID]] &amp; "-" &amp; tbl_model[[#This Row],[LocationID]]</f>
        <v>496-4</v>
      </c>
    </row>
    <row r="526" spans="1:7">
      <c r="A526">
        <v>496</v>
      </c>
      <c r="B526">
        <v>40</v>
      </c>
      <c r="C526" t="str">
        <f>_xlfn.XLOOKUP(tbl_model[[#This Row],[ProductID]],tbl_product[ProductID],tbl_product[ProductName],"UNMAPPED_PRODUCT")</f>
        <v>Paint - Yellow</v>
      </c>
      <c r="D526" t="str">
        <f>_xlfn.XLOOKUP(tbl_model[[#This Row],[ProductID]],tbl_product[ProductID],tbl_product[ProductNumber],"UNMAPPED_PRODUCT")</f>
        <v>PA-823Y</v>
      </c>
      <c r="E526" t="str">
        <f>_xlfn.XLOOKUP(tbl_model[[#This Row],[LocationID]],tbl_location[LocationID],tbl_location[LocationName],"UNMAPPED_LOCATION")</f>
        <v>Paint</v>
      </c>
      <c r="F526">
        <v>44</v>
      </c>
      <c r="G526" s="1" t="str">
        <f>tbl_model[[#This Row],[ProductID]] &amp; "-" &amp; tbl_model[[#This Row],[LocationID]]</f>
        <v>496-40</v>
      </c>
    </row>
    <row r="527" spans="1:7">
      <c r="A527">
        <v>497</v>
      </c>
      <c r="B527">
        <v>1</v>
      </c>
      <c r="C527" t="str">
        <f>_xlfn.XLOOKUP(tbl_model[[#This Row],[ProductID]],tbl_product[ProductID],tbl_product[ProductName],"UNMAPPED_PRODUCT")</f>
        <v>Pinch Bolt</v>
      </c>
      <c r="D527" t="str">
        <f>_xlfn.XLOOKUP(tbl_model[[#This Row],[ProductID]],tbl_product[ProductID],tbl_product[ProductNumber],"UNMAPPED_PRODUCT")</f>
        <v>PB-6109</v>
      </c>
      <c r="E527" t="str">
        <f>_xlfn.XLOOKUP(tbl_model[[#This Row],[LocationID]],tbl_location[LocationID],tbl_location[LocationName],"UNMAPPED_LOCATION")</f>
        <v>Tool Crib</v>
      </c>
      <c r="F527">
        <v>336</v>
      </c>
      <c r="G527" s="1" t="str">
        <f>tbl_model[[#This Row],[ProductID]] &amp; "-" &amp; tbl_model[[#This Row],[LocationID]]</f>
        <v>497-1</v>
      </c>
    </row>
    <row r="528" spans="1:7">
      <c r="A528">
        <v>497</v>
      </c>
      <c r="B528">
        <v>6</v>
      </c>
      <c r="C528" t="str">
        <f>_xlfn.XLOOKUP(tbl_model[[#This Row],[ProductID]],tbl_product[ProductID],tbl_product[ProductName],"UNMAPPED_PRODUCT")</f>
        <v>Pinch Bolt</v>
      </c>
      <c r="D528" t="str">
        <f>_xlfn.XLOOKUP(tbl_model[[#This Row],[ProductID]],tbl_product[ProductID],tbl_product[ProductNumber],"UNMAPPED_PRODUCT")</f>
        <v>PB-6109</v>
      </c>
      <c r="E528" t="str">
        <f>_xlfn.XLOOKUP(tbl_model[[#This Row],[LocationID]],tbl_location[LocationID],tbl_location[LocationName],"UNMAPPED_LOCATION")</f>
        <v>Miscellaneous Storage</v>
      </c>
      <c r="F528">
        <v>364</v>
      </c>
      <c r="G528" s="1" t="str">
        <f>tbl_model[[#This Row],[ProductID]] &amp; "-" &amp; tbl_model[[#This Row],[LocationID]]</f>
        <v>497-6</v>
      </c>
    </row>
    <row r="529" spans="1:7">
      <c r="A529">
        <v>497</v>
      </c>
      <c r="B529">
        <v>50</v>
      </c>
      <c r="C529" t="str">
        <f>_xlfn.XLOOKUP(tbl_model[[#This Row],[ProductID]],tbl_product[ProductID],tbl_product[ProductName],"UNMAPPED_PRODUCT")</f>
        <v>Pinch Bolt</v>
      </c>
      <c r="D529" t="str">
        <f>_xlfn.XLOOKUP(tbl_model[[#This Row],[ProductID]],tbl_product[ProductID],tbl_product[ProductNumber],"UNMAPPED_PRODUCT")</f>
        <v>PB-6109</v>
      </c>
      <c r="E529" t="str">
        <f>_xlfn.XLOOKUP(tbl_model[[#This Row],[LocationID]],tbl_location[LocationID],tbl_location[LocationName],"UNMAPPED_LOCATION")</f>
        <v>Subassembly</v>
      </c>
      <c r="F529">
        <v>273</v>
      </c>
      <c r="G529" s="1" t="str">
        <f>tbl_model[[#This Row],[ProductID]] &amp; "-" &amp; tbl_model[[#This Row],[LocationID]]</f>
        <v>497-50</v>
      </c>
    </row>
    <row r="530" spans="1:7">
      <c r="A530">
        <v>504</v>
      </c>
      <c r="B530">
        <v>1</v>
      </c>
      <c r="C530" t="str">
        <f>_xlfn.XLOOKUP(tbl_model[[#This Row],[ProductID]],tbl_product[ProductID],tbl_product[ProductName],"UNMAPPED_PRODUCT")</f>
        <v>Cup-Shaped Race</v>
      </c>
      <c r="D530" t="str">
        <f>_xlfn.XLOOKUP(tbl_model[[#This Row],[ProductID]],tbl_product[ProductID],tbl_product[ProductNumber],"UNMAPPED_PRODUCT")</f>
        <v>RA-2345</v>
      </c>
      <c r="E530" t="str">
        <f>_xlfn.XLOOKUP(tbl_model[[#This Row],[LocationID]],tbl_location[LocationID],tbl_location[LocationName],"UNMAPPED_LOCATION")</f>
        <v>Tool Crib</v>
      </c>
      <c r="F530">
        <v>392</v>
      </c>
      <c r="G530" s="1" t="str">
        <f>tbl_model[[#This Row],[ProductID]] &amp; "-" &amp; tbl_model[[#This Row],[LocationID]]</f>
        <v>504-1</v>
      </c>
    </row>
    <row r="531" spans="1:7">
      <c r="A531">
        <v>504</v>
      </c>
      <c r="B531">
        <v>6</v>
      </c>
      <c r="C531" t="str">
        <f>_xlfn.XLOOKUP(tbl_model[[#This Row],[ProductID]],tbl_product[ProductID],tbl_product[ProductName],"UNMAPPED_PRODUCT")</f>
        <v>Cup-Shaped Race</v>
      </c>
      <c r="D531" t="str">
        <f>_xlfn.XLOOKUP(tbl_model[[#This Row],[ProductID]],tbl_product[ProductID],tbl_product[ProductNumber],"UNMAPPED_PRODUCT")</f>
        <v>RA-2345</v>
      </c>
      <c r="E531" t="str">
        <f>_xlfn.XLOOKUP(tbl_model[[#This Row],[LocationID]],tbl_location[LocationID],tbl_location[LocationName],"UNMAPPED_LOCATION")</f>
        <v>Miscellaneous Storage</v>
      </c>
      <c r="F531">
        <v>372</v>
      </c>
      <c r="G531" s="1" t="str">
        <f>tbl_model[[#This Row],[ProductID]] &amp; "-" &amp; tbl_model[[#This Row],[LocationID]]</f>
        <v>504-6</v>
      </c>
    </row>
    <row r="532" spans="1:7">
      <c r="A532">
        <v>504</v>
      </c>
      <c r="B532">
        <v>50</v>
      </c>
      <c r="C532" t="str">
        <f>_xlfn.XLOOKUP(tbl_model[[#This Row],[ProductID]],tbl_product[ProductID],tbl_product[ProductName],"UNMAPPED_PRODUCT")</f>
        <v>Cup-Shaped Race</v>
      </c>
      <c r="D532" t="str">
        <f>_xlfn.XLOOKUP(tbl_model[[#This Row],[ProductID]],tbl_product[ProductID],tbl_product[ProductNumber],"UNMAPPED_PRODUCT")</f>
        <v>RA-2345</v>
      </c>
      <c r="E532" t="str">
        <f>_xlfn.XLOOKUP(tbl_model[[#This Row],[LocationID]],tbl_location[LocationID],tbl_location[LocationName],"UNMAPPED_LOCATION")</f>
        <v>Subassembly</v>
      </c>
      <c r="F532">
        <v>320</v>
      </c>
      <c r="G532" s="1" t="str">
        <f>tbl_model[[#This Row],[ProductID]] &amp; "-" &amp; tbl_model[[#This Row],[LocationID]]</f>
        <v>504-50</v>
      </c>
    </row>
    <row r="533" spans="1:7">
      <c r="A533">
        <v>505</v>
      </c>
      <c r="B533">
        <v>1</v>
      </c>
      <c r="C533" t="str">
        <f>_xlfn.XLOOKUP(tbl_model[[#This Row],[ProductID]],tbl_product[ProductID],tbl_product[ProductName],"UNMAPPED_PRODUCT")</f>
        <v>Cone-Shaped Race</v>
      </c>
      <c r="D533" t="str">
        <f>_xlfn.XLOOKUP(tbl_model[[#This Row],[ProductID]],tbl_product[ProductID],tbl_product[ProductNumber],"UNMAPPED_PRODUCT")</f>
        <v>RA-7490</v>
      </c>
      <c r="E533" t="str">
        <f>_xlfn.XLOOKUP(tbl_model[[#This Row],[LocationID]],tbl_location[LocationID],tbl_location[LocationName],"UNMAPPED_LOCATION")</f>
        <v>Tool Crib</v>
      </c>
      <c r="F533">
        <v>388</v>
      </c>
      <c r="G533" s="1" t="str">
        <f>tbl_model[[#This Row],[ProductID]] &amp; "-" &amp; tbl_model[[#This Row],[LocationID]]</f>
        <v>505-1</v>
      </c>
    </row>
    <row r="534" spans="1:7">
      <c r="A534">
        <v>505</v>
      </c>
      <c r="B534">
        <v>6</v>
      </c>
      <c r="C534" t="str">
        <f>_xlfn.XLOOKUP(tbl_model[[#This Row],[ProductID]],tbl_product[ProductID],tbl_product[ProductName],"UNMAPPED_PRODUCT")</f>
        <v>Cone-Shaped Race</v>
      </c>
      <c r="D534" t="str">
        <f>_xlfn.XLOOKUP(tbl_model[[#This Row],[ProductID]],tbl_product[ProductID],tbl_product[ProductNumber],"UNMAPPED_PRODUCT")</f>
        <v>RA-7490</v>
      </c>
      <c r="E534" t="str">
        <f>_xlfn.XLOOKUP(tbl_model[[#This Row],[LocationID]],tbl_location[LocationID],tbl_location[LocationName],"UNMAPPED_LOCATION")</f>
        <v>Miscellaneous Storage</v>
      </c>
      <c r="F534">
        <v>299</v>
      </c>
      <c r="G534" s="1" t="str">
        <f>tbl_model[[#This Row],[ProductID]] &amp; "-" &amp; tbl_model[[#This Row],[LocationID]]</f>
        <v>505-6</v>
      </c>
    </row>
    <row r="535" spans="1:7">
      <c r="A535">
        <v>505</v>
      </c>
      <c r="B535">
        <v>50</v>
      </c>
      <c r="C535" t="str">
        <f>_xlfn.XLOOKUP(tbl_model[[#This Row],[ProductID]],tbl_product[ProductID],tbl_product[ProductName],"UNMAPPED_PRODUCT")</f>
        <v>Cone-Shaped Race</v>
      </c>
      <c r="D535" t="str">
        <f>_xlfn.XLOOKUP(tbl_model[[#This Row],[ProductID]],tbl_product[ProductID],tbl_product[ProductNumber],"UNMAPPED_PRODUCT")</f>
        <v>RA-7490</v>
      </c>
      <c r="E535" t="str">
        <f>_xlfn.XLOOKUP(tbl_model[[#This Row],[LocationID]],tbl_location[LocationID],tbl_location[LocationName],"UNMAPPED_LOCATION")</f>
        <v>Subassembly</v>
      </c>
      <c r="F535">
        <v>283</v>
      </c>
      <c r="G535" s="1" t="str">
        <f>tbl_model[[#This Row],[ProductID]] &amp; "-" &amp; tbl_model[[#This Row],[LocationID]]</f>
        <v>505-50</v>
      </c>
    </row>
    <row r="536" spans="1:7">
      <c r="A536">
        <v>506</v>
      </c>
      <c r="B536">
        <v>1</v>
      </c>
      <c r="C536" t="str">
        <f>_xlfn.XLOOKUP(tbl_model[[#This Row],[ProductID]],tbl_product[ProductID],tbl_product[ProductName],"UNMAPPED_PRODUCT")</f>
        <v>Reflector</v>
      </c>
      <c r="D536" t="str">
        <f>_xlfn.XLOOKUP(tbl_model[[#This Row],[ProductID]],tbl_product[ProductID],tbl_product[ProductNumber],"UNMAPPED_PRODUCT")</f>
        <v>RF-9198</v>
      </c>
      <c r="E536" t="str">
        <f>_xlfn.XLOOKUP(tbl_model[[#This Row],[LocationID]],tbl_location[LocationID],tbl_location[LocationName],"UNMAPPED_LOCATION")</f>
        <v>Tool Crib</v>
      </c>
      <c r="F536">
        <v>316</v>
      </c>
      <c r="G536" s="1" t="str">
        <f>tbl_model[[#This Row],[ProductID]] &amp; "-" &amp; tbl_model[[#This Row],[LocationID]]</f>
        <v>506-1</v>
      </c>
    </row>
    <row r="537" spans="1:7">
      <c r="A537">
        <v>506</v>
      </c>
      <c r="B537">
        <v>6</v>
      </c>
      <c r="C537" t="str">
        <f>_xlfn.XLOOKUP(tbl_model[[#This Row],[ProductID]],tbl_product[ProductID],tbl_product[ProductName],"UNMAPPED_PRODUCT")</f>
        <v>Reflector</v>
      </c>
      <c r="D537" t="str">
        <f>_xlfn.XLOOKUP(tbl_model[[#This Row],[ProductID]],tbl_product[ProductID],tbl_product[ProductNumber],"UNMAPPED_PRODUCT")</f>
        <v>RF-9198</v>
      </c>
      <c r="E537" t="str">
        <f>_xlfn.XLOOKUP(tbl_model[[#This Row],[LocationID]],tbl_location[LocationID],tbl_location[LocationName],"UNMAPPED_LOCATION")</f>
        <v>Miscellaneous Storage</v>
      </c>
      <c r="F537">
        <v>390</v>
      </c>
      <c r="G537" s="1" t="str">
        <f>tbl_model[[#This Row],[ProductID]] &amp; "-" &amp; tbl_model[[#This Row],[LocationID]]</f>
        <v>506-6</v>
      </c>
    </row>
    <row r="538" spans="1:7">
      <c r="A538">
        <v>506</v>
      </c>
      <c r="B538">
        <v>50</v>
      </c>
      <c r="C538" t="str">
        <f>_xlfn.XLOOKUP(tbl_model[[#This Row],[ProductID]],tbl_product[ProductID],tbl_product[ProductName],"UNMAPPED_PRODUCT")</f>
        <v>Reflector</v>
      </c>
      <c r="D538" t="str">
        <f>_xlfn.XLOOKUP(tbl_model[[#This Row],[ProductID]],tbl_product[ProductID],tbl_product[ProductNumber],"UNMAPPED_PRODUCT")</f>
        <v>RF-9198</v>
      </c>
      <c r="E538" t="str">
        <f>_xlfn.XLOOKUP(tbl_model[[#This Row],[LocationID]],tbl_location[LocationID],tbl_location[LocationName],"UNMAPPED_LOCATION")</f>
        <v>Subassembly</v>
      </c>
      <c r="F538">
        <v>121</v>
      </c>
      <c r="G538" s="1" t="str">
        <f>tbl_model[[#This Row],[ProductID]] &amp; "-" &amp; tbl_model[[#This Row],[LocationID]]</f>
        <v>506-50</v>
      </c>
    </row>
    <row r="539" spans="1:7">
      <c r="A539">
        <v>507</v>
      </c>
      <c r="B539">
        <v>6</v>
      </c>
      <c r="C539" t="str">
        <f>_xlfn.XLOOKUP(tbl_model[[#This Row],[ProductID]],tbl_product[ProductID],tbl_product[ProductName],"UNMAPPED_PRODUCT")</f>
        <v>LL Mountain Rim</v>
      </c>
      <c r="D539" t="str">
        <f>_xlfn.XLOOKUP(tbl_model[[#This Row],[ProductID]],tbl_product[ProductID],tbl_product[ProductNumber],"UNMAPPED_PRODUCT")</f>
        <v>RM-M464</v>
      </c>
      <c r="E539" t="str">
        <f>_xlfn.XLOOKUP(tbl_model[[#This Row],[LocationID]],tbl_location[LocationID],tbl_location[LocationName],"UNMAPPED_LOCATION")</f>
        <v>Miscellaneous Storage</v>
      </c>
      <c r="F539">
        <v>673</v>
      </c>
      <c r="G539" s="1" t="str">
        <f>tbl_model[[#This Row],[ProductID]] &amp; "-" &amp; tbl_model[[#This Row],[LocationID]]</f>
        <v>507-6</v>
      </c>
    </row>
    <row r="540" spans="1:7">
      <c r="A540">
        <v>507</v>
      </c>
      <c r="B540">
        <v>50</v>
      </c>
      <c r="C540" t="str">
        <f>_xlfn.XLOOKUP(tbl_model[[#This Row],[ProductID]],tbl_product[ProductID],tbl_product[ProductName],"UNMAPPED_PRODUCT")</f>
        <v>LL Mountain Rim</v>
      </c>
      <c r="D540" t="str">
        <f>_xlfn.XLOOKUP(tbl_model[[#This Row],[ProductID]],tbl_product[ProductID],tbl_product[ProductNumber],"UNMAPPED_PRODUCT")</f>
        <v>RM-M464</v>
      </c>
      <c r="E540" t="str">
        <f>_xlfn.XLOOKUP(tbl_model[[#This Row],[LocationID]],tbl_location[LocationID],tbl_location[LocationName],"UNMAPPED_LOCATION")</f>
        <v>Subassembly</v>
      </c>
      <c r="F540">
        <v>542</v>
      </c>
      <c r="G540" s="1" t="str">
        <f>tbl_model[[#This Row],[ProductID]] &amp; "-" &amp; tbl_model[[#This Row],[LocationID]]</f>
        <v>507-50</v>
      </c>
    </row>
    <row r="541" spans="1:7">
      <c r="A541">
        <v>508</v>
      </c>
      <c r="B541">
        <v>6</v>
      </c>
      <c r="C541" t="str">
        <f>_xlfn.XLOOKUP(tbl_model[[#This Row],[ProductID]],tbl_product[ProductID],tbl_product[ProductName],"UNMAPPED_PRODUCT")</f>
        <v>ML Mountain Rim</v>
      </c>
      <c r="D541" t="str">
        <f>_xlfn.XLOOKUP(tbl_model[[#This Row],[ProductID]],tbl_product[ProductID],tbl_product[ProductNumber],"UNMAPPED_PRODUCT")</f>
        <v>RM-M692</v>
      </c>
      <c r="E541" t="str">
        <f>_xlfn.XLOOKUP(tbl_model[[#This Row],[LocationID]],tbl_location[LocationID],tbl_location[LocationName],"UNMAPPED_LOCATION")</f>
        <v>Miscellaneous Storage</v>
      </c>
      <c r="F541">
        <v>681</v>
      </c>
      <c r="G541" s="1" t="str">
        <f>tbl_model[[#This Row],[ProductID]] &amp; "-" &amp; tbl_model[[#This Row],[LocationID]]</f>
        <v>508-6</v>
      </c>
    </row>
    <row r="542" spans="1:7">
      <c r="A542">
        <v>508</v>
      </c>
      <c r="B542">
        <v>50</v>
      </c>
      <c r="C542" t="str">
        <f>_xlfn.XLOOKUP(tbl_model[[#This Row],[ProductID]],tbl_product[ProductID],tbl_product[ProductName],"UNMAPPED_PRODUCT")</f>
        <v>ML Mountain Rim</v>
      </c>
      <c r="D542" t="str">
        <f>_xlfn.XLOOKUP(tbl_model[[#This Row],[ProductID]],tbl_product[ProductID],tbl_product[ProductNumber],"UNMAPPED_PRODUCT")</f>
        <v>RM-M692</v>
      </c>
      <c r="E542" t="str">
        <f>_xlfn.XLOOKUP(tbl_model[[#This Row],[LocationID]],tbl_location[LocationID],tbl_location[LocationName],"UNMAPPED_LOCATION")</f>
        <v>Subassembly</v>
      </c>
      <c r="F542">
        <v>550</v>
      </c>
      <c r="G542" s="1" t="str">
        <f>tbl_model[[#This Row],[ProductID]] &amp; "-" &amp; tbl_model[[#This Row],[LocationID]]</f>
        <v>508-50</v>
      </c>
    </row>
    <row r="543" spans="1:7">
      <c r="A543">
        <v>509</v>
      </c>
      <c r="B543">
        <v>6</v>
      </c>
      <c r="C543" t="str">
        <f>_xlfn.XLOOKUP(tbl_model[[#This Row],[ProductID]],tbl_product[ProductID],tbl_product[ProductName],"UNMAPPED_PRODUCT")</f>
        <v>HL Mountain Rim</v>
      </c>
      <c r="D543" t="str">
        <f>_xlfn.XLOOKUP(tbl_model[[#This Row],[ProductID]],tbl_product[ProductID],tbl_product[ProductNumber],"UNMAPPED_PRODUCT")</f>
        <v>RM-M823</v>
      </c>
      <c r="E543" t="str">
        <f>_xlfn.XLOOKUP(tbl_model[[#This Row],[LocationID]],tbl_location[LocationID],tbl_location[LocationName],"UNMAPPED_LOCATION")</f>
        <v>Miscellaneous Storage</v>
      </c>
      <c r="F543">
        <v>689</v>
      </c>
      <c r="G543" s="1" t="str">
        <f>tbl_model[[#This Row],[ProductID]] &amp; "-" &amp; tbl_model[[#This Row],[LocationID]]</f>
        <v>509-6</v>
      </c>
    </row>
    <row r="544" spans="1:7">
      <c r="A544">
        <v>509</v>
      </c>
      <c r="B544">
        <v>50</v>
      </c>
      <c r="C544" t="str">
        <f>_xlfn.XLOOKUP(tbl_model[[#This Row],[ProductID]],tbl_product[ProductID],tbl_product[ProductName],"UNMAPPED_PRODUCT")</f>
        <v>HL Mountain Rim</v>
      </c>
      <c r="D544" t="str">
        <f>_xlfn.XLOOKUP(tbl_model[[#This Row],[ProductID]],tbl_product[ProductID],tbl_product[ProductNumber],"UNMAPPED_PRODUCT")</f>
        <v>RM-M823</v>
      </c>
      <c r="E544" t="str">
        <f>_xlfn.XLOOKUP(tbl_model[[#This Row],[LocationID]],tbl_location[LocationID],tbl_location[LocationName],"UNMAPPED_LOCATION")</f>
        <v>Subassembly</v>
      </c>
      <c r="F544">
        <v>558</v>
      </c>
      <c r="G544" s="1" t="str">
        <f>tbl_model[[#This Row],[ProductID]] &amp; "-" &amp; tbl_model[[#This Row],[LocationID]]</f>
        <v>509-50</v>
      </c>
    </row>
    <row r="545" spans="1:7">
      <c r="A545">
        <v>510</v>
      </c>
      <c r="B545">
        <v>6</v>
      </c>
      <c r="C545" t="str">
        <f>_xlfn.XLOOKUP(tbl_model[[#This Row],[ProductID]],tbl_product[ProductID],tbl_product[ProductName],"UNMAPPED_PRODUCT")</f>
        <v>LL Road Rim</v>
      </c>
      <c r="D545" t="str">
        <f>_xlfn.XLOOKUP(tbl_model[[#This Row],[ProductID]],tbl_product[ProductID],tbl_product[ProductNumber],"UNMAPPED_PRODUCT")</f>
        <v>RM-R436</v>
      </c>
      <c r="E545" t="str">
        <f>_xlfn.XLOOKUP(tbl_model[[#This Row],[LocationID]],tbl_location[LocationID],tbl_location[LocationName],"UNMAPPED_LOCATION")</f>
        <v>Miscellaneous Storage</v>
      </c>
      <c r="F545">
        <v>406</v>
      </c>
      <c r="G545" s="1" t="str">
        <f>tbl_model[[#This Row],[ProductID]] &amp; "-" &amp; tbl_model[[#This Row],[LocationID]]</f>
        <v>510-6</v>
      </c>
    </row>
    <row r="546" spans="1:7">
      <c r="A546">
        <v>510</v>
      </c>
      <c r="B546">
        <v>50</v>
      </c>
      <c r="C546" t="str">
        <f>_xlfn.XLOOKUP(tbl_model[[#This Row],[ProductID]],tbl_product[ProductID],tbl_product[ProductName],"UNMAPPED_PRODUCT")</f>
        <v>LL Road Rim</v>
      </c>
      <c r="D546" t="str">
        <f>_xlfn.XLOOKUP(tbl_model[[#This Row],[ProductID]],tbl_product[ProductID],tbl_product[ProductNumber],"UNMAPPED_PRODUCT")</f>
        <v>RM-R436</v>
      </c>
      <c r="E546" t="str">
        <f>_xlfn.XLOOKUP(tbl_model[[#This Row],[LocationID]],tbl_location[LocationID],tbl_location[LocationName],"UNMAPPED_LOCATION")</f>
        <v>Subassembly</v>
      </c>
      <c r="F546">
        <v>316</v>
      </c>
      <c r="G546" s="1" t="str">
        <f>tbl_model[[#This Row],[ProductID]] &amp; "-" &amp; tbl_model[[#This Row],[LocationID]]</f>
        <v>510-50</v>
      </c>
    </row>
    <row r="547" spans="1:7">
      <c r="A547">
        <v>511</v>
      </c>
      <c r="B547">
        <v>6</v>
      </c>
      <c r="C547" t="str">
        <f>_xlfn.XLOOKUP(tbl_model[[#This Row],[ProductID]],tbl_product[ProductID],tbl_product[ProductName],"UNMAPPED_PRODUCT")</f>
        <v>ML Road Rim</v>
      </c>
      <c r="D547" t="str">
        <f>_xlfn.XLOOKUP(tbl_model[[#This Row],[ProductID]],tbl_product[ProductID],tbl_product[ProductNumber],"UNMAPPED_PRODUCT")</f>
        <v>RM-R600</v>
      </c>
      <c r="E547" t="str">
        <f>_xlfn.XLOOKUP(tbl_model[[#This Row],[LocationID]],tbl_location[LocationID],tbl_location[LocationName],"UNMAPPED_LOCATION")</f>
        <v>Miscellaneous Storage</v>
      </c>
      <c r="F547">
        <v>390</v>
      </c>
      <c r="G547" s="1" t="str">
        <f>tbl_model[[#This Row],[ProductID]] &amp; "-" &amp; tbl_model[[#This Row],[LocationID]]</f>
        <v>511-6</v>
      </c>
    </row>
    <row r="548" spans="1:7">
      <c r="A548">
        <v>511</v>
      </c>
      <c r="B548">
        <v>50</v>
      </c>
      <c r="C548" t="str">
        <f>_xlfn.XLOOKUP(tbl_model[[#This Row],[ProductID]],tbl_product[ProductID],tbl_product[ProductName],"UNMAPPED_PRODUCT")</f>
        <v>ML Road Rim</v>
      </c>
      <c r="D548" t="str">
        <f>_xlfn.XLOOKUP(tbl_model[[#This Row],[ProductID]],tbl_product[ProductID],tbl_product[ProductNumber],"UNMAPPED_PRODUCT")</f>
        <v>RM-R600</v>
      </c>
      <c r="E548" t="str">
        <f>_xlfn.XLOOKUP(tbl_model[[#This Row],[LocationID]],tbl_location[LocationID],tbl_location[LocationName],"UNMAPPED_LOCATION")</f>
        <v>Subassembly</v>
      </c>
      <c r="F548">
        <v>350</v>
      </c>
      <c r="G548" s="1" t="str">
        <f>tbl_model[[#This Row],[ProductID]] &amp; "-" &amp; tbl_model[[#This Row],[LocationID]]</f>
        <v>511-50</v>
      </c>
    </row>
    <row r="549" spans="1:7">
      <c r="A549">
        <v>512</v>
      </c>
      <c r="B549">
        <v>6</v>
      </c>
      <c r="C549" t="str">
        <f>_xlfn.XLOOKUP(tbl_model[[#This Row],[ProductID]],tbl_product[ProductID],tbl_product[ProductName],"UNMAPPED_PRODUCT")</f>
        <v>HL Road Rim</v>
      </c>
      <c r="D549" t="str">
        <f>_xlfn.XLOOKUP(tbl_model[[#This Row],[ProductID]],tbl_product[ProductID],tbl_product[ProductNumber],"UNMAPPED_PRODUCT")</f>
        <v>RM-R800</v>
      </c>
      <c r="E549" t="str">
        <f>_xlfn.XLOOKUP(tbl_model[[#This Row],[LocationID]],tbl_location[LocationID],tbl_location[LocationName],"UNMAPPED_LOCATION")</f>
        <v>Miscellaneous Storage</v>
      </c>
      <c r="F549">
        <v>334</v>
      </c>
      <c r="G549" s="1" t="str">
        <f>tbl_model[[#This Row],[ProductID]] &amp; "-" &amp; tbl_model[[#This Row],[LocationID]]</f>
        <v>512-6</v>
      </c>
    </row>
    <row r="550" spans="1:7">
      <c r="A550">
        <v>512</v>
      </c>
      <c r="B550">
        <v>50</v>
      </c>
      <c r="C550" t="str">
        <f>_xlfn.XLOOKUP(tbl_model[[#This Row],[ProductID]],tbl_product[ProductID],tbl_product[ProductName],"UNMAPPED_PRODUCT")</f>
        <v>HL Road Rim</v>
      </c>
      <c r="D550" t="str">
        <f>_xlfn.XLOOKUP(tbl_model[[#This Row],[ProductID]],tbl_product[ProductID],tbl_product[ProductNumber],"UNMAPPED_PRODUCT")</f>
        <v>RM-R800</v>
      </c>
      <c r="E550" t="str">
        <f>_xlfn.XLOOKUP(tbl_model[[#This Row],[LocationID]],tbl_location[LocationID],tbl_location[LocationName],"UNMAPPED_LOCATION")</f>
        <v>Subassembly</v>
      </c>
      <c r="F550">
        <v>281</v>
      </c>
      <c r="G550" s="1" t="str">
        <f>tbl_model[[#This Row],[ProductID]] &amp; "-" &amp; tbl_model[[#This Row],[LocationID]]</f>
        <v>512-50</v>
      </c>
    </row>
    <row r="551" spans="1:7">
      <c r="A551">
        <v>513</v>
      </c>
      <c r="B551">
        <v>6</v>
      </c>
      <c r="C551" t="str">
        <f>_xlfn.XLOOKUP(tbl_model[[#This Row],[ProductID]],tbl_product[ProductID],tbl_product[ProductName],"UNMAPPED_PRODUCT")</f>
        <v>Touring Rim</v>
      </c>
      <c r="D551" t="str">
        <f>_xlfn.XLOOKUP(tbl_model[[#This Row],[ProductID]],tbl_product[ProductID],tbl_product[ProductNumber],"UNMAPPED_PRODUCT")</f>
        <v>RM-T801</v>
      </c>
      <c r="E551" t="str">
        <f>_xlfn.XLOOKUP(tbl_model[[#This Row],[LocationID]],tbl_location[LocationID],tbl_location[LocationName],"UNMAPPED_LOCATION")</f>
        <v>Miscellaneous Storage</v>
      </c>
      <c r="F551">
        <v>640</v>
      </c>
      <c r="G551" s="1" t="str">
        <f>tbl_model[[#This Row],[ProductID]] &amp; "-" &amp; tbl_model[[#This Row],[LocationID]]</f>
        <v>513-6</v>
      </c>
    </row>
    <row r="552" spans="1:7">
      <c r="A552">
        <v>513</v>
      </c>
      <c r="B552">
        <v>50</v>
      </c>
      <c r="C552" t="str">
        <f>_xlfn.XLOOKUP(tbl_model[[#This Row],[ProductID]],tbl_product[ProductID],tbl_product[ProductName],"UNMAPPED_PRODUCT")</f>
        <v>Touring Rim</v>
      </c>
      <c r="D552" t="str">
        <f>_xlfn.XLOOKUP(tbl_model[[#This Row],[ProductID]],tbl_product[ProductID],tbl_product[ProductNumber],"UNMAPPED_PRODUCT")</f>
        <v>RM-T801</v>
      </c>
      <c r="E552" t="str">
        <f>_xlfn.XLOOKUP(tbl_model[[#This Row],[LocationID]],tbl_location[LocationID],tbl_location[LocationName],"UNMAPPED_LOCATION")</f>
        <v>Subassembly</v>
      </c>
      <c r="F552">
        <v>724</v>
      </c>
      <c r="G552" s="1" t="str">
        <f>tbl_model[[#This Row],[ProductID]] &amp; "-" &amp; tbl_model[[#This Row],[LocationID]]</f>
        <v>513-50</v>
      </c>
    </row>
    <row r="553" spans="1:7">
      <c r="A553">
        <v>514</v>
      </c>
      <c r="B553">
        <v>6</v>
      </c>
      <c r="C553" t="str">
        <f>_xlfn.XLOOKUP(tbl_model[[#This Row],[ProductID]],tbl_product[ProductID],tbl_product[ProductName],"UNMAPPED_PRODUCT")</f>
        <v>LL Mountain Seat Assembly</v>
      </c>
      <c r="D553" t="str">
        <f>_xlfn.XLOOKUP(tbl_model[[#This Row],[ProductID]],tbl_product[ProductID],tbl_product[ProductNumber],"UNMAPPED_PRODUCT")</f>
        <v>SA-M198</v>
      </c>
      <c r="E553" t="str">
        <f>_xlfn.XLOOKUP(tbl_model[[#This Row],[LocationID]],tbl_location[LocationID],tbl_location[LocationName],"UNMAPPED_LOCATION")</f>
        <v>Miscellaneous Storage</v>
      </c>
      <c r="F553">
        <v>267</v>
      </c>
      <c r="G553" s="1" t="str">
        <f>tbl_model[[#This Row],[ProductID]] &amp; "-" &amp; tbl_model[[#This Row],[LocationID]]</f>
        <v>514-6</v>
      </c>
    </row>
    <row r="554" spans="1:7">
      <c r="A554">
        <v>514</v>
      </c>
      <c r="B554">
        <v>50</v>
      </c>
      <c r="C554" t="str">
        <f>_xlfn.XLOOKUP(tbl_model[[#This Row],[ProductID]],tbl_product[ProductID],tbl_product[ProductName],"UNMAPPED_PRODUCT")</f>
        <v>LL Mountain Seat Assembly</v>
      </c>
      <c r="D554" t="str">
        <f>_xlfn.XLOOKUP(tbl_model[[#This Row],[ProductID]],tbl_product[ProductID],tbl_product[ProductNumber],"UNMAPPED_PRODUCT")</f>
        <v>SA-M198</v>
      </c>
      <c r="E554" t="str">
        <f>_xlfn.XLOOKUP(tbl_model[[#This Row],[LocationID]],tbl_location[LocationID],tbl_location[LocationName],"UNMAPPED_LOCATION")</f>
        <v>Subassembly</v>
      </c>
      <c r="F554">
        <v>318</v>
      </c>
      <c r="G554" s="1" t="str">
        <f>tbl_model[[#This Row],[ProductID]] &amp; "-" &amp; tbl_model[[#This Row],[LocationID]]</f>
        <v>514-50</v>
      </c>
    </row>
    <row r="555" spans="1:7">
      <c r="A555">
        <v>514</v>
      </c>
      <c r="B555">
        <v>60</v>
      </c>
      <c r="C555" t="str">
        <f>_xlfn.XLOOKUP(tbl_model[[#This Row],[ProductID]],tbl_product[ProductID],tbl_product[ProductName],"UNMAPPED_PRODUCT")</f>
        <v>LL Mountain Seat Assembly</v>
      </c>
      <c r="D555" t="str">
        <f>_xlfn.XLOOKUP(tbl_model[[#This Row],[ProductID]],tbl_product[ProductID],tbl_product[ProductNumber],"UNMAPPED_PRODUCT")</f>
        <v>SA-M198</v>
      </c>
      <c r="E555" t="str">
        <f>_xlfn.XLOOKUP(tbl_model[[#This Row],[LocationID]],tbl_location[LocationID],tbl_location[LocationName],"UNMAPPED_LOCATION")</f>
        <v>Final Assembly</v>
      </c>
      <c r="F555">
        <v>212</v>
      </c>
      <c r="G555" s="1" t="str">
        <f>tbl_model[[#This Row],[ProductID]] &amp; "-" &amp; tbl_model[[#This Row],[LocationID]]</f>
        <v>514-60</v>
      </c>
    </row>
    <row r="556" spans="1:7">
      <c r="A556">
        <v>515</v>
      </c>
      <c r="B556">
        <v>6</v>
      </c>
      <c r="C556" t="str">
        <f>_xlfn.XLOOKUP(tbl_model[[#This Row],[ProductID]],tbl_product[ProductID],tbl_product[ProductName],"UNMAPPED_PRODUCT")</f>
        <v>ML Mountain Seat Assembly</v>
      </c>
      <c r="D556" t="str">
        <f>_xlfn.XLOOKUP(tbl_model[[#This Row],[ProductID]],tbl_product[ProductID],tbl_product[ProductNumber],"UNMAPPED_PRODUCT")</f>
        <v>SA-M237</v>
      </c>
      <c r="E556" t="str">
        <f>_xlfn.XLOOKUP(tbl_model[[#This Row],[LocationID]],tbl_location[LocationID],tbl_location[LocationName],"UNMAPPED_LOCATION")</f>
        <v>Miscellaneous Storage</v>
      </c>
      <c r="F556">
        <v>268</v>
      </c>
      <c r="G556" s="1" t="str">
        <f>tbl_model[[#This Row],[ProductID]] &amp; "-" &amp; tbl_model[[#This Row],[LocationID]]</f>
        <v>515-6</v>
      </c>
    </row>
    <row r="557" spans="1:7">
      <c r="A557">
        <v>515</v>
      </c>
      <c r="B557">
        <v>50</v>
      </c>
      <c r="C557" t="str">
        <f>_xlfn.XLOOKUP(tbl_model[[#This Row],[ProductID]],tbl_product[ProductID],tbl_product[ProductName],"UNMAPPED_PRODUCT")</f>
        <v>ML Mountain Seat Assembly</v>
      </c>
      <c r="D557" t="str">
        <f>_xlfn.XLOOKUP(tbl_model[[#This Row],[ProductID]],tbl_product[ProductID],tbl_product[ProductNumber],"UNMAPPED_PRODUCT")</f>
        <v>SA-M237</v>
      </c>
      <c r="E557" t="str">
        <f>_xlfn.XLOOKUP(tbl_model[[#This Row],[LocationID]],tbl_location[LocationID],tbl_location[LocationName],"UNMAPPED_LOCATION")</f>
        <v>Subassembly</v>
      </c>
      <c r="F557">
        <v>320</v>
      </c>
      <c r="G557" s="1" t="str">
        <f>tbl_model[[#This Row],[ProductID]] &amp; "-" &amp; tbl_model[[#This Row],[LocationID]]</f>
        <v>515-50</v>
      </c>
    </row>
    <row r="558" spans="1:7">
      <c r="A558">
        <v>515</v>
      </c>
      <c r="B558">
        <v>60</v>
      </c>
      <c r="C558" t="str">
        <f>_xlfn.XLOOKUP(tbl_model[[#This Row],[ProductID]],tbl_product[ProductID],tbl_product[ProductName],"UNMAPPED_PRODUCT")</f>
        <v>ML Mountain Seat Assembly</v>
      </c>
      <c r="D558" t="str">
        <f>_xlfn.XLOOKUP(tbl_model[[#This Row],[ProductID]],tbl_product[ProductID],tbl_product[ProductNumber],"UNMAPPED_PRODUCT")</f>
        <v>SA-M237</v>
      </c>
      <c r="E558" t="str">
        <f>_xlfn.XLOOKUP(tbl_model[[#This Row],[LocationID]],tbl_location[LocationID],tbl_location[LocationName],"UNMAPPED_LOCATION")</f>
        <v>Final Assembly</v>
      </c>
      <c r="F558">
        <v>214</v>
      </c>
      <c r="G558" s="1" t="str">
        <f>tbl_model[[#This Row],[ProductID]] &amp; "-" &amp; tbl_model[[#This Row],[LocationID]]</f>
        <v>515-60</v>
      </c>
    </row>
    <row r="559" spans="1:7">
      <c r="A559">
        <v>516</v>
      </c>
      <c r="B559">
        <v>6</v>
      </c>
      <c r="C559" t="str">
        <f>_xlfn.XLOOKUP(tbl_model[[#This Row],[ProductID]],tbl_product[ProductID],tbl_product[ProductName],"UNMAPPED_PRODUCT")</f>
        <v>HL Mountain Seat Assembly</v>
      </c>
      <c r="D559" t="str">
        <f>_xlfn.XLOOKUP(tbl_model[[#This Row],[ProductID]],tbl_product[ProductID],tbl_product[ProductNumber],"UNMAPPED_PRODUCT")</f>
        <v>SA-M687</v>
      </c>
      <c r="E559" t="str">
        <f>_xlfn.XLOOKUP(tbl_model[[#This Row],[LocationID]],tbl_location[LocationID],tbl_location[LocationName],"UNMAPPED_LOCATION")</f>
        <v>Miscellaneous Storage</v>
      </c>
      <c r="F559">
        <v>270</v>
      </c>
      <c r="G559" s="1" t="str">
        <f>tbl_model[[#This Row],[ProductID]] &amp; "-" &amp; tbl_model[[#This Row],[LocationID]]</f>
        <v>516-6</v>
      </c>
    </row>
    <row r="560" spans="1:7">
      <c r="A560">
        <v>516</v>
      </c>
      <c r="B560">
        <v>50</v>
      </c>
      <c r="C560" t="str">
        <f>_xlfn.XLOOKUP(tbl_model[[#This Row],[ProductID]],tbl_product[ProductID],tbl_product[ProductName],"UNMAPPED_PRODUCT")</f>
        <v>HL Mountain Seat Assembly</v>
      </c>
      <c r="D560" t="str">
        <f>_xlfn.XLOOKUP(tbl_model[[#This Row],[ProductID]],tbl_product[ProductID],tbl_product[ProductNumber],"UNMAPPED_PRODUCT")</f>
        <v>SA-M687</v>
      </c>
      <c r="E560" t="str">
        <f>_xlfn.XLOOKUP(tbl_model[[#This Row],[LocationID]],tbl_location[LocationID],tbl_location[LocationName],"UNMAPPED_LOCATION")</f>
        <v>Subassembly</v>
      </c>
      <c r="F560">
        <v>321</v>
      </c>
      <c r="G560" s="1" t="str">
        <f>tbl_model[[#This Row],[ProductID]] &amp; "-" &amp; tbl_model[[#This Row],[LocationID]]</f>
        <v>516-50</v>
      </c>
    </row>
    <row r="561" spans="1:7">
      <c r="A561">
        <v>516</v>
      </c>
      <c r="B561">
        <v>60</v>
      </c>
      <c r="C561" t="str">
        <f>_xlfn.XLOOKUP(tbl_model[[#This Row],[ProductID]],tbl_product[ProductID],tbl_product[ProductName],"UNMAPPED_PRODUCT")</f>
        <v>HL Mountain Seat Assembly</v>
      </c>
      <c r="D561" t="str">
        <f>_xlfn.XLOOKUP(tbl_model[[#This Row],[ProductID]],tbl_product[ProductID],tbl_product[ProductNumber],"UNMAPPED_PRODUCT")</f>
        <v>SA-M687</v>
      </c>
      <c r="E561" t="str">
        <f>_xlfn.XLOOKUP(tbl_model[[#This Row],[LocationID]],tbl_location[LocationID],tbl_location[LocationName],"UNMAPPED_LOCATION")</f>
        <v>Final Assembly</v>
      </c>
      <c r="F561">
        <v>216</v>
      </c>
      <c r="G561" s="1" t="str">
        <f>tbl_model[[#This Row],[ProductID]] &amp; "-" &amp; tbl_model[[#This Row],[LocationID]]</f>
        <v>516-60</v>
      </c>
    </row>
    <row r="562" spans="1:7">
      <c r="A562">
        <v>517</v>
      </c>
      <c r="B562">
        <v>6</v>
      </c>
      <c r="C562" t="str">
        <f>_xlfn.XLOOKUP(tbl_model[[#This Row],[ProductID]],tbl_product[ProductID],tbl_product[ProductName],"UNMAPPED_PRODUCT")</f>
        <v>LL Road Seat Assembly</v>
      </c>
      <c r="D562" t="str">
        <f>_xlfn.XLOOKUP(tbl_model[[#This Row],[ProductID]],tbl_product[ProductID],tbl_product[ProductNumber],"UNMAPPED_PRODUCT")</f>
        <v>SA-R127</v>
      </c>
      <c r="E562" t="str">
        <f>_xlfn.XLOOKUP(tbl_model[[#This Row],[LocationID]],tbl_location[LocationID],tbl_location[LocationName],"UNMAPPED_LOCATION")</f>
        <v>Miscellaneous Storage</v>
      </c>
      <c r="F562">
        <v>272</v>
      </c>
      <c r="G562" s="1" t="str">
        <f>tbl_model[[#This Row],[ProductID]] &amp; "-" &amp; tbl_model[[#This Row],[LocationID]]</f>
        <v>517-6</v>
      </c>
    </row>
    <row r="563" spans="1:7">
      <c r="A563">
        <v>517</v>
      </c>
      <c r="B563">
        <v>50</v>
      </c>
      <c r="C563" t="str">
        <f>_xlfn.XLOOKUP(tbl_model[[#This Row],[ProductID]],tbl_product[ProductID],tbl_product[ProductName],"UNMAPPED_PRODUCT")</f>
        <v>LL Road Seat Assembly</v>
      </c>
      <c r="D563" t="str">
        <f>_xlfn.XLOOKUP(tbl_model[[#This Row],[ProductID]],tbl_product[ProductID],tbl_product[ProductNumber],"UNMAPPED_PRODUCT")</f>
        <v>SA-R127</v>
      </c>
      <c r="E563" t="str">
        <f>_xlfn.XLOOKUP(tbl_model[[#This Row],[LocationID]],tbl_location[LocationID],tbl_location[LocationName],"UNMAPPED_LOCATION")</f>
        <v>Subassembly</v>
      </c>
      <c r="F563">
        <v>323</v>
      </c>
      <c r="G563" s="1" t="str">
        <f>tbl_model[[#This Row],[ProductID]] &amp; "-" &amp; tbl_model[[#This Row],[LocationID]]</f>
        <v>517-50</v>
      </c>
    </row>
    <row r="564" spans="1:7">
      <c r="A564">
        <v>517</v>
      </c>
      <c r="B564">
        <v>60</v>
      </c>
      <c r="C564" t="str">
        <f>_xlfn.XLOOKUP(tbl_model[[#This Row],[ProductID]],tbl_product[ProductID],tbl_product[ProductName],"UNMAPPED_PRODUCT")</f>
        <v>LL Road Seat Assembly</v>
      </c>
      <c r="D564" t="str">
        <f>_xlfn.XLOOKUP(tbl_model[[#This Row],[ProductID]],tbl_product[ProductID],tbl_product[ProductNumber],"UNMAPPED_PRODUCT")</f>
        <v>SA-R127</v>
      </c>
      <c r="E564" t="str">
        <f>_xlfn.XLOOKUP(tbl_model[[#This Row],[LocationID]],tbl_location[LocationID],tbl_location[LocationName],"UNMAPPED_LOCATION")</f>
        <v>Final Assembly</v>
      </c>
      <c r="F564">
        <v>217</v>
      </c>
      <c r="G564" s="1" t="str">
        <f>tbl_model[[#This Row],[ProductID]] &amp; "-" &amp; tbl_model[[#This Row],[LocationID]]</f>
        <v>517-60</v>
      </c>
    </row>
    <row r="565" spans="1:7">
      <c r="A565">
        <v>518</v>
      </c>
      <c r="B565">
        <v>6</v>
      </c>
      <c r="C565" t="str">
        <f>_xlfn.XLOOKUP(tbl_model[[#This Row],[ProductID]],tbl_product[ProductID],tbl_product[ProductName],"UNMAPPED_PRODUCT")</f>
        <v>ML Road Seat Assembly</v>
      </c>
      <c r="D565" t="str">
        <f>_xlfn.XLOOKUP(tbl_model[[#This Row],[ProductID]],tbl_product[ProductID],tbl_product[ProductNumber],"UNMAPPED_PRODUCT")</f>
        <v>SA-R430</v>
      </c>
      <c r="E565" t="str">
        <f>_xlfn.XLOOKUP(tbl_model[[#This Row],[LocationID]],tbl_location[LocationID],tbl_location[LocationName],"UNMAPPED_LOCATION")</f>
        <v>Miscellaneous Storage</v>
      </c>
      <c r="F565">
        <v>273</v>
      </c>
      <c r="G565" s="1" t="str">
        <f>tbl_model[[#This Row],[ProductID]] &amp; "-" &amp; tbl_model[[#This Row],[LocationID]]</f>
        <v>518-6</v>
      </c>
    </row>
    <row r="566" spans="1:7">
      <c r="A566">
        <v>518</v>
      </c>
      <c r="B566">
        <v>50</v>
      </c>
      <c r="C566" t="str">
        <f>_xlfn.XLOOKUP(tbl_model[[#This Row],[ProductID]],tbl_product[ProductID],tbl_product[ProductName],"UNMAPPED_PRODUCT")</f>
        <v>ML Road Seat Assembly</v>
      </c>
      <c r="D566" t="str">
        <f>_xlfn.XLOOKUP(tbl_model[[#This Row],[ProductID]],tbl_product[ProductID],tbl_product[ProductNumber],"UNMAPPED_PRODUCT")</f>
        <v>SA-R430</v>
      </c>
      <c r="E566" t="str">
        <f>_xlfn.XLOOKUP(tbl_model[[#This Row],[LocationID]],tbl_location[LocationID],tbl_location[LocationName],"UNMAPPED_LOCATION")</f>
        <v>Subassembly</v>
      </c>
      <c r="F566">
        <v>324</v>
      </c>
      <c r="G566" s="1" t="str">
        <f>tbl_model[[#This Row],[ProductID]] &amp; "-" &amp; tbl_model[[#This Row],[LocationID]]</f>
        <v>518-50</v>
      </c>
    </row>
    <row r="567" spans="1:7">
      <c r="A567">
        <v>518</v>
      </c>
      <c r="B567">
        <v>60</v>
      </c>
      <c r="C567" t="str">
        <f>_xlfn.XLOOKUP(tbl_model[[#This Row],[ProductID]],tbl_product[ProductID],tbl_product[ProductName],"UNMAPPED_PRODUCT")</f>
        <v>ML Road Seat Assembly</v>
      </c>
      <c r="D567" t="str">
        <f>_xlfn.XLOOKUP(tbl_model[[#This Row],[ProductID]],tbl_product[ProductID],tbl_product[ProductNumber],"UNMAPPED_PRODUCT")</f>
        <v>SA-R430</v>
      </c>
      <c r="E567" t="str">
        <f>_xlfn.XLOOKUP(tbl_model[[#This Row],[LocationID]],tbl_location[LocationID],tbl_location[LocationName],"UNMAPPED_LOCATION")</f>
        <v>Final Assembly</v>
      </c>
      <c r="F567">
        <v>219</v>
      </c>
      <c r="G567" s="1" t="str">
        <f>tbl_model[[#This Row],[ProductID]] &amp; "-" &amp; tbl_model[[#This Row],[LocationID]]</f>
        <v>518-60</v>
      </c>
    </row>
    <row r="568" spans="1:7">
      <c r="A568">
        <v>519</v>
      </c>
      <c r="B568">
        <v>6</v>
      </c>
      <c r="C568" t="str">
        <f>_xlfn.XLOOKUP(tbl_model[[#This Row],[ProductID]],tbl_product[ProductID],tbl_product[ProductName],"UNMAPPED_PRODUCT")</f>
        <v>HL Road Seat Assembly</v>
      </c>
      <c r="D568" t="str">
        <f>_xlfn.XLOOKUP(tbl_model[[#This Row],[ProductID]],tbl_product[ProductID],tbl_product[ProductNumber],"UNMAPPED_PRODUCT")</f>
        <v>SA-R522</v>
      </c>
      <c r="E568" t="str">
        <f>_xlfn.XLOOKUP(tbl_model[[#This Row],[LocationID]],tbl_location[LocationID],tbl_location[LocationName],"UNMAPPED_LOCATION")</f>
        <v>Miscellaneous Storage</v>
      </c>
      <c r="F568">
        <v>275</v>
      </c>
      <c r="G568" s="1" t="str">
        <f>tbl_model[[#This Row],[ProductID]] &amp; "-" &amp; tbl_model[[#This Row],[LocationID]]</f>
        <v>519-6</v>
      </c>
    </row>
    <row r="569" spans="1:7">
      <c r="A569">
        <v>519</v>
      </c>
      <c r="B569">
        <v>50</v>
      </c>
      <c r="C569" t="str">
        <f>_xlfn.XLOOKUP(tbl_model[[#This Row],[ProductID]],tbl_product[ProductID],tbl_product[ProductName],"UNMAPPED_PRODUCT")</f>
        <v>HL Road Seat Assembly</v>
      </c>
      <c r="D569" t="str">
        <f>_xlfn.XLOOKUP(tbl_model[[#This Row],[ProductID]],tbl_product[ProductID],tbl_product[ProductNumber],"UNMAPPED_PRODUCT")</f>
        <v>SA-R522</v>
      </c>
      <c r="E569" t="str">
        <f>_xlfn.XLOOKUP(tbl_model[[#This Row],[LocationID]],tbl_location[LocationID],tbl_location[LocationName],"UNMAPPED_LOCATION")</f>
        <v>Subassembly</v>
      </c>
      <c r="F569">
        <v>326</v>
      </c>
      <c r="G569" s="1" t="str">
        <f>tbl_model[[#This Row],[ProductID]] &amp; "-" &amp; tbl_model[[#This Row],[LocationID]]</f>
        <v>519-50</v>
      </c>
    </row>
    <row r="570" spans="1:7">
      <c r="A570">
        <v>519</v>
      </c>
      <c r="B570">
        <v>60</v>
      </c>
      <c r="C570" t="str">
        <f>_xlfn.XLOOKUP(tbl_model[[#This Row],[ProductID]],tbl_product[ProductID],tbl_product[ProductName],"UNMAPPED_PRODUCT")</f>
        <v>HL Road Seat Assembly</v>
      </c>
      <c r="D570" t="str">
        <f>_xlfn.XLOOKUP(tbl_model[[#This Row],[ProductID]],tbl_product[ProductID],tbl_product[ProductNumber],"UNMAPPED_PRODUCT")</f>
        <v>SA-R522</v>
      </c>
      <c r="E570" t="str">
        <f>_xlfn.XLOOKUP(tbl_model[[#This Row],[LocationID]],tbl_location[LocationID],tbl_location[LocationName],"UNMAPPED_LOCATION")</f>
        <v>Final Assembly</v>
      </c>
      <c r="F570">
        <v>220</v>
      </c>
      <c r="G570" s="1" t="str">
        <f>tbl_model[[#This Row],[ProductID]] &amp; "-" &amp; tbl_model[[#This Row],[LocationID]]</f>
        <v>519-60</v>
      </c>
    </row>
    <row r="571" spans="1:7">
      <c r="A571">
        <v>520</v>
      </c>
      <c r="B571">
        <v>6</v>
      </c>
      <c r="C571" t="str">
        <f>_xlfn.XLOOKUP(tbl_model[[#This Row],[ProductID]],tbl_product[ProductID],tbl_product[ProductName],"UNMAPPED_PRODUCT")</f>
        <v>LL Touring Seat Assembly</v>
      </c>
      <c r="D571" t="str">
        <f>_xlfn.XLOOKUP(tbl_model[[#This Row],[ProductID]],tbl_product[ProductID],tbl_product[ProductNumber],"UNMAPPED_PRODUCT")</f>
        <v>SA-T467</v>
      </c>
      <c r="E571" t="str">
        <f>_xlfn.XLOOKUP(tbl_model[[#This Row],[LocationID]],tbl_location[LocationID],tbl_location[LocationName],"UNMAPPED_LOCATION")</f>
        <v>Miscellaneous Storage</v>
      </c>
      <c r="F571">
        <v>276</v>
      </c>
      <c r="G571" s="1" t="str">
        <f>tbl_model[[#This Row],[ProductID]] &amp; "-" &amp; tbl_model[[#This Row],[LocationID]]</f>
        <v>520-6</v>
      </c>
    </row>
    <row r="572" spans="1:7">
      <c r="A572">
        <v>520</v>
      </c>
      <c r="B572">
        <v>50</v>
      </c>
      <c r="C572" t="str">
        <f>_xlfn.XLOOKUP(tbl_model[[#This Row],[ProductID]],tbl_product[ProductID],tbl_product[ProductName],"UNMAPPED_PRODUCT")</f>
        <v>LL Touring Seat Assembly</v>
      </c>
      <c r="D572" t="str">
        <f>_xlfn.XLOOKUP(tbl_model[[#This Row],[ProductID]],tbl_product[ProductID],tbl_product[ProductNumber],"UNMAPPED_PRODUCT")</f>
        <v>SA-T467</v>
      </c>
      <c r="E572" t="str">
        <f>_xlfn.XLOOKUP(tbl_model[[#This Row],[LocationID]],tbl_location[LocationID],tbl_location[LocationName],"UNMAPPED_LOCATION")</f>
        <v>Subassembly</v>
      </c>
      <c r="F572">
        <v>328</v>
      </c>
      <c r="G572" s="1" t="str">
        <f>tbl_model[[#This Row],[ProductID]] &amp; "-" &amp; tbl_model[[#This Row],[LocationID]]</f>
        <v>520-50</v>
      </c>
    </row>
    <row r="573" spans="1:7">
      <c r="A573">
        <v>520</v>
      </c>
      <c r="B573">
        <v>60</v>
      </c>
      <c r="C573" t="str">
        <f>_xlfn.XLOOKUP(tbl_model[[#This Row],[ProductID]],tbl_product[ProductID],tbl_product[ProductName],"UNMAPPED_PRODUCT")</f>
        <v>LL Touring Seat Assembly</v>
      </c>
      <c r="D573" t="str">
        <f>_xlfn.XLOOKUP(tbl_model[[#This Row],[ProductID]],tbl_product[ProductID],tbl_product[ProductNumber],"UNMAPPED_PRODUCT")</f>
        <v>SA-T467</v>
      </c>
      <c r="E573" t="str">
        <f>_xlfn.XLOOKUP(tbl_model[[#This Row],[LocationID]],tbl_location[LocationID],tbl_location[LocationName],"UNMAPPED_LOCATION")</f>
        <v>Final Assembly</v>
      </c>
      <c r="F573">
        <v>222</v>
      </c>
      <c r="G573" s="1" t="str">
        <f>tbl_model[[#This Row],[ProductID]] &amp; "-" &amp; tbl_model[[#This Row],[LocationID]]</f>
        <v>520-60</v>
      </c>
    </row>
    <row r="574" spans="1:7">
      <c r="A574">
        <v>521</v>
      </c>
      <c r="B574">
        <v>6</v>
      </c>
      <c r="C574" t="str">
        <f>_xlfn.XLOOKUP(tbl_model[[#This Row],[ProductID]],tbl_product[ProductID],tbl_product[ProductName],"UNMAPPED_PRODUCT")</f>
        <v>ML Touring Seat Assembly</v>
      </c>
      <c r="D574" t="str">
        <f>_xlfn.XLOOKUP(tbl_model[[#This Row],[ProductID]],tbl_product[ProductID],tbl_product[ProductNumber],"UNMAPPED_PRODUCT")</f>
        <v>SA-T612</v>
      </c>
      <c r="E574" t="str">
        <f>_xlfn.XLOOKUP(tbl_model[[#This Row],[LocationID]],tbl_location[LocationID],tbl_location[LocationName],"UNMAPPED_LOCATION")</f>
        <v>Miscellaneous Storage</v>
      </c>
      <c r="F574">
        <v>278</v>
      </c>
      <c r="G574" s="1" t="str">
        <f>tbl_model[[#This Row],[ProductID]] &amp; "-" &amp; tbl_model[[#This Row],[LocationID]]</f>
        <v>521-6</v>
      </c>
    </row>
    <row r="575" spans="1:7">
      <c r="A575">
        <v>521</v>
      </c>
      <c r="B575">
        <v>50</v>
      </c>
      <c r="C575" t="str">
        <f>_xlfn.XLOOKUP(tbl_model[[#This Row],[ProductID]],tbl_product[ProductID],tbl_product[ProductName],"UNMAPPED_PRODUCT")</f>
        <v>ML Touring Seat Assembly</v>
      </c>
      <c r="D575" t="str">
        <f>_xlfn.XLOOKUP(tbl_model[[#This Row],[ProductID]],tbl_product[ProductID],tbl_product[ProductNumber],"UNMAPPED_PRODUCT")</f>
        <v>SA-T612</v>
      </c>
      <c r="E575" t="str">
        <f>_xlfn.XLOOKUP(tbl_model[[#This Row],[LocationID]],tbl_location[LocationID],tbl_location[LocationName],"UNMAPPED_LOCATION")</f>
        <v>Subassembly</v>
      </c>
      <c r="F575">
        <v>329</v>
      </c>
      <c r="G575" s="1" t="str">
        <f>tbl_model[[#This Row],[ProductID]] &amp; "-" &amp; tbl_model[[#This Row],[LocationID]]</f>
        <v>521-50</v>
      </c>
    </row>
    <row r="576" spans="1:7">
      <c r="A576">
        <v>521</v>
      </c>
      <c r="B576">
        <v>60</v>
      </c>
      <c r="C576" t="str">
        <f>_xlfn.XLOOKUP(tbl_model[[#This Row],[ProductID]],tbl_product[ProductID],tbl_product[ProductName],"UNMAPPED_PRODUCT")</f>
        <v>ML Touring Seat Assembly</v>
      </c>
      <c r="D576" t="str">
        <f>_xlfn.XLOOKUP(tbl_model[[#This Row],[ProductID]],tbl_product[ProductID],tbl_product[ProductNumber],"UNMAPPED_PRODUCT")</f>
        <v>SA-T612</v>
      </c>
      <c r="E576" t="str">
        <f>_xlfn.XLOOKUP(tbl_model[[#This Row],[LocationID]],tbl_location[LocationID],tbl_location[LocationName],"UNMAPPED_LOCATION")</f>
        <v>Final Assembly</v>
      </c>
      <c r="F576">
        <v>224</v>
      </c>
      <c r="G576" s="1" t="str">
        <f>tbl_model[[#This Row],[ProductID]] &amp; "-" &amp; tbl_model[[#This Row],[LocationID]]</f>
        <v>521-60</v>
      </c>
    </row>
    <row r="577" spans="1:7">
      <c r="A577">
        <v>522</v>
      </c>
      <c r="B577">
        <v>6</v>
      </c>
      <c r="C577" t="str">
        <f>_xlfn.XLOOKUP(tbl_model[[#This Row],[ProductID]],tbl_product[ProductID],tbl_product[ProductName],"UNMAPPED_PRODUCT")</f>
        <v>HL Touring Seat Assembly</v>
      </c>
      <c r="D577" t="str">
        <f>_xlfn.XLOOKUP(tbl_model[[#This Row],[ProductID]],tbl_product[ProductID],tbl_product[ProductNumber],"UNMAPPED_PRODUCT")</f>
        <v>SA-T872</v>
      </c>
      <c r="E577" t="str">
        <f>_xlfn.XLOOKUP(tbl_model[[#This Row],[LocationID]],tbl_location[LocationID],tbl_location[LocationName],"UNMAPPED_LOCATION")</f>
        <v>Miscellaneous Storage</v>
      </c>
      <c r="F577">
        <v>280</v>
      </c>
      <c r="G577" s="1" t="str">
        <f>tbl_model[[#This Row],[ProductID]] &amp; "-" &amp; tbl_model[[#This Row],[LocationID]]</f>
        <v>522-6</v>
      </c>
    </row>
    <row r="578" spans="1:7">
      <c r="A578">
        <v>522</v>
      </c>
      <c r="B578">
        <v>50</v>
      </c>
      <c r="C578" t="str">
        <f>_xlfn.XLOOKUP(tbl_model[[#This Row],[ProductID]],tbl_product[ProductID],tbl_product[ProductName],"UNMAPPED_PRODUCT")</f>
        <v>HL Touring Seat Assembly</v>
      </c>
      <c r="D578" t="str">
        <f>_xlfn.XLOOKUP(tbl_model[[#This Row],[ProductID]],tbl_product[ProductID],tbl_product[ProductNumber],"UNMAPPED_PRODUCT")</f>
        <v>SA-T872</v>
      </c>
      <c r="E578" t="str">
        <f>_xlfn.XLOOKUP(tbl_model[[#This Row],[LocationID]],tbl_location[LocationID],tbl_location[LocationName],"UNMAPPED_LOCATION")</f>
        <v>Subassembly</v>
      </c>
      <c r="F578">
        <v>331</v>
      </c>
      <c r="G578" s="1" t="str">
        <f>tbl_model[[#This Row],[ProductID]] &amp; "-" &amp; tbl_model[[#This Row],[LocationID]]</f>
        <v>522-50</v>
      </c>
    </row>
    <row r="579" spans="1:7">
      <c r="A579">
        <v>522</v>
      </c>
      <c r="B579">
        <v>60</v>
      </c>
      <c r="C579" t="str">
        <f>_xlfn.XLOOKUP(tbl_model[[#This Row],[ProductID]],tbl_product[ProductID],tbl_product[ProductName],"UNMAPPED_PRODUCT")</f>
        <v>HL Touring Seat Assembly</v>
      </c>
      <c r="D579" t="str">
        <f>_xlfn.XLOOKUP(tbl_model[[#This Row],[ProductID]],tbl_product[ProductID],tbl_product[ProductNumber],"UNMAPPED_PRODUCT")</f>
        <v>SA-T872</v>
      </c>
      <c r="E579" t="str">
        <f>_xlfn.XLOOKUP(tbl_model[[#This Row],[LocationID]],tbl_location[LocationID],tbl_location[LocationName],"UNMAPPED_LOCATION")</f>
        <v>Final Assembly</v>
      </c>
      <c r="F579">
        <v>225</v>
      </c>
      <c r="G579" s="1" t="str">
        <f>tbl_model[[#This Row],[ProductID]] &amp; "-" &amp; tbl_model[[#This Row],[LocationID]]</f>
        <v>522-60</v>
      </c>
    </row>
    <row r="580" spans="1:7">
      <c r="A580">
        <v>523</v>
      </c>
      <c r="B580">
        <v>6</v>
      </c>
      <c r="C580" t="str">
        <f>_xlfn.XLOOKUP(tbl_model[[#This Row],[ProductID]],tbl_product[ProductID],tbl_product[ProductName],"UNMAPPED_PRODUCT")</f>
        <v>LL Spindle/Axle</v>
      </c>
      <c r="D580" t="str">
        <f>_xlfn.XLOOKUP(tbl_model[[#This Row],[ProductID]],tbl_product[ProductID],tbl_product[ProductNumber],"UNMAPPED_PRODUCT")</f>
        <v>SD-2342</v>
      </c>
      <c r="E580" t="str">
        <f>_xlfn.XLOOKUP(tbl_model[[#This Row],[LocationID]],tbl_location[LocationID],tbl_location[LocationName],"UNMAPPED_LOCATION")</f>
        <v>Miscellaneous Storage</v>
      </c>
      <c r="F580">
        <v>164</v>
      </c>
      <c r="G580" s="1" t="str">
        <f>tbl_model[[#This Row],[ProductID]] &amp; "-" &amp; tbl_model[[#This Row],[LocationID]]</f>
        <v>523-6</v>
      </c>
    </row>
    <row r="581" spans="1:7">
      <c r="A581">
        <v>523</v>
      </c>
      <c r="B581">
        <v>50</v>
      </c>
      <c r="C581" t="str">
        <f>_xlfn.XLOOKUP(tbl_model[[#This Row],[ProductID]],tbl_product[ProductID],tbl_product[ProductName],"UNMAPPED_PRODUCT")</f>
        <v>LL Spindle/Axle</v>
      </c>
      <c r="D581" t="str">
        <f>_xlfn.XLOOKUP(tbl_model[[#This Row],[ProductID]],tbl_product[ProductID],tbl_product[ProductNumber],"UNMAPPED_PRODUCT")</f>
        <v>SD-2342</v>
      </c>
      <c r="E581" t="str">
        <f>_xlfn.XLOOKUP(tbl_model[[#This Row],[LocationID]],tbl_location[LocationID],tbl_location[LocationName],"UNMAPPED_LOCATION")</f>
        <v>Subassembly</v>
      </c>
      <c r="F581">
        <v>209</v>
      </c>
      <c r="G581" s="1" t="str">
        <f>tbl_model[[#This Row],[ProductID]] &amp; "-" &amp; tbl_model[[#This Row],[LocationID]]</f>
        <v>523-50</v>
      </c>
    </row>
    <row r="582" spans="1:7">
      <c r="A582">
        <v>523</v>
      </c>
      <c r="B582">
        <v>60</v>
      </c>
      <c r="C582" t="str">
        <f>_xlfn.XLOOKUP(tbl_model[[#This Row],[ProductID]],tbl_product[ProductID],tbl_product[ProductName],"UNMAPPED_PRODUCT")</f>
        <v>LL Spindle/Axle</v>
      </c>
      <c r="D582" t="str">
        <f>_xlfn.XLOOKUP(tbl_model[[#This Row],[ProductID]],tbl_product[ProductID],tbl_product[ProductNumber],"UNMAPPED_PRODUCT")</f>
        <v>SD-2342</v>
      </c>
      <c r="E582" t="str">
        <f>_xlfn.XLOOKUP(tbl_model[[#This Row],[LocationID]],tbl_location[LocationID],tbl_location[LocationName],"UNMAPPED_LOCATION")</f>
        <v>Final Assembly</v>
      </c>
      <c r="F582">
        <v>139</v>
      </c>
      <c r="G582" s="1" t="str">
        <f>tbl_model[[#This Row],[ProductID]] &amp; "-" &amp; tbl_model[[#This Row],[LocationID]]</f>
        <v>523-60</v>
      </c>
    </row>
    <row r="583" spans="1:7">
      <c r="A583">
        <v>524</v>
      </c>
      <c r="B583">
        <v>6</v>
      </c>
      <c r="C583" t="str">
        <f>_xlfn.XLOOKUP(tbl_model[[#This Row],[ProductID]],tbl_product[ProductID],tbl_product[ProductName],"UNMAPPED_PRODUCT")</f>
        <v>HL Spindle/Axle</v>
      </c>
      <c r="D583" t="str">
        <f>_xlfn.XLOOKUP(tbl_model[[#This Row],[ProductID]],tbl_product[ProductID],tbl_product[ProductNumber],"UNMAPPED_PRODUCT")</f>
        <v>SD-9872</v>
      </c>
      <c r="E583" t="str">
        <f>_xlfn.XLOOKUP(tbl_model[[#This Row],[LocationID]],tbl_location[LocationID],tbl_location[LocationName],"UNMAPPED_LOCATION")</f>
        <v>Miscellaneous Storage</v>
      </c>
      <c r="F583">
        <v>124</v>
      </c>
      <c r="G583" s="1" t="str">
        <f>tbl_model[[#This Row],[ProductID]] &amp; "-" &amp; tbl_model[[#This Row],[LocationID]]</f>
        <v>524-6</v>
      </c>
    </row>
    <row r="584" spans="1:7">
      <c r="A584">
        <v>524</v>
      </c>
      <c r="B584">
        <v>50</v>
      </c>
      <c r="C584" t="str">
        <f>_xlfn.XLOOKUP(tbl_model[[#This Row],[ProductID]],tbl_product[ProductID],tbl_product[ProductName],"UNMAPPED_PRODUCT")</f>
        <v>HL Spindle/Axle</v>
      </c>
      <c r="D584" t="str">
        <f>_xlfn.XLOOKUP(tbl_model[[#This Row],[ProductID]],tbl_product[ProductID],tbl_product[ProductNumber],"UNMAPPED_PRODUCT")</f>
        <v>SD-9872</v>
      </c>
      <c r="E584" t="str">
        <f>_xlfn.XLOOKUP(tbl_model[[#This Row],[LocationID]],tbl_location[LocationID],tbl_location[LocationName],"UNMAPPED_LOCATION")</f>
        <v>Subassembly</v>
      </c>
      <c r="F584">
        <v>228</v>
      </c>
      <c r="G584" s="1" t="str">
        <f>tbl_model[[#This Row],[ProductID]] &amp; "-" &amp; tbl_model[[#This Row],[LocationID]]</f>
        <v>524-50</v>
      </c>
    </row>
    <row r="585" spans="1:7">
      <c r="A585">
        <v>524</v>
      </c>
      <c r="B585">
        <v>60</v>
      </c>
      <c r="C585" t="str">
        <f>_xlfn.XLOOKUP(tbl_model[[#This Row],[ProductID]],tbl_product[ProductID],tbl_product[ProductName],"UNMAPPED_PRODUCT")</f>
        <v>HL Spindle/Axle</v>
      </c>
      <c r="D585" t="str">
        <f>_xlfn.XLOOKUP(tbl_model[[#This Row],[ProductID]],tbl_product[ProductID],tbl_product[ProductNumber],"UNMAPPED_PRODUCT")</f>
        <v>SD-9872</v>
      </c>
      <c r="E585" t="str">
        <f>_xlfn.XLOOKUP(tbl_model[[#This Row],[LocationID]],tbl_location[LocationID],tbl_location[LocationName],"UNMAPPED_LOCATION")</f>
        <v>Final Assembly</v>
      </c>
      <c r="F585">
        <v>107</v>
      </c>
      <c r="G585" s="1" t="str">
        <f>tbl_model[[#This Row],[ProductID]] &amp; "-" &amp; tbl_model[[#This Row],[LocationID]]</f>
        <v>524-60</v>
      </c>
    </row>
    <row r="586" spans="1:7">
      <c r="A586">
        <v>525</v>
      </c>
      <c r="B586">
        <v>6</v>
      </c>
      <c r="C586" t="str">
        <f>_xlfn.XLOOKUP(tbl_model[[#This Row],[ProductID]],tbl_product[ProductID],tbl_product[ProductName],"UNMAPPED_PRODUCT")</f>
        <v>LL Shell</v>
      </c>
      <c r="D586" t="str">
        <f>_xlfn.XLOOKUP(tbl_model[[#This Row],[ProductID]],tbl_product[ProductID],tbl_product[ProductNumber],"UNMAPPED_PRODUCT")</f>
        <v>SH-4562</v>
      </c>
      <c r="E586" t="str">
        <f>_xlfn.XLOOKUP(tbl_model[[#This Row],[LocationID]],tbl_location[LocationID],tbl_location[LocationName],"UNMAPPED_LOCATION")</f>
        <v>Miscellaneous Storage</v>
      </c>
      <c r="F586">
        <v>644</v>
      </c>
      <c r="G586" s="1" t="str">
        <f>tbl_model[[#This Row],[ProductID]] &amp; "-" &amp; tbl_model[[#This Row],[LocationID]]</f>
        <v>525-6</v>
      </c>
    </row>
    <row r="587" spans="1:7">
      <c r="A587">
        <v>525</v>
      </c>
      <c r="B587">
        <v>50</v>
      </c>
      <c r="C587" t="str">
        <f>_xlfn.XLOOKUP(tbl_model[[#This Row],[ProductID]],tbl_product[ProductID],tbl_product[ProductName],"UNMAPPED_PRODUCT")</f>
        <v>LL Shell</v>
      </c>
      <c r="D587" t="str">
        <f>_xlfn.XLOOKUP(tbl_model[[#This Row],[ProductID]],tbl_product[ProductID],tbl_product[ProductNumber],"UNMAPPED_PRODUCT")</f>
        <v>SH-4562</v>
      </c>
      <c r="E587" t="str">
        <f>_xlfn.XLOOKUP(tbl_model[[#This Row],[LocationID]],tbl_location[LocationID],tbl_location[LocationName],"UNMAPPED_LOCATION")</f>
        <v>Subassembly</v>
      </c>
      <c r="F587">
        <v>619</v>
      </c>
      <c r="G587" s="1" t="str">
        <f>tbl_model[[#This Row],[ProductID]] &amp; "-" &amp; tbl_model[[#This Row],[LocationID]]</f>
        <v>525-50</v>
      </c>
    </row>
    <row r="588" spans="1:7">
      <c r="A588">
        <v>526</v>
      </c>
      <c r="B588">
        <v>6</v>
      </c>
      <c r="C588" t="str">
        <f>_xlfn.XLOOKUP(tbl_model[[#This Row],[ProductID]],tbl_product[ProductID],tbl_product[ProductName],"UNMAPPED_PRODUCT")</f>
        <v>HL Shell</v>
      </c>
      <c r="D588" t="str">
        <f>_xlfn.XLOOKUP(tbl_model[[#This Row],[ProductID]],tbl_product[ProductID],tbl_product[ProductNumber],"UNMAPPED_PRODUCT")</f>
        <v>SH-9312</v>
      </c>
      <c r="E588" t="str">
        <f>_xlfn.XLOOKUP(tbl_model[[#This Row],[LocationID]],tbl_location[LocationID],tbl_location[LocationName],"UNMAPPED_LOCATION")</f>
        <v>Miscellaneous Storage</v>
      </c>
      <c r="F588">
        <v>587</v>
      </c>
      <c r="G588" s="1" t="str">
        <f>tbl_model[[#This Row],[ProductID]] &amp; "-" &amp; tbl_model[[#This Row],[LocationID]]</f>
        <v>526-6</v>
      </c>
    </row>
    <row r="589" spans="1:7">
      <c r="A589">
        <v>526</v>
      </c>
      <c r="B589">
        <v>50</v>
      </c>
      <c r="C589" t="str">
        <f>_xlfn.XLOOKUP(tbl_model[[#This Row],[ProductID]],tbl_product[ProductID],tbl_product[ProductName],"UNMAPPED_PRODUCT")</f>
        <v>HL Shell</v>
      </c>
      <c r="D589" t="str">
        <f>_xlfn.XLOOKUP(tbl_model[[#This Row],[ProductID]],tbl_product[ProductID],tbl_product[ProductNumber],"UNMAPPED_PRODUCT")</f>
        <v>SH-9312</v>
      </c>
      <c r="E589" t="str">
        <f>_xlfn.XLOOKUP(tbl_model[[#This Row],[LocationID]],tbl_location[LocationID],tbl_location[LocationName],"UNMAPPED_LOCATION")</f>
        <v>Subassembly</v>
      </c>
      <c r="F589">
        <v>624</v>
      </c>
      <c r="G589" s="1" t="str">
        <f>tbl_model[[#This Row],[ProductID]] &amp; "-" &amp; tbl_model[[#This Row],[LocationID]]</f>
        <v>526-50</v>
      </c>
    </row>
    <row r="590" spans="1:7">
      <c r="A590">
        <v>527</v>
      </c>
      <c r="B590">
        <v>6</v>
      </c>
      <c r="C590" t="str">
        <f>_xlfn.XLOOKUP(tbl_model[[#This Row],[ProductID]],tbl_product[ProductID],tbl_product[ProductName],"UNMAPPED_PRODUCT")</f>
        <v>Spokes</v>
      </c>
      <c r="D590" t="str">
        <f>_xlfn.XLOOKUP(tbl_model[[#This Row],[ProductID]],tbl_product[ProductID],tbl_product[ProductNumber],"UNMAPPED_PRODUCT")</f>
        <v>SK-9283</v>
      </c>
      <c r="E590" t="str">
        <f>_xlfn.XLOOKUP(tbl_model[[#This Row],[LocationID]],tbl_location[LocationID],tbl_location[LocationName],"UNMAPPED_LOCATION")</f>
        <v>Miscellaneous Storage</v>
      </c>
      <c r="F590">
        <v>888</v>
      </c>
      <c r="G590" s="1" t="str">
        <f>tbl_model[[#This Row],[ProductID]] &amp; "-" &amp; tbl_model[[#This Row],[LocationID]]</f>
        <v>527-6</v>
      </c>
    </row>
    <row r="591" spans="1:7">
      <c r="A591">
        <v>527</v>
      </c>
      <c r="B591">
        <v>50</v>
      </c>
      <c r="C591" t="str">
        <f>_xlfn.XLOOKUP(tbl_model[[#This Row],[ProductID]],tbl_product[ProductID],tbl_product[ProductName],"UNMAPPED_PRODUCT")</f>
        <v>Spokes</v>
      </c>
      <c r="D591" t="str">
        <f>_xlfn.XLOOKUP(tbl_model[[#This Row],[ProductID]],tbl_product[ProductID],tbl_product[ProductNumber],"UNMAPPED_PRODUCT")</f>
        <v>SK-9283</v>
      </c>
      <c r="E591" t="str">
        <f>_xlfn.XLOOKUP(tbl_model[[#This Row],[LocationID]],tbl_location[LocationID],tbl_location[LocationName],"UNMAPPED_LOCATION")</f>
        <v>Subassembly</v>
      </c>
      <c r="F591">
        <v>702</v>
      </c>
      <c r="G591" s="1" t="str">
        <f>tbl_model[[#This Row],[ProductID]] &amp; "-" &amp; tbl_model[[#This Row],[LocationID]]</f>
        <v>527-50</v>
      </c>
    </row>
    <row r="592" spans="1:7">
      <c r="A592">
        <v>528</v>
      </c>
      <c r="B592">
        <v>6</v>
      </c>
      <c r="C592" t="str">
        <f>_xlfn.XLOOKUP(tbl_model[[#This Row],[ProductID]],tbl_product[ProductID],tbl_product[ProductName],"UNMAPPED_PRODUCT")</f>
        <v>Seat Lug</v>
      </c>
      <c r="D592" t="str">
        <f>_xlfn.XLOOKUP(tbl_model[[#This Row],[ProductID]],tbl_product[ProductID],tbl_product[ProductNumber],"UNMAPPED_PRODUCT")</f>
        <v>SL-0931</v>
      </c>
      <c r="E592" t="str">
        <f>_xlfn.XLOOKUP(tbl_model[[#This Row],[LocationID]],tbl_location[LocationID],tbl_location[LocationName],"UNMAPPED_LOCATION")</f>
        <v>Miscellaneous Storage</v>
      </c>
      <c r="F592">
        <v>924</v>
      </c>
      <c r="G592" s="1" t="str">
        <f>tbl_model[[#This Row],[ProductID]] &amp; "-" &amp; tbl_model[[#This Row],[LocationID]]</f>
        <v>528-6</v>
      </c>
    </row>
    <row r="593" spans="1:7">
      <c r="A593">
        <v>528</v>
      </c>
      <c r="B593">
        <v>60</v>
      </c>
      <c r="C593" t="str">
        <f>_xlfn.XLOOKUP(tbl_model[[#This Row],[ProductID]],tbl_product[ProductID],tbl_product[ProductName],"UNMAPPED_PRODUCT")</f>
        <v>Seat Lug</v>
      </c>
      <c r="D593" t="str">
        <f>_xlfn.XLOOKUP(tbl_model[[#This Row],[ProductID]],tbl_product[ProductID],tbl_product[ProductNumber],"UNMAPPED_PRODUCT")</f>
        <v>SL-0931</v>
      </c>
      <c r="E593" t="str">
        <f>_xlfn.XLOOKUP(tbl_model[[#This Row],[LocationID]],tbl_location[LocationID],tbl_location[LocationName],"UNMAPPED_LOCATION")</f>
        <v>Final Assembly</v>
      </c>
      <c r="F593">
        <v>729</v>
      </c>
      <c r="G593" s="1" t="str">
        <f>tbl_model[[#This Row],[ProductID]] &amp; "-" &amp; tbl_model[[#This Row],[LocationID]]</f>
        <v>528-60</v>
      </c>
    </row>
    <row r="594" spans="1:7">
      <c r="A594">
        <v>529</v>
      </c>
      <c r="B594">
        <v>6</v>
      </c>
      <c r="C594" t="str">
        <f>_xlfn.XLOOKUP(tbl_model[[#This Row],[ProductID]],tbl_product[ProductID],tbl_product[ProductName],"UNMAPPED_PRODUCT")</f>
        <v>Stem</v>
      </c>
      <c r="D594" t="str">
        <f>_xlfn.XLOOKUP(tbl_model[[#This Row],[ProductID]],tbl_product[ProductID],tbl_product[ProductNumber],"UNMAPPED_PRODUCT")</f>
        <v>SM-9087</v>
      </c>
      <c r="E594" t="str">
        <f>_xlfn.XLOOKUP(tbl_model[[#This Row],[LocationID]],tbl_location[LocationID],tbl_location[LocationName],"UNMAPPED_LOCATION")</f>
        <v>Miscellaneous Storage</v>
      </c>
      <c r="F594">
        <v>425</v>
      </c>
      <c r="G594" s="1" t="str">
        <f>tbl_model[[#This Row],[ProductID]] &amp; "-" &amp; tbl_model[[#This Row],[LocationID]]</f>
        <v>529-6</v>
      </c>
    </row>
    <row r="595" spans="1:7">
      <c r="A595">
        <v>529</v>
      </c>
      <c r="B595">
        <v>60</v>
      </c>
      <c r="C595" t="str">
        <f>_xlfn.XLOOKUP(tbl_model[[#This Row],[ProductID]],tbl_product[ProductID],tbl_product[ProductName],"UNMAPPED_PRODUCT")</f>
        <v>Stem</v>
      </c>
      <c r="D595" t="str">
        <f>_xlfn.XLOOKUP(tbl_model[[#This Row],[ProductID]],tbl_product[ProductID],tbl_product[ProductNumber],"UNMAPPED_PRODUCT")</f>
        <v>SM-9087</v>
      </c>
      <c r="E595" t="str">
        <f>_xlfn.XLOOKUP(tbl_model[[#This Row],[LocationID]],tbl_location[LocationID],tbl_location[LocationName],"UNMAPPED_LOCATION")</f>
        <v>Final Assembly</v>
      </c>
      <c r="F595">
        <v>371</v>
      </c>
      <c r="G595" s="1" t="str">
        <f>tbl_model[[#This Row],[ProductID]] &amp; "-" &amp; tbl_model[[#This Row],[LocationID]]</f>
        <v>529-60</v>
      </c>
    </row>
    <row r="596" spans="1:7">
      <c r="A596">
        <v>530</v>
      </c>
      <c r="B596">
        <v>6</v>
      </c>
      <c r="C596" t="str">
        <f>_xlfn.XLOOKUP(tbl_model[[#This Row],[ProductID]],tbl_product[ProductID],tbl_product[ProductName],"UNMAPPED_PRODUCT")</f>
        <v>Seat Post</v>
      </c>
      <c r="D596" t="str">
        <f>_xlfn.XLOOKUP(tbl_model[[#This Row],[ProductID]],tbl_product[ProductID],tbl_product[ProductNumber],"UNMAPPED_PRODUCT")</f>
        <v>SP-2981</v>
      </c>
      <c r="E596" t="str">
        <f>_xlfn.XLOOKUP(tbl_model[[#This Row],[LocationID]],tbl_location[LocationID],tbl_location[LocationName],"UNMAPPED_LOCATION")</f>
        <v>Miscellaneous Storage</v>
      </c>
      <c r="F596">
        <v>336</v>
      </c>
      <c r="G596" s="1" t="str">
        <f>tbl_model[[#This Row],[ProductID]] &amp; "-" &amp; tbl_model[[#This Row],[LocationID]]</f>
        <v>530-6</v>
      </c>
    </row>
    <row r="597" spans="1:7">
      <c r="A597">
        <v>530</v>
      </c>
      <c r="B597">
        <v>60</v>
      </c>
      <c r="C597" t="str">
        <f>_xlfn.XLOOKUP(tbl_model[[#This Row],[ProductID]],tbl_product[ProductID],tbl_product[ProductName],"UNMAPPED_PRODUCT")</f>
        <v>Seat Post</v>
      </c>
      <c r="D597" t="str">
        <f>_xlfn.XLOOKUP(tbl_model[[#This Row],[ProductID]],tbl_product[ProductID],tbl_product[ProductNumber],"UNMAPPED_PRODUCT")</f>
        <v>SP-2981</v>
      </c>
      <c r="E597" t="str">
        <f>_xlfn.XLOOKUP(tbl_model[[#This Row],[LocationID]],tbl_location[LocationID],tbl_location[LocationName],"UNMAPPED_LOCATION")</f>
        <v>Final Assembly</v>
      </c>
      <c r="F597">
        <v>444</v>
      </c>
      <c r="G597" s="1" t="str">
        <f>tbl_model[[#This Row],[ProductID]] &amp; "-" &amp; tbl_model[[#This Row],[LocationID]]</f>
        <v>530-60</v>
      </c>
    </row>
    <row r="598" spans="1:7">
      <c r="A598">
        <v>531</v>
      </c>
      <c r="B598">
        <v>6</v>
      </c>
      <c r="C598" t="str">
        <f>_xlfn.XLOOKUP(tbl_model[[#This Row],[ProductID]],tbl_product[ProductID],tbl_product[ProductName],"UNMAPPED_PRODUCT")</f>
        <v>Steerer</v>
      </c>
      <c r="D598" t="str">
        <f>_xlfn.XLOOKUP(tbl_model[[#This Row],[ProductID]],tbl_product[ProductID],tbl_product[ProductNumber],"UNMAPPED_PRODUCT")</f>
        <v>SR-2098</v>
      </c>
      <c r="E598" t="str">
        <f>_xlfn.XLOOKUP(tbl_model[[#This Row],[LocationID]],tbl_location[LocationID],tbl_location[LocationName],"UNMAPPED_LOCATION")</f>
        <v>Miscellaneous Storage</v>
      </c>
      <c r="F598">
        <v>427</v>
      </c>
      <c r="G598" s="1" t="str">
        <f>tbl_model[[#This Row],[ProductID]] &amp; "-" &amp; tbl_model[[#This Row],[LocationID]]</f>
        <v>531-6</v>
      </c>
    </row>
    <row r="599" spans="1:7">
      <c r="A599">
        <v>531</v>
      </c>
      <c r="B599">
        <v>60</v>
      </c>
      <c r="C599" t="str">
        <f>_xlfn.XLOOKUP(tbl_model[[#This Row],[ProductID]],tbl_product[ProductID],tbl_product[ProductName],"UNMAPPED_PRODUCT")</f>
        <v>Steerer</v>
      </c>
      <c r="D599" t="str">
        <f>_xlfn.XLOOKUP(tbl_model[[#This Row],[ProductID]],tbl_product[ProductID],tbl_product[ProductNumber],"UNMAPPED_PRODUCT")</f>
        <v>SR-2098</v>
      </c>
      <c r="E599" t="str">
        <f>_xlfn.XLOOKUP(tbl_model[[#This Row],[LocationID]],tbl_location[LocationID],tbl_location[LocationName],"UNMAPPED_LOCATION")</f>
        <v>Final Assembly</v>
      </c>
      <c r="F599">
        <v>374</v>
      </c>
      <c r="G599" s="1" t="str">
        <f>tbl_model[[#This Row],[ProductID]] &amp; "-" &amp; tbl_model[[#This Row],[LocationID]]</f>
        <v>531-60</v>
      </c>
    </row>
    <row r="600" spans="1:7">
      <c r="A600">
        <v>532</v>
      </c>
      <c r="B600">
        <v>6</v>
      </c>
      <c r="C600" t="str">
        <f>_xlfn.XLOOKUP(tbl_model[[#This Row],[ProductID]],tbl_product[ProductID],tbl_product[ProductName],"UNMAPPED_PRODUCT")</f>
        <v>Seat Stays</v>
      </c>
      <c r="D600" t="str">
        <f>_xlfn.XLOOKUP(tbl_model[[#This Row],[ProductID]],tbl_product[ProductID],tbl_product[ProductNumber],"UNMAPPED_PRODUCT")</f>
        <v>SS-2985</v>
      </c>
      <c r="E600" t="str">
        <f>_xlfn.XLOOKUP(tbl_model[[#This Row],[LocationID]],tbl_location[LocationID],tbl_location[LocationName],"UNMAPPED_LOCATION")</f>
        <v>Miscellaneous Storage</v>
      </c>
      <c r="F600">
        <v>715</v>
      </c>
      <c r="G600" s="1" t="str">
        <f>tbl_model[[#This Row],[ProductID]] &amp; "-" &amp; tbl_model[[#This Row],[LocationID]]</f>
        <v>532-6</v>
      </c>
    </row>
    <row r="601" spans="1:7">
      <c r="A601">
        <v>532</v>
      </c>
      <c r="B601">
        <v>60</v>
      </c>
      <c r="C601" t="str">
        <f>_xlfn.XLOOKUP(tbl_model[[#This Row],[ProductID]],tbl_product[ProductID],tbl_product[ProductName],"UNMAPPED_PRODUCT")</f>
        <v>Seat Stays</v>
      </c>
      <c r="D601" t="str">
        <f>_xlfn.XLOOKUP(tbl_model[[#This Row],[ProductID]],tbl_product[ProductID],tbl_product[ProductNumber],"UNMAPPED_PRODUCT")</f>
        <v>SS-2985</v>
      </c>
      <c r="E601" t="str">
        <f>_xlfn.XLOOKUP(tbl_model[[#This Row],[LocationID]],tbl_location[LocationID],tbl_location[LocationName],"UNMAPPED_LOCATION")</f>
        <v>Final Assembly</v>
      </c>
      <c r="F601">
        <v>542</v>
      </c>
      <c r="G601" s="1" t="str">
        <f>tbl_model[[#This Row],[ProductID]] &amp; "-" &amp; tbl_model[[#This Row],[LocationID]]</f>
        <v>532-60</v>
      </c>
    </row>
    <row r="602" spans="1:7">
      <c r="A602">
        <v>533</v>
      </c>
      <c r="B602">
        <v>6</v>
      </c>
      <c r="C602" t="str">
        <f>_xlfn.XLOOKUP(tbl_model[[#This Row],[ProductID]],tbl_product[ProductID],tbl_product[ProductName],"UNMAPPED_PRODUCT")</f>
        <v>Seat Tube</v>
      </c>
      <c r="D602" t="str">
        <f>_xlfn.XLOOKUP(tbl_model[[#This Row],[ProductID]],tbl_product[ProductID],tbl_product[ProductNumber],"UNMAPPED_PRODUCT")</f>
        <v>ST-9828</v>
      </c>
      <c r="E602" t="str">
        <f>_xlfn.XLOOKUP(tbl_model[[#This Row],[LocationID]],tbl_location[LocationID],tbl_location[LocationName],"UNMAPPED_LOCATION")</f>
        <v>Miscellaneous Storage</v>
      </c>
      <c r="F602">
        <v>443</v>
      </c>
      <c r="G602" s="1" t="str">
        <f>tbl_model[[#This Row],[ProductID]] &amp; "-" &amp; tbl_model[[#This Row],[LocationID]]</f>
        <v>533-6</v>
      </c>
    </row>
    <row r="603" spans="1:7">
      <c r="A603">
        <v>533</v>
      </c>
      <c r="B603">
        <v>60</v>
      </c>
      <c r="C603" t="str">
        <f>_xlfn.XLOOKUP(tbl_model[[#This Row],[ProductID]],tbl_product[ProductID],tbl_product[ProductName],"UNMAPPED_PRODUCT")</f>
        <v>Seat Tube</v>
      </c>
      <c r="D603" t="str">
        <f>_xlfn.XLOOKUP(tbl_model[[#This Row],[ProductID]],tbl_product[ProductID],tbl_product[ProductNumber],"UNMAPPED_PRODUCT")</f>
        <v>ST-9828</v>
      </c>
      <c r="E603" t="str">
        <f>_xlfn.XLOOKUP(tbl_model[[#This Row],[LocationID]],tbl_location[LocationID],tbl_location[LocationName],"UNMAPPED_LOCATION")</f>
        <v>Final Assembly</v>
      </c>
      <c r="F603">
        <v>388</v>
      </c>
      <c r="G603" s="1" t="str">
        <f>tbl_model[[#This Row],[ProductID]] &amp; "-" &amp; tbl_model[[#This Row],[LocationID]]</f>
        <v>533-60</v>
      </c>
    </row>
    <row r="604" spans="1:7">
      <c r="A604">
        <v>534</v>
      </c>
      <c r="B604">
        <v>6</v>
      </c>
      <c r="C604" t="str">
        <f>_xlfn.XLOOKUP(tbl_model[[#This Row],[ProductID]],tbl_product[ProductID],tbl_product[ProductName],"UNMAPPED_PRODUCT")</f>
        <v>Top Tube</v>
      </c>
      <c r="D604" t="str">
        <f>_xlfn.XLOOKUP(tbl_model[[#This Row],[ProductID]],tbl_product[ProductID],tbl_product[ProductNumber],"UNMAPPED_PRODUCT")</f>
        <v>TO-2301</v>
      </c>
      <c r="E604" t="str">
        <f>_xlfn.XLOOKUP(tbl_model[[#This Row],[LocationID]],tbl_location[LocationID],tbl_location[LocationName],"UNMAPPED_LOCATION")</f>
        <v>Miscellaneous Storage</v>
      </c>
      <c r="F604">
        <v>379</v>
      </c>
      <c r="G604" s="1" t="str">
        <f>tbl_model[[#This Row],[ProductID]] &amp; "-" &amp; tbl_model[[#This Row],[LocationID]]</f>
        <v>534-6</v>
      </c>
    </row>
    <row r="605" spans="1:7">
      <c r="A605">
        <v>534</v>
      </c>
      <c r="B605">
        <v>50</v>
      </c>
      <c r="C605" t="str">
        <f>_xlfn.XLOOKUP(tbl_model[[#This Row],[ProductID]],tbl_product[ProductID],tbl_product[ProductName],"UNMAPPED_PRODUCT")</f>
        <v>Top Tube</v>
      </c>
      <c r="D605" t="str">
        <f>_xlfn.XLOOKUP(tbl_model[[#This Row],[ProductID]],tbl_product[ProductID],tbl_product[ProductNumber],"UNMAPPED_PRODUCT")</f>
        <v>TO-2301</v>
      </c>
      <c r="E605" t="str">
        <f>_xlfn.XLOOKUP(tbl_model[[#This Row],[LocationID]],tbl_location[LocationID],tbl_location[LocationName],"UNMAPPED_LOCATION")</f>
        <v>Subassembly</v>
      </c>
      <c r="F605">
        <v>278</v>
      </c>
      <c r="G605" s="1" t="str">
        <f>tbl_model[[#This Row],[ProductID]] &amp; "-" &amp; tbl_model[[#This Row],[LocationID]]</f>
        <v>534-50</v>
      </c>
    </row>
    <row r="606" spans="1:7">
      <c r="A606">
        <v>535</v>
      </c>
      <c r="B606">
        <v>6</v>
      </c>
      <c r="C606" t="str">
        <f>_xlfn.XLOOKUP(tbl_model[[#This Row],[ProductID]],tbl_product[ProductID],tbl_product[ProductName],"UNMAPPED_PRODUCT")</f>
        <v>Tension Pulley</v>
      </c>
      <c r="D606" t="str">
        <f>_xlfn.XLOOKUP(tbl_model[[#This Row],[ProductID]],tbl_product[ProductID],tbl_product[ProductNumber],"UNMAPPED_PRODUCT")</f>
        <v>TP-0923</v>
      </c>
      <c r="E606" t="str">
        <f>_xlfn.XLOOKUP(tbl_model[[#This Row],[LocationID]],tbl_location[LocationID],tbl_location[LocationName],"UNMAPPED_LOCATION")</f>
        <v>Miscellaneous Storage</v>
      </c>
      <c r="F606">
        <v>427</v>
      </c>
      <c r="G606" s="1" t="str">
        <f>tbl_model[[#This Row],[ProductID]] &amp; "-" &amp; tbl_model[[#This Row],[LocationID]]</f>
        <v>535-6</v>
      </c>
    </row>
    <row r="607" spans="1:7">
      <c r="A607">
        <v>535</v>
      </c>
      <c r="B607">
        <v>50</v>
      </c>
      <c r="C607" t="str">
        <f>_xlfn.XLOOKUP(tbl_model[[#This Row],[ProductID]],tbl_product[ProductID],tbl_product[ProductName],"UNMAPPED_PRODUCT")</f>
        <v>Tension Pulley</v>
      </c>
      <c r="D607" t="str">
        <f>_xlfn.XLOOKUP(tbl_model[[#This Row],[ProductID]],tbl_product[ProductID],tbl_product[ProductNumber],"UNMAPPED_PRODUCT")</f>
        <v>TP-0923</v>
      </c>
      <c r="E607" t="str">
        <f>_xlfn.XLOOKUP(tbl_model[[#This Row],[LocationID]],tbl_location[LocationID],tbl_location[LocationName],"UNMAPPED_LOCATION")</f>
        <v>Subassembly</v>
      </c>
      <c r="F607">
        <v>409</v>
      </c>
      <c r="G607" s="1" t="str">
        <f>tbl_model[[#This Row],[ProductID]] &amp; "-" &amp; tbl_model[[#This Row],[LocationID]]</f>
        <v>535-50</v>
      </c>
    </row>
    <row r="608" spans="1:7">
      <c r="A608">
        <v>679</v>
      </c>
      <c r="B608">
        <v>1</v>
      </c>
      <c r="C608" t="str">
        <f>_xlfn.XLOOKUP(tbl_model[[#This Row],[ProductID]],tbl_product[ProductID],tbl_product[ProductName],"UNMAPPED_PRODUCT")</f>
        <v>Rear Derailleur Cage</v>
      </c>
      <c r="D608" t="str">
        <f>_xlfn.XLOOKUP(tbl_model[[#This Row],[ProductID]],tbl_product[ProductID],tbl_product[ProductNumber],"UNMAPPED_PRODUCT")</f>
        <v>RC-0291</v>
      </c>
      <c r="E608" t="str">
        <f>_xlfn.XLOOKUP(tbl_model[[#This Row],[LocationID]],tbl_location[LocationID],tbl_location[LocationName],"UNMAPPED_LOCATION")</f>
        <v>Tool Crib</v>
      </c>
      <c r="F608">
        <v>164</v>
      </c>
      <c r="G608" s="1" t="str">
        <f>tbl_model[[#This Row],[ProductID]] &amp; "-" &amp; tbl_model[[#This Row],[LocationID]]</f>
        <v>679-1</v>
      </c>
    </row>
    <row r="609" spans="1:7">
      <c r="A609">
        <v>679</v>
      </c>
      <c r="B609">
        <v>6</v>
      </c>
      <c r="C609" t="str">
        <f>_xlfn.XLOOKUP(tbl_model[[#This Row],[ProductID]],tbl_product[ProductID],tbl_product[ProductName],"UNMAPPED_PRODUCT")</f>
        <v>Rear Derailleur Cage</v>
      </c>
      <c r="D609" t="str">
        <f>_xlfn.XLOOKUP(tbl_model[[#This Row],[ProductID]],tbl_product[ProductID],tbl_product[ProductNumber],"UNMAPPED_PRODUCT")</f>
        <v>RC-0291</v>
      </c>
      <c r="E609" t="str">
        <f>_xlfn.XLOOKUP(tbl_model[[#This Row],[LocationID]],tbl_location[LocationID],tbl_location[LocationName],"UNMAPPED_LOCATION")</f>
        <v>Miscellaneous Storage</v>
      </c>
      <c r="F609">
        <v>136</v>
      </c>
      <c r="G609" s="1" t="str">
        <f>tbl_model[[#This Row],[ProductID]] &amp; "-" &amp; tbl_model[[#This Row],[LocationID]]</f>
        <v>679-6</v>
      </c>
    </row>
    <row r="610" spans="1:7">
      <c r="A610">
        <v>679</v>
      </c>
      <c r="B610">
        <v>50</v>
      </c>
      <c r="C610" t="str">
        <f>_xlfn.XLOOKUP(tbl_model[[#This Row],[ProductID]],tbl_product[ProductID],tbl_product[ProductName],"UNMAPPED_PRODUCT")</f>
        <v>Rear Derailleur Cage</v>
      </c>
      <c r="D610" t="str">
        <f>_xlfn.XLOOKUP(tbl_model[[#This Row],[ProductID]],tbl_product[ProductID],tbl_product[ProductNumber],"UNMAPPED_PRODUCT")</f>
        <v>RC-0291</v>
      </c>
      <c r="E610" t="str">
        <f>_xlfn.XLOOKUP(tbl_model[[#This Row],[LocationID]],tbl_location[LocationID],tbl_location[LocationName],"UNMAPPED_LOCATION")</f>
        <v>Subassembly</v>
      </c>
      <c r="F610">
        <v>121</v>
      </c>
      <c r="G610" s="1" t="str">
        <f>tbl_model[[#This Row],[ProductID]] &amp; "-" &amp; tbl_model[[#This Row],[LocationID]]</f>
        <v>679-50</v>
      </c>
    </row>
    <row r="611" spans="1:7">
      <c r="A611">
        <v>707</v>
      </c>
      <c r="B611">
        <v>7</v>
      </c>
      <c r="C611" t="str">
        <f>_xlfn.XLOOKUP(tbl_model[[#This Row],[ProductID]],tbl_product[ProductID],tbl_product[ProductName],"UNMAPPED_PRODUCT")</f>
        <v>Sport-100 Helmet, Red</v>
      </c>
      <c r="D611" t="str">
        <f>_xlfn.XLOOKUP(tbl_model[[#This Row],[ProductID]],tbl_product[ProductID],tbl_product[ProductNumber],"UNMAPPED_PRODUCT")</f>
        <v>HL-U509-R</v>
      </c>
      <c r="E611" t="str">
        <f>_xlfn.XLOOKUP(tbl_model[[#This Row],[LocationID]],tbl_location[LocationID],tbl_location[LocationName],"UNMAPPED_LOCATION")</f>
        <v>Finished Goods Storage</v>
      </c>
      <c r="F611">
        <v>288</v>
      </c>
      <c r="G611" s="1" t="str">
        <f>tbl_model[[#This Row],[ProductID]] &amp; "-" &amp; tbl_model[[#This Row],[LocationID]]</f>
        <v>707-7</v>
      </c>
    </row>
    <row r="612" spans="1:7">
      <c r="A612">
        <v>708</v>
      </c>
      <c r="B612">
        <v>7</v>
      </c>
      <c r="C612" t="str">
        <f>_xlfn.XLOOKUP(tbl_model[[#This Row],[ProductID]],tbl_product[ProductID],tbl_product[ProductName],"UNMAPPED_PRODUCT")</f>
        <v>Sport-100 Helmet, Black</v>
      </c>
      <c r="D612" t="str">
        <f>_xlfn.XLOOKUP(tbl_model[[#This Row],[ProductID]],tbl_product[ProductID],tbl_product[ProductNumber],"UNMAPPED_PRODUCT")</f>
        <v>HL-U509</v>
      </c>
      <c r="E612" t="str">
        <f>_xlfn.XLOOKUP(tbl_model[[#This Row],[LocationID]],tbl_location[LocationID],tbl_location[LocationName],"UNMAPPED_LOCATION")</f>
        <v>Finished Goods Storage</v>
      </c>
      <c r="F612">
        <v>324</v>
      </c>
      <c r="G612" s="1" t="str">
        <f>tbl_model[[#This Row],[ProductID]] &amp; "-" &amp; tbl_model[[#This Row],[LocationID]]</f>
        <v>708-7</v>
      </c>
    </row>
    <row r="613" spans="1:7">
      <c r="A613">
        <v>709</v>
      </c>
      <c r="B613">
        <v>7</v>
      </c>
      <c r="C613" t="str">
        <f>_xlfn.XLOOKUP(tbl_model[[#This Row],[ProductID]],tbl_product[ProductID],tbl_product[ProductName],"UNMAPPED_PRODUCT")</f>
        <v>Mountain Bike Socks, M</v>
      </c>
      <c r="D613" t="str">
        <f>_xlfn.XLOOKUP(tbl_model[[#This Row],[ProductID]],tbl_product[ProductID],tbl_product[ProductNumber],"UNMAPPED_PRODUCT")</f>
        <v>SO-B909-M</v>
      </c>
      <c r="E613" t="str">
        <f>_xlfn.XLOOKUP(tbl_model[[#This Row],[LocationID]],tbl_location[LocationID],tbl_location[LocationName],"UNMAPPED_LOCATION")</f>
        <v>Finished Goods Storage</v>
      </c>
      <c r="F613">
        <v>180</v>
      </c>
      <c r="G613" s="1" t="str">
        <f>tbl_model[[#This Row],[ProductID]] &amp; "-" &amp; tbl_model[[#This Row],[LocationID]]</f>
        <v>709-7</v>
      </c>
    </row>
    <row r="614" spans="1:7">
      <c r="A614">
        <v>710</v>
      </c>
      <c r="B614">
        <v>7</v>
      </c>
      <c r="C614" t="str">
        <f>_xlfn.XLOOKUP(tbl_model[[#This Row],[ProductID]],tbl_product[ProductID],tbl_product[ProductName],"UNMAPPED_PRODUCT")</f>
        <v>Mountain Bike Socks, L</v>
      </c>
      <c r="D614" t="str">
        <f>_xlfn.XLOOKUP(tbl_model[[#This Row],[ProductID]],tbl_product[ProductID],tbl_product[ProductNumber],"UNMAPPED_PRODUCT")</f>
        <v>SO-B909-L</v>
      </c>
      <c r="E614" t="str">
        <f>_xlfn.XLOOKUP(tbl_model[[#This Row],[LocationID]],tbl_location[LocationID],tbl_location[LocationName],"UNMAPPED_LOCATION")</f>
        <v>Finished Goods Storage</v>
      </c>
      <c r="F614">
        <v>216</v>
      </c>
      <c r="G614" s="1" t="str">
        <f>tbl_model[[#This Row],[ProductID]] &amp; "-" &amp; tbl_model[[#This Row],[LocationID]]</f>
        <v>710-7</v>
      </c>
    </row>
    <row r="615" spans="1:7">
      <c r="A615">
        <v>711</v>
      </c>
      <c r="B615">
        <v>7</v>
      </c>
      <c r="C615" t="str">
        <f>_xlfn.XLOOKUP(tbl_model[[#This Row],[ProductID]],tbl_product[ProductID],tbl_product[ProductName],"UNMAPPED_PRODUCT")</f>
        <v>Sport-100 Helmet, Blue</v>
      </c>
      <c r="D615" t="str">
        <f>_xlfn.XLOOKUP(tbl_model[[#This Row],[ProductID]],tbl_product[ProductID],tbl_product[ProductNumber],"UNMAPPED_PRODUCT")</f>
        <v>HL-U509-B</v>
      </c>
      <c r="E615" t="str">
        <f>_xlfn.XLOOKUP(tbl_model[[#This Row],[LocationID]],tbl_location[LocationID],tbl_location[LocationName],"UNMAPPED_LOCATION")</f>
        <v>Finished Goods Storage</v>
      </c>
      <c r="F615">
        <v>216</v>
      </c>
      <c r="G615" s="1" t="str">
        <f>tbl_model[[#This Row],[ProductID]] &amp; "-" &amp; tbl_model[[#This Row],[LocationID]]</f>
        <v>711-7</v>
      </c>
    </row>
    <row r="616" spans="1:7">
      <c r="A616">
        <v>712</v>
      </c>
      <c r="B616">
        <v>7</v>
      </c>
      <c r="C616" t="str">
        <f>_xlfn.XLOOKUP(tbl_model[[#This Row],[ProductID]],tbl_product[ProductID],tbl_product[ProductName],"UNMAPPED_PRODUCT")</f>
        <v>AWC Logo Cap</v>
      </c>
      <c r="D616" t="str">
        <f>_xlfn.XLOOKUP(tbl_model[[#This Row],[ProductID]],tbl_product[ProductID],tbl_product[ProductNumber],"UNMAPPED_PRODUCT")</f>
        <v>CA-1098</v>
      </c>
      <c r="E616" t="str">
        <f>_xlfn.XLOOKUP(tbl_model[[#This Row],[LocationID]],tbl_location[LocationID],tbl_location[LocationName],"UNMAPPED_LOCATION")</f>
        <v>Finished Goods Storage</v>
      </c>
      <c r="F616">
        <v>288</v>
      </c>
      <c r="G616" s="1" t="str">
        <f>tbl_model[[#This Row],[ProductID]] &amp; "-" &amp; tbl_model[[#This Row],[LocationID]]</f>
        <v>712-7</v>
      </c>
    </row>
    <row r="617" spans="1:7">
      <c r="A617">
        <v>713</v>
      </c>
      <c r="B617">
        <v>7</v>
      </c>
      <c r="C617" t="str">
        <f>_xlfn.XLOOKUP(tbl_model[[#This Row],[ProductID]],tbl_product[ProductID],tbl_product[ProductName],"UNMAPPED_PRODUCT")</f>
        <v>Long-Sleeve Logo Jersey, S</v>
      </c>
      <c r="D617" t="str">
        <f>_xlfn.XLOOKUP(tbl_model[[#This Row],[ProductID]],tbl_product[ProductID],tbl_product[ProductNumber],"UNMAPPED_PRODUCT")</f>
        <v>LJ-0192-S</v>
      </c>
      <c r="E617" t="str">
        <f>_xlfn.XLOOKUP(tbl_model[[#This Row],[LocationID]],tbl_location[LocationID],tbl_location[LocationName],"UNMAPPED_LOCATION")</f>
        <v>Finished Goods Storage</v>
      </c>
      <c r="F617">
        <v>144</v>
      </c>
      <c r="G617" s="1" t="str">
        <f>tbl_model[[#This Row],[ProductID]] &amp; "-" &amp; tbl_model[[#This Row],[LocationID]]</f>
        <v>713-7</v>
      </c>
    </row>
    <row r="618" spans="1:7">
      <c r="A618">
        <v>714</v>
      </c>
      <c r="B618">
        <v>7</v>
      </c>
      <c r="C618" t="str">
        <f>_xlfn.XLOOKUP(tbl_model[[#This Row],[ProductID]],tbl_product[ProductID],tbl_product[ProductName],"UNMAPPED_PRODUCT")</f>
        <v>Long-Sleeve Logo Jersey, M</v>
      </c>
      <c r="D618" t="str">
        <f>_xlfn.XLOOKUP(tbl_model[[#This Row],[ProductID]],tbl_product[ProductID],tbl_product[ProductNumber],"UNMAPPED_PRODUCT")</f>
        <v>LJ-0192-M</v>
      </c>
      <c r="E618" t="str">
        <f>_xlfn.XLOOKUP(tbl_model[[#This Row],[LocationID]],tbl_location[LocationID],tbl_location[LocationName],"UNMAPPED_LOCATION")</f>
        <v>Finished Goods Storage</v>
      </c>
      <c r="F618">
        <v>180</v>
      </c>
      <c r="G618" s="1" t="str">
        <f>tbl_model[[#This Row],[ProductID]] &amp; "-" &amp; tbl_model[[#This Row],[LocationID]]</f>
        <v>714-7</v>
      </c>
    </row>
    <row r="619" spans="1:7">
      <c r="A619">
        <v>715</v>
      </c>
      <c r="B619">
        <v>7</v>
      </c>
      <c r="C619" t="str">
        <f>_xlfn.XLOOKUP(tbl_model[[#This Row],[ProductID]],tbl_product[ProductID],tbl_product[ProductName],"UNMAPPED_PRODUCT")</f>
        <v>Long-Sleeve Logo Jersey, L</v>
      </c>
      <c r="D619" t="str">
        <f>_xlfn.XLOOKUP(tbl_model[[#This Row],[ProductID]],tbl_product[ProductID],tbl_product[ProductNumber],"UNMAPPED_PRODUCT")</f>
        <v>LJ-0192-L</v>
      </c>
      <c r="E619" t="str">
        <f>_xlfn.XLOOKUP(tbl_model[[#This Row],[LocationID]],tbl_location[LocationID],tbl_location[LocationName],"UNMAPPED_LOCATION")</f>
        <v>Finished Goods Storage</v>
      </c>
      <c r="F619">
        <v>216</v>
      </c>
      <c r="G619" s="1" t="str">
        <f>tbl_model[[#This Row],[ProductID]] &amp; "-" &amp; tbl_model[[#This Row],[LocationID]]</f>
        <v>715-7</v>
      </c>
    </row>
    <row r="620" spans="1:7">
      <c r="A620">
        <v>716</v>
      </c>
      <c r="B620">
        <v>7</v>
      </c>
      <c r="C620" t="str">
        <f>_xlfn.XLOOKUP(tbl_model[[#This Row],[ProductID]],tbl_product[ProductID],tbl_product[ProductName],"UNMAPPED_PRODUCT")</f>
        <v>Long-Sleeve Logo Jersey, XL</v>
      </c>
      <c r="D620" t="str">
        <f>_xlfn.XLOOKUP(tbl_model[[#This Row],[ProductID]],tbl_product[ProductID],tbl_product[ProductNumber],"UNMAPPED_PRODUCT")</f>
        <v>LJ-0192-X</v>
      </c>
      <c r="E620" t="str">
        <f>_xlfn.XLOOKUP(tbl_model[[#This Row],[LocationID]],tbl_location[LocationID],tbl_location[LocationName],"UNMAPPED_LOCATION")</f>
        <v>Finished Goods Storage</v>
      </c>
      <c r="F620">
        <v>252</v>
      </c>
      <c r="G620" s="1" t="str">
        <f>tbl_model[[#This Row],[ProductID]] &amp; "-" &amp; tbl_model[[#This Row],[LocationID]]</f>
        <v>716-7</v>
      </c>
    </row>
    <row r="621" spans="1:7">
      <c r="A621">
        <v>747</v>
      </c>
      <c r="B621">
        <v>10</v>
      </c>
      <c r="C621" t="str">
        <f>_xlfn.XLOOKUP(tbl_model[[#This Row],[ProductID]],tbl_product[ProductID],tbl_product[ProductName],"UNMAPPED_PRODUCT")</f>
        <v>HL Mountain Frame - Black, 38</v>
      </c>
      <c r="D621" t="str">
        <f>_xlfn.XLOOKUP(tbl_model[[#This Row],[ProductID]],tbl_product[ProductID],tbl_product[ProductNumber],"UNMAPPED_PRODUCT")</f>
        <v>FR-M94B-38</v>
      </c>
      <c r="E621" t="str">
        <f>_xlfn.XLOOKUP(tbl_model[[#This Row],[LocationID]],tbl_location[LocationID],tbl_location[LocationName],"UNMAPPED_LOCATION")</f>
        <v>Frame Forming</v>
      </c>
      <c r="F621">
        <v>121</v>
      </c>
      <c r="G621" s="1" t="str">
        <f>tbl_model[[#This Row],[ProductID]] &amp; "-" &amp; tbl_model[[#This Row],[LocationID]]</f>
        <v>747-10</v>
      </c>
    </row>
    <row r="622" spans="1:7">
      <c r="A622">
        <v>747</v>
      </c>
      <c r="B622">
        <v>20</v>
      </c>
      <c r="C622" t="str">
        <f>_xlfn.XLOOKUP(tbl_model[[#This Row],[ProductID]],tbl_product[ProductID],tbl_product[ProductName],"UNMAPPED_PRODUCT")</f>
        <v>HL Mountain Frame - Black, 38</v>
      </c>
      <c r="D622" t="str">
        <f>_xlfn.XLOOKUP(tbl_model[[#This Row],[ProductID]],tbl_product[ProductID],tbl_product[ProductNumber],"UNMAPPED_PRODUCT")</f>
        <v>FR-M94B-38</v>
      </c>
      <c r="E622" t="str">
        <f>_xlfn.XLOOKUP(tbl_model[[#This Row],[LocationID]],tbl_location[LocationID],tbl_location[LocationName],"UNMAPPED_LOCATION")</f>
        <v>Frame Welding</v>
      </c>
      <c r="F622">
        <v>161</v>
      </c>
      <c r="G622" s="1" t="str">
        <f>tbl_model[[#This Row],[ProductID]] &amp; "-" &amp; tbl_model[[#This Row],[LocationID]]</f>
        <v>747-20</v>
      </c>
    </row>
    <row r="623" spans="1:7">
      <c r="A623">
        <v>747</v>
      </c>
      <c r="B623">
        <v>30</v>
      </c>
      <c r="C623" t="str">
        <f>_xlfn.XLOOKUP(tbl_model[[#This Row],[ProductID]],tbl_product[ProductID],tbl_product[ProductName],"UNMAPPED_PRODUCT")</f>
        <v>HL Mountain Frame - Black, 38</v>
      </c>
      <c r="D623" t="str">
        <f>_xlfn.XLOOKUP(tbl_model[[#This Row],[ProductID]],tbl_product[ProductID],tbl_product[ProductNumber],"UNMAPPED_PRODUCT")</f>
        <v>FR-M94B-38</v>
      </c>
      <c r="E623" t="str">
        <f>_xlfn.XLOOKUP(tbl_model[[#This Row],[LocationID]],tbl_location[LocationID],tbl_location[LocationName],"UNMAPPED_LOCATION")</f>
        <v>Debur and Polish</v>
      </c>
      <c r="F623">
        <v>148</v>
      </c>
      <c r="G623" s="1" t="str">
        <f>tbl_model[[#This Row],[ProductID]] &amp; "-" &amp; tbl_model[[#This Row],[LocationID]]</f>
        <v>747-30</v>
      </c>
    </row>
    <row r="624" spans="1:7">
      <c r="A624">
        <v>747</v>
      </c>
      <c r="B624">
        <v>40</v>
      </c>
      <c r="C624" t="str">
        <f>_xlfn.XLOOKUP(tbl_model[[#This Row],[ProductID]],tbl_product[ProductID],tbl_product[ProductName],"UNMAPPED_PRODUCT")</f>
        <v>HL Mountain Frame - Black, 38</v>
      </c>
      <c r="D624" t="str">
        <f>_xlfn.XLOOKUP(tbl_model[[#This Row],[ProductID]],tbl_product[ProductID],tbl_product[ProductNumber],"UNMAPPED_PRODUCT")</f>
        <v>FR-M94B-38</v>
      </c>
      <c r="E624" t="str">
        <f>_xlfn.XLOOKUP(tbl_model[[#This Row],[LocationID]],tbl_location[LocationID],tbl_location[LocationName],"UNMAPPED_LOCATION")</f>
        <v>Paint</v>
      </c>
      <c r="F624">
        <v>107</v>
      </c>
      <c r="G624" s="1" t="str">
        <f>tbl_model[[#This Row],[ProductID]] &amp; "-" &amp; tbl_model[[#This Row],[LocationID]]</f>
        <v>747-40</v>
      </c>
    </row>
    <row r="625" spans="1:7">
      <c r="A625">
        <v>747</v>
      </c>
      <c r="B625">
        <v>50</v>
      </c>
      <c r="C625" t="str">
        <f>_xlfn.XLOOKUP(tbl_model[[#This Row],[ProductID]],tbl_product[ProductID],tbl_product[ProductName],"UNMAPPED_PRODUCT")</f>
        <v>HL Mountain Frame - Black, 38</v>
      </c>
      <c r="D625" t="str">
        <f>_xlfn.XLOOKUP(tbl_model[[#This Row],[ProductID]],tbl_product[ProductID],tbl_product[ProductNumber],"UNMAPPED_PRODUCT")</f>
        <v>FR-M94B-38</v>
      </c>
      <c r="E625" t="str">
        <f>_xlfn.XLOOKUP(tbl_model[[#This Row],[LocationID]],tbl_location[LocationID],tbl_location[LocationName],"UNMAPPED_LOCATION")</f>
        <v>Subassembly</v>
      </c>
      <c r="F625">
        <v>160</v>
      </c>
      <c r="G625" s="1" t="str">
        <f>tbl_model[[#This Row],[ProductID]] &amp; "-" &amp; tbl_model[[#This Row],[LocationID]]</f>
        <v>747-50</v>
      </c>
    </row>
    <row r="626" spans="1:7">
      <c r="A626">
        <v>747</v>
      </c>
      <c r="B626">
        <v>60</v>
      </c>
      <c r="C626" t="str">
        <f>_xlfn.XLOOKUP(tbl_model[[#This Row],[ProductID]],tbl_product[ProductID],tbl_product[ProductName],"UNMAPPED_PRODUCT")</f>
        <v>HL Mountain Frame - Black, 38</v>
      </c>
      <c r="D626" t="str">
        <f>_xlfn.XLOOKUP(tbl_model[[#This Row],[ProductID]],tbl_product[ProductID],tbl_product[ProductNumber],"UNMAPPED_PRODUCT")</f>
        <v>FR-M94B-38</v>
      </c>
      <c r="E626" t="str">
        <f>_xlfn.XLOOKUP(tbl_model[[#This Row],[LocationID]],tbl_location[LocationID],tbl_location[LocationName],"UNMAPPED_LOCATION")</f>
        <v>Final Assembly</v>
      </c>
      <c r="F626">
        <v>137</v>
      </c>
      <c r="G626" s="1" t="str">
        <f>tbl_model[[#This Row],[ProductID]] &amp; "-" &amp; tbl_model[[#This Row],[LocationID]]</f>
        <v>747-60</v>
      </c>
    </row>
    <row r="627" spans="1:7">
      <c r="A627">
        <v>748</v>
      </c>
      <c r="B627">
        <v>10</v>
      </c>
      <c r="C627" t="str">
        <f>_xlfn.XLOOKUP(tbl_model[[#This Row],[ProductID]],tbl_product[ProductID],tbl_product[ProductName],"UNMAPPED_PRODUCT")</f>
        <v>HL Mountain Frame - Silver, 38</v>
      </c>
      <c r="D627" t="str">
        <f>_xlfn.XLOOKUP(tbl_model[[#This Row],[ProductID]],tbl_product[ProductID],tbl_product[ProductNumber],"UNMAPPED_PRODUCT")</f>
        <v>FR-M94S-38</v>
      </c>
      <c r="E627" t="str">
        <f>_xlfn.XLOOKUP(tbl_model[[#This Row],[LocationID]],tbl_location[LocationID],tbl_location[LocationName],"UNMAPPED_LOCATION")</f>
        <v>Frame Forming</v>
      </c>
      <c r="F627">
        <v>105</v>
      </c>
      <c r="G627" s="1" t="str">
        <f>tbl_model[[#This Row],[ProductID]] &amp; "-" &amp; tbl_model[[#This Row],[LocationID]]</f>
        <v>748-10</v>
      </c>
    </row>
    <row r="628" spans="1:7">
      <c r="A628">
        <v>748</v>
      </c>
      <c r="B628">
        <v>20</v>
      </c>
      <c r="C628" t="str">
        <f>_xlfn.XLOOKUP(tbl_model[[#This Row],[ProductID]],tbl_product[ProductID],tbl_product[ProductName],"UNMAPPED_PRODUCT")</f>
        <v>HL Mountain Frame - Silver, 38</v>
      </c>
      <c r="D628" t="str">
        <f>_xlfn.XLOOKUP(tbl_model[[#This Row],[ProductID]],tbl_product[ProductID],tbl_product[ProductNumber],"UNMAPPED_PRODUCT")</f>
        <v>FR-M94S-38</v>
      </c>
      <c r="E628" t="str">
        <f>_xlfn.XLOOKUP(tbl_model[[#This Row],[LocationID]],tbl_location[LocationID],tbl_location[LocationName],"UNMAPPED_LOCATION")</f>
        <v>Frame Welding</v>
      </c>
      <c r="F628">
        <v>145</v>
      </c>
      <c r="G628" s="1" t="str">
        <f>tbl_model[[#This Row],[ProductID]] &amp; "-" &amp; tbl_model[[#This Row],[LocationID]]</f>
        <v>748-20</v>
      </c>
    </row>
    <row r="629" spans="1:7">
      <c r="A629">
        <v>748</v>
      </c>
      <c r="B629">
        <v>30</v>
      </c>
      <c r="C629" t="str">
        <f>_xlfn.XLOOKUP(tbl_model[[#This Row],[ProductID]],tbl_product[ProductID],tbl_product[ProductName],"UNMAPPED_PRODUCT")</f>
        <v>HL Mountain Frame - Silver, 38</v>
      </c>
      <c r="D629" t="str">
        <f>_xlfn.XLOOKUP(tbl_model[[#This Row],[ProductID]],tbl_product[ProductID],tbl_product[ProductNumber],"UNMAPPED_PRODUCT")</f>
        <v>FR-M94S-38</v>
      </c>
      <c r="E629" t="str">
        <f>_xlfn.XLOOKUP(tbl_model[[#This Row],[LocationID]],tbl_location[LocationID],tbl_location[LocationName],"UNMAPPED_LOCATION")</f>
        <v>Debur and Polish</v>
      </c>
      <c r="F629">
        <v>132</v>
      </c>
      <c r="G629" s="1" t="str">
        <f>tbl_model[[#This Row],[ProductID]] &amp; "-" &amp; tbl_model[[#This Row],[LocationID]]</f>
        <v>748-30</v>
      </c>
    </row>
    <row r="630" spans="1:7">
      <c r="A630">
        <v>748</v>
      </c>
      <c r="B630">
        <v>45</v>
      </c>
      <c r="C630" t="str">
        <f>_xlfn.XLOOKUP(tbl_model[[#This Row],[ProductID]],tbl_product[ProductID],tbl_product[ProductName],"UNMAPPED_PRODUCT")</f>
        <v>HL Mountain Frame - Silver, 38</v>
      </c>
      <c r="D630" t="str">
        <f>_xlfn.XLOOKUP(tbl_model[[#This Row],[ProductID]],tbl_product[ProductID],tbl_product[ProductNumber],"UNMAPPED_PRODUCT")</f>
        <v>FR-M94S-38</v>
      </c>
      <c r="E630" t="str">
        <f>_xlfn.XLOOKUP(tbl_model[[#This Row],[LocationID]],tbl_location[LocationID],tbl_location[LocationName],"UNMAPPED_LOCATION")</f>
        <v>Specialized Paint</v>
      </c>
      <c r="F630">
        <v>91</v>
      </c>
      <c r="G630" s="1" t="str">
        <f>tbl_model[[#This Row],[ProductID]] &amp; "-" &amp; tbl_model[[#This Row],[LocationID]]</f>
        <v>748-45</v>
      </c>
    </row>
    <row r="631" spans="1:7">
      <c r="A631">
        <v>748</v>
      </c>
      <c r="B631">
        <v>50</v>
      </c>
      <c r="C631" t="str">
        <f>_xlfn.XLOOKUP(tbl_model[[#This Row],[ProductID]],tbl_product[ProductID],tbl_product[ProductName],"UNMAPPED_PRODUCT")</f>
        <v>HL Mountain Frame - Silver, 38</v>
      </c>
      <c r="D631" t="str">
        <f>_xlfn.XLOOKUP(tbl_model[[#This Row],[ProductID]],tbl_product[ProductID],tbl_product[ProductNumber],"UNMAPPED_PRODUCT")</f>
        <v>FR-M94S-38</v>
      </c>
      <c r="E631" t="str">
        <f>_xlfn.XLOOKUP(tbl_model[[#This Row],[LocationID]],tbl_location[LocationID],tbl_location[LocationName],"UNMAPPED_LOCATION")</f>
        <v>Subassembly</v>
      </c>
      <c r="F631">
        <v>144</v>
      </c>
      <c r="G631" s="1" t="str">
        <f>tbl_model[[#This Row],[ProductID]] &amp; "-" &amp; tbl_model[[#This Row],[LocationID]]</f>
        <v>748-50</v>
      </c>
    </row>
    <row r="632" spans="1:7">
      <c r="A632">
        <v>748</v>
      </c>
      <c r="B632">
        <v>60</v>
      </c>
      <c r="C632" t="str">
        <f>_xlfn.XLOOKUP(tbl_model[[#This Row],[ProductID]],tbl_product[ProductID],tbl_product[ProductName],"UNMAPPED_PRODUCT")</f>
        <v>HL Mountain Frame - Silver, 38</v>
      </c>
      <c r="D632" t="str">
        <f>_xlfn.XLOOKUP(tbl_model[[#This Row],[ProductID]],tbl_product[ProductID],tbl_product[ProductNumber],"UNMAPPED_PRODUCT")</f>
        <v>FR-M94S-38</v>
      </c>
      <c r="E632" t="str">
        <f>_xlfn.XLOOKUP(tbl_model[[#This Row],[LocationID]],tbl_location[LocationID],tbl_location[LocationName],"UNMAPPED_LOCATION")</f>
        <v>Final Assembly</v>
      </c>
      <c r="F632">
        <v>121</v>
      </c>
      <c r="G632" s="1" t="str">
        <f>tbl_model[[#This Row],[ProductID]] &amp; "-" &amp; tbl_model[[#This Row],[LocationID]]</f>
        <v>748-60</v>
      </c>
    </row>
    <row r="633" spans="1:7">
      <c r="A633">
        <v>749</v>
      </c>
      <c r="B633">
        <v>7</v>
      </c>
      <c r="C633" t="str">
        <f>_xlfn.XLOOKUP(tbl_model[[#This Row],[ProductID]],tbl_product[ProductID],tbl_product[ProductName],"UNMAPPED_PRODUCT")</f>
        <v>Road-150 Red, 62</v>
      </c>
      <c r="D633" t="str">
        <f>_xlfn.XLOOKUP(tbl_model[[#This Row],[ProductID]],tbl_product[ProductID],tbl_product[ProductNumber],"UNMAPPED_PRODUCT")</f>
        <v>BK-R93R-62</v>
      </c>
      <c r="E633" t="str">
        <f>_xlfn.XLOOKUP(tbl_model[[#This Row],[LocationID]],tbl_location[LocationID],tbl_location[LocationName],"UNMAPPED_LOCATION")</f>
        <v>Finished Goods Storage</v>
      </c>
      <c r="F633">
        <v>73</v>
      </c>
      <c r="G633" s="1" t="str">
        <f>tbl_model[[#This Row],[ProductID]] &amp; "-" &amp; tbl_model[[#This Row],[LocationID]]</f>
        <v>749-7</v>
      </c>
    </row>
    <row r="634" spans="1:7">
      <c r="A634">
        <v>749</v>
      </c>
      <c r="B634">
        <v>60</v>
      </c>
      <c r="C634" t="str">
        <f>_xlfn.XLOOKUP(tbl_model[[#This Row],[ProductID]],tbl_product[ProductID],tbl_product[ProductName],"UNMAPPED_PRODUCT")</f>
        <v>Road-150 Red, 62</v>
      </c>
      <c r="D634" t="str">
        <f>_xlfn.XLOOKUP(tbl_model[[#This Row],[ProductID]],tbl_product[ProductID],tbl_product[ProductNumber],"UNMAPPED_PRODUCT")</f>
        <v>BK-R93R-62</v>
      </c>
      <c r="E634" t="str">
        <f>_xlfn.XLOOKUP(tbl_model[[#This Row],[LocationID]],tbl_location[LocationID],tbl_location[LocationName],"UNMAPPED_LOCATION")</f>
        <v>Final Assembly</v>
      </c>
      <c r="F634">
        <v>60</v>
      </c>
      <c r="G634" s="1" t="str">
        <f>tbl_model[[#This Row],[ProductID]] &amp; "-" &amp; tbl_model[[#This Row],[LocationID]]</f>
        <v>749-60</v>
      </c>
    </row>
    <row r="635" spans="1:7">
      <c r="A635">
        <v>750</v>
      </c>
      <c r="B635">
        <v>7</v>
      </c>
      <c r="C635" t="str">
        <f>_xlfn.XLOOKUP(tbl_model[[#This Row],[ProductID]],tbl_product[ProductID],tbl_product[ProductName],"UNMAPPED_PRODUCT")</f>
        <v>Road-150 Red, 44</v>
      </c>
      <c r="D635" t="str">
        <f>_xlfn.XLOOKUP(tbl_model[[#This Row],[ProductID]],tbl_product[ProductID],tbl_product[ProductNumber],"UNMAPPED_PRODUCT")</f>
        <v>BK-R93R-44</v>
      </c>
      <c r="E635" t="str">
        <f>_xlfn.XLOOKUP(tbl_model[[#This Row],[LocationID]],tbl_location[LocationID],tbl_location[LocationName],"UNMAPPED_LOCATION")</f>
        <v>Finished Goods Storage</v>
      </c>
      <c r="F635">
        <v>102</v>
      </c>
      <c r="G635" s="1" t="str">
        <f>tbl_model[[#This Row],[ProductID]] &amp; "-" &amp; tbl_model[[#This Row],[LocationID]]</f>
        <v>750-7</v>
      </c>
    </row>
    <row r="636" spans="1:7">
      <c r="A636">
        <v>750</v>
      </c>
      <c r="B636">
        <v>60</v>
      </c>
      <c r="C636" t="str">
        <f>_xlfn.XLOOKUP(tbl_model[[#This Row],[ProductID]],tbl_product[ProductID],tbl_product[ProductName],"UNMAPPED_PRODUCT")</f>
        <v>Road-150 Red, 44</v>
      </c>
      <c r="D636" t="str">
        <f>_xlfn.XLOOKUP(tbl_model[[#This Row],[ProductID]],tbl_product[ProductID],tbl_product[ProductNumber],"UNMAPPED_PRODUCT")</f>
        <v>BK-R93R-44</v>
      </c>
      <c r="E636" t="str">
        <f>_xlfn.XLOOKUP(tbl_model[[#This Row],[LocationID]],tbl_location[LocationID],tbl_location[LocationName],"UNMAPPED_LOCATION")</f>
        <v>Final Assembly</v>
      </c>
      <c r="F636">
        <v>121</v>
      </c>
      <c r="G636" s="1" t="str">
        <f>tbl_model[[#This Row],[ProductID]] &amp; "-" &amp; tbl_model[[#This Row],[LocationID]]</f>
        <v>750-60</v>
      </c>
    </row>
    <row r="637" spans="1:7">
      <c r="A637">
        <v>751</v>
      </c>
      <c r="B637">
        <v>7</v>
      </c>
      <c r="C637" t="str">
        <f>_xlfn.XLOOKUP(tbl_model[[#This Row],[ProductID]],tbl_product[ProductID],tbl_product[ProductName],"UNMAPPED_PRODUCT")</f>
        <v>Road-150 Red, 48</v>
      </c>
      <c r="D637" t="str">
        <f>_xlfn.XLOOKUP(tbl_model[[#This Row],[ProductID]],tbl_product[ProductID],tbl_product[ProductNumber],"UNMAPPED_PRODUCT")</f>
        <v>BK-R93R-48</v>
      </c>
      <c r="E637" t="str">
        <f>_xlfn.XLOOKUP(tbl_model[[#This Row],[LocationID]],tbl_location[LocationID],tbl_location[LocationName],"UNMAPPED_LOCATION")</f>
        <v>Finished Goods Storage</v>
      </c>
      <c r="F637">
        <v>32</v>
      </c>
      <c r="G637" s="1" t="str">
        <f>tbl_model[[#This Row],[ProductID]] &amp; "-" &amp; tbl_model[[#This Row],[LocationID]]</f>
        <v>751-7</v>
      </c>
    </row>
    <row r="638" spans="1:7">
      <c r="A638">
        <v>751</v>
      </c>
      <c r="B638">
        <v>60</v>
      </c>
      <c r="C638" t="str">
        <f>_xlfn.XLOOKUP(tbl_model[[#This Row],[ProductID]],tbl_product[ProductID],tbl_product[ProductName],"UNMAPPED_PRODUCT")</f>
        <v>Road-150 Red, 48</v>
      </c>
      <c r="D638" t="str">
        <f>_xlfn.XLOOKUP(tbl_model[[#This Row],[ProductID]],tbl_product[ProductID],tbl_product[ProductNumber],"UNMAPPED_PRODUCT")</f>
        <v>BK-R93R-48</v>
      </c>
      <c r="E638" t="str">
        <f>_xlfn.XLOOKUP(tbl_model[[#This Row],[LocationID]],tbl_location[LocationID],tbl_location[LocationName],"UNMAPPED_LOCATION")</f>
        <v>Final Assembly</v>
      </c>
      <c r="F638">
        <v>108</v>
      </c>
      <c r="G638" s="1" t="str">
        <f>tbl_model[[#This Row],[ProductID]] &amp; "-" &amp; tbl_model[[#This Row],[LocationID]]</f>
        <v>751-60</v>
      </c>
    </row>
    <row r="639" spans="1:7">
      <c r="A639">
        <v>752</v>
      </c>
      <c r="B639">
        <v>7</v>
      </c>
      <c r="C639" t="str">
        <f>_xlfn.XLOOKUP(tbl_model[[#This Row],[ProductID]],tbl_product[ProductID],tbl_product[ProductName],"UNMAPPED_PRODUCT")</f>
        <v>Road-150 Red, 52</v>
      </c>
      <c r="D639" t="str">
        <f>_xlfn.XLOOKUP(tbl_model[[#This Row],[ProductID]],tbl_product[ProductID],tbl_product[ProductNumber],"UNMAPPED_PRODUCT")</f>
        <v>BK-R93R-52</v>
      </c>
      <c r="E639" t="str">
        <f>_xlfn.XLOOKUP(tbl_model[[#This Row],[LocationID]],tbl_location[LocationID],tbl_location[LocationName],"UNMAPPED_LOCATION")</f>
        <v>Finished Goods Storage</v>
      </c>
      <c r="F639">
        <v>52</v>
      </c>
      <c r="G639" s="1" t="str">
        <f>tbl_model[[#This Row],[ProductID]] &amp; "-" &amp; tbl_model[[#This Row],[LocationID]]</f>
        <v>752-7</v>
      </c>
    </row>
    <row r="640" spans="1:7">
      <c r="A640">
        <v>752</v>
      </c>
      <c r="B640">
        <v>60</v>
      </c>
      <c r="C640" t="str">
        <f>_xlfn.XLOOKUP(tbl_model[[#This Row],[ProductID]],tbl_product[ProductID],tbl_product[ProductName],"UNMAPPED_PRODUCT")</f>
        <v>Road-150 Red, 52</v>
      </c>
      <c r="D640" t="str">
        <f>_xlfn.XLOOKUP(tbl_model[[#This Row],[ProductID]],tbl_product[ProductID],tbl_product[ProductNumber],"UNMAPPED_PRODUCT")</f>
        <v>BK-R93R-52</v>
      </c>
      <c r="E640" t="str">
        <f>_xlfn.XLOOKUP(tbl_model[[#This Row],[LocationID]],tbl_location[LocationID],tbl_location[LocationName],"UNMAPPED_LOCATION")</f>
        <v>Final Assembly</v>
      </c>
      <c r="F640">
        <v>76</v>
      </c>
      <c r="G640" s="1" t="str">
        <f>tbl_model[[#This Row],[ProductID]] &amp; "-" &amp; tbl_model[[#This Row],[LocationID]]</f>
        <v>752-60</v>
      </c>
    </row>
    <row r="641" spans="1:7">
      <c r="A641">
        <v>753</v>
      </c>
      <c r="B641">
        <v>7</v>
      </c>
      <c r="C641" t="str">
        <f>_xlfn.XLOOKUP(tbl_model[[#This Row],[ProductID]],tbl_product[ProductID],tbl_product[ProductName],"UNMAPPED_PRODUCT")</f>
        <v>Road-150 Red, 56</v>
      </c>
      <c r="D641" t="str">
        <f>_xlfn.XLOOKUP(tbl_model[[#This Row],[ProductID]],tbl_product[ProductID],tbl_product[ProductNumber],"UNMAPPED_PRODUCT")</f>
        <v>BK-R93R-56</v>
      </c>
      <c r="E641" t="str">
        <f>_xlfn.XLOOKUP(tbl_model[[#This Row],[LocationID]],tbl_location[LocationID],tbl_location[LocationName],"UNMAPPED_LOCATION")</f>
        <v>Finished Goods Storage</v>
      </c>
      <c r="F641">
        <v>112</v>
      </c>
      <c r="G641" s="1" t="str">
        <f>tbl_model[[#This Row],[ProductID]] &amp; "-" &amp; tbl_model[[#This Row],[LocationID]]</f>
        <v>753-7</v>
      </c>
    </row>
    <row r="642" spans="1:7">
      <c r="A642">
        <v>753</v>
      </c>
      <c r="B642">
        <v>60</v>
      </c>
      <c r="C642" t="str">
        <f>_xlfn.XLOOKUP(tbl_model[[#This Row],[ProductID]],tbl_product[ProductID],tbl_product[ProductName],"UNMAPPED_PRODUCT")</f>
        <v>Road-150 Red, 56</v>
      </c>
      <c r="D642" t="str">
        <f>_xlfn.XLOOKUP(tbl_model[[#This Row],[ProductID]],tbl_product[ProductID],tbl_product[ProductNumber],"UNMAPPED_PRODUCT")</f>
        <v>BK-R93R-56</v>
      </c>
      <c r="E642" t="str">
        <f>_xlfn.XLOOKUP(tbl_model[[#This Row],[LocationID]],tbl_location[LocationID],tbl_location[LocationName],"UNMAPPED_LOCATION")</f>
        <v>Final Assembly</v>
      </c>
      <c r="F642">
        <v>51</v>
      </c>
      <c r="G642" s="1" t="str">
        <f>tbl_model[[#This Row],[ProductID]] &amp; "-" &amp; tbl_model[[#This Row],[LocationID]]</f>
        <v>753-60</v>
      </c>
    </row>
    <row r="643" spans="1:7">
      <c r="A643">
        <v>754</v>
      </c>
      <c r="B643">
        <v>7</v>
      </c>
      <c r="C643" t="str">
        <f>_xlfn.XLOOKUP(tbl_model[[#This Row],[ProductID]],tbl_product[ProductID],tbl_product[ProductName],"UNMAPPED_PRODUCT")</f>
        <v>Road-450 Red, 58</v>
      </c>
      <c r="D643" t="str">
        <f>_xlfn.XLOOKUP(tbl_model[[#This Row],[ProductID]],tbl_product[ProductID],tbl_product[ProductNumber],"UNMAPPED_PRODUCT")</f>
        <v>BK-R68R-58</v>
      </c>
      <c r="E643" t="str">
        <f>_xlfn.XLOOKUP(tbl_model[[#This Row],[LocationID]],tbl_location[LocationID],tbl_location[LocationName],"UNMAPPED_LOCATION")</f>
        <v>Finished Goods Storage</v>
      </c>
      <c r="F643">
        <v>65</v>
      </c>
      <c r="G643" s="1" t="str">
        <f>tbl_model[[#This Row],[ProductID]] &amp; "-" &amp; tbl_model[[#This Row],[LocationID]]</f>
        <v>754-7</v>
      </c>
    </row>
    <row r="644" spans="1:7">
      <c r="A644">
        <v>754</v>
      </c>
      <c r="B644">
        <v>60</v>
      </c>
      <c r="C644" t="str">
        <f>_xlfn.XLOOKUP(tbl_model[[#This Row],[ProductID]],tbl_product[ProductID],tbl_product[ProductName],"UNMAPPED_PRODUCT")</f>
        <v>Road-450 Red, 58</v>
      </c>
      <c r="D644" t="str">
        <f>_xlfn.XLOOKUP(tbl_model[[#This Row],[ProductID]],tbl_product[ProductID],tbl_product[ProductNumber],"UNMAPPED_PRODUCT")</f>
        <v>BK-R68R-58</v>
      </c>
      <c r="E644" t="str">
        <f>_xlfn.XLOOKUP(tbl_model[[#This Row],[LocationID]],tbl_location[LocationID],tbl_location[LocationName],"UNMAPPED_LOCATION")</f>
        <v>Final Assembly</v>
      </c>
      <c r="F644">
        <v>83</v>
      </c>
      <c r="G644" s="1" t="str">
        <f>tbl_model[[#This Row],[ProductID]] &amp; "-" &amp; tbl_model[[#This Row],[LocationID]]</f>
        <v>754-60</v>
      </c>
    </row>
    <row r="645" spans="1:7">
      <c r="A645">
        <v>755</v>
      </c>
      <c r="B645">
        <v>7</v>
      </c>
      <c r="C645" t="str">
        <f>_xlfn.XLOOKUP(tbl_model[[#This Row],[ProductID]],tbl_product[ProductID],tbl_product[ProductName],"UNMAPPED_PRODUCT")</f>
        <v>Road-450 Red, 60</v>
      </c>
      <c r="D645" t="str">
        <f>_xlfn.XLOOKUP(tbl_model[[#This Row],[ProductID]],tbl_product[ProductID],tbl_product[ProductNumber],"UNMAPPED_PRODUCT")</f>
        <v>BK-R68R-60</v>
      </c>
      <c r="E645" t="str">
        <f>_xlfn.XLOOKUP(tbl_model[[#This Row],[LocationID]],tbl_location[LocationID],tbl_location[LocationName],"UNMAPPED_LOCATION")</f>
        <v>Finished Goods Storage</v>
      </c>
      <c r="F645">
        <v>75</v>
      </c>
      <c r="G645" s="1" t="str">
        <f>tbl_model[[#This Row],[ProductID]] &amp; "-" &amp; tbl_model[[#This Row],[LocationID]]</f>
        <v>755-7</v>
      </c>
    </row>
    <row r="646" spans="1:7">
      <c r="A646">
        <v>755</v>
      </c>
      <c r="B646">
        <v>60</v>
      </c>
      <c r="C646" t="str">
        <f>_xlfn.XLOOKUP(tbl_model[[#This Row],[ProductID]],tbl_product[ProductID],tbl_product[ProductName],"UNMAPPED_PRODUCT")</f>
        <v>Road-450 Red, 60</v>
      </c>
      <c r="D646" t="str">
        <f>_xlfn.XLOOKUP(tbl_model[[#This Row],[ProductID]],tbl_product[ProductID],tbl_product[ProductNumber],"UNMAPPED_PRODUCT")</f>
        <v>BK-R68R-60</v>
      </c>
      <c r="E646" t="str">
        <f>_xlfn.XLOOKUP(tbl_model[[#This Row],[LocationID]],tbl_location[LocationID],tbl_location[LocationName],"UNMAPPED_LOCATION")</f>
        <v>Final Assembly</v>
      </c>
      <c r="F646">
        <v>62</v>
      </c>
      <c r="G646" s="1" t="str">
        <f>tbl_model[[#This Row],[ProductID]] &amp; "-" &amp; tbl_model[[#This Row],[LocationID]]</f>
        <v>755-60</v>
      </c>
    </row>
    <row r="647" spans="1:7">
      <c r="A647">
        <v>756</v>
      </c>
      <c r="B647">
        <v>7</v>
      </c>
      <c r="C647" t="str">
        <f>_xlfn.XLOOKUP(tbl_model[[#This Row],[ProductID]],tbl_product[ProductID],tbl_product[ProductName],"UNMAPPED_PRODUCT")</f>
        <v>Road-450 Red, 44</v>
      </c>
      <c r="D647" t="str">
        <f>_xlfn.XLOOKUP(tbl_model[[#This Row],[ProductID]],tbl_product[ProductID],tbl_product[ProductNumber],"UNMAPPED_PRODUCT")</f>
        <v>BK-R68R-44</v>
      </c>
      <c r="E647" t="str">
        <f>_xlfn.XLOOKUP(tbl_model[[#This Row],[LocationID]],tbl_location[LocationID],tbl_location[LocationName],"UNMAPPED_LOCATION")</f>
        <v>Finished Goods Storage</v>
      </c>
      <c r="F647">
        <v>30</v>
      </c>
      <c r="G647" s="1" t="str">
        <f>tbl_model[[#This Row],[ProductID]] &amp; "-" &amp; tbl_model[[#This Row],[LocationID]]</f>
        <v>756-7</v>
      </c>
    </row>
    <row r="648" spans="1:7">
      <c r="A648">
        <v>756</v>
      </c>
      <c r="B648">
        <v>60</v>
      </c>
      <c r="C648" t="str">
        <f>_xlfn.XLOOKUP(tbl_model[[#This Row],[ProductID]],tbl_product[ProductID],tbl_product[ProductName],"UNMAPPED_PRODUCT")</f>
        <v>Road-450 Red, 44</v>
      </c>
      <c r="D648" t="str">
        <f>_xlfn.XLOOKUP(tbl_model[[#This Row],[ProductID]],tbl_product[ProductID],tbl_product[ProductNumber],"UNMAPPED_PRODUCT")</f>
        <v>BK-R68R-44</v>
      </c>
      <c r="E648" t="str">
        <f>_xlfn.XLOOKUP(tbl_model[[#This Row],[LocationID]],tbl_location[LocationID],tbl_location[LocationName],"UNMAPPED_LOCATION")</f>
        <v>Final Assembly</v>
      </c>
      <c r="F648">
        <v>99</v>
      </c>
      <c r="G648" s="1" t="str">
        <f>tbl_model[[#This Row],[ProductID]] &amp; "-" &amp; tbl_model[[#This Row],[LocationID]]</f>
        <v>756-60</v>
      </c>
    </row>
    <row r="649" spans="1:7">
      <c r="A649">
        <v>757</v>
      </c>
      <c r="B649">
        <v>7</v>
      </c>
      <c r="C649" t="str">
        <f>_xlfn.XLOOKUP(tbl_model[[#This Row],[ProductID]],tbl_product[ProductID],tbl_product[ProductName],"UNMAPPED_PRODUCT")</f>
        <v>Road-450 Red, 48</v>
      </c>
      <c r="D649" t="str">
        <f>_xlfn.XLOOKUP(tbl_model[[#This Row],[ProductID]],tbl_product[ProductID],tbl_product[ProductNumber],"UNMAPPED_PRODUCT")</f>
        <v>BK-R68R-48</v>
      </c>
      <c r="E649" t="str">
        <f>_xlfn.XLOOKUP(tbl_model[[#This Row],[LocationID]],tbl_location[LocationID],tbl_location[LocationName],"UNMAPPED_LOCATION")</f>
        <v>Finished Goods Storage</v>
      </c>
      <c r="F649">
        <v>56</v>
      </c>
      <c r="G649" s="1" t="str">
        <f>tbl_model[[#This Row],[ProductID]] &amp; "-" &amp; tbl_model[[#This Row],[LocationID]]</f>
        <v>757-7</v>
      </c>
    </row>
    <row r="650" spans="1:7">
      <c r="A650">
        <v>757</v>
      </c>
      <c r="B650">
        <v>60</v>
      </c>
      <c r="C650" t="str">
        <f>_xlfn.XLOOKUP(tbl_model[[#This Row],[ProductID]],tbl_product[ProductID],tbl_product[ProductName],"UNMAPPED_PRODUCT")</f>
        <v>Road-450 Red, 48</v>
      </c>
      <c r="D650" t="str">
        <f>_xlfn.XLOOKUP(tbl_model[[#This Row],[ProductID]],tbl_product[ProductID],tbl_product[ProductNumber],"UNMAPPED_PRODUCT")</f>
        <v>BK-R68R-48</v>
      </c>
      <c r="E650" t="str">
        <f>_xlfn.XLOOKUP(tbl_model[[#This Row],[LocationID]],tbl_location[LocationID],tbl_location[LocationName],"UNMAPPED_LOCATION")</f>
        <v>Final Assembly</v>
      </c>
      <c r="F650">
        <v>78</v>
      </c>
      <c r="G650" s="1" t="str">
        <f>tbl_model[[#This Row],[ProductID]] &amp; "-" &amp; tbl_model[[#This Row],[LocationID]]</f>
        <v>757-60</v>
      </c>
    </row>
    <row r="651" spans="1:7">
      <c r="A651">
        <v>758</v>
      </c>
      <c r="B651">
        <v>7</v>
      </c>
      <c r="C651" t="str">
        <f>_xlfn.XLOOKUP(tbl_model[[#This Row],[ProductID]],tbl_product[ProductID],tbl_product[ProductName],"UNMAPPED_PRODUCT")</f>
        <v>Road-450 Red, 52</v>
      </c>
      <c r="D651" t="str">
        <f>_xlfn.XLOOKUP(tbl_model[[#This Row],[ProductID]],tbl_product[ProductID],tbl_product[ProductNumber],"UNMAPPED_PRODUCT")</f>
        <v>BK-R68R-52</v>
      </c>
      <c r="E651" t="str">
        <f>_xlfn.XLOOKUP(tbl_model[[#This Row],[LocationID]],tbl_location[LocationID],tbl_location[LocationName],"UNMAPPED_LOCATION")</f>
        <v>Finished Goods Storage</v>
      </c>
      <c r="F651">
        <v>116</v>
      </c>
      <c r="G651" s="1" t="str">
        <f>tbl_model[[#This Row],[ProductID]] &amp; "-" &amp; tbl_model[[#This Row],[LocationID]]</f>
        <v>758-7</v>
      </c>
    </row>
    <row r="652" spans="1:7">
      <c r="A652">
        <v>758</v>
      </c>
      <c r="B652">
        <v>60</v>
      </c>
      <c r="C652" t="str">
        <f>_xlfn.XLOOKUP(tbl_model[[#This Row],[ProductID]],tbl_product[ProductID],tbl_product[ProductName],"UNMAPPED_PRODUCT")</f>
        <v>Road-450 Red, 52</v>
      </c>
      <c r="D652" t="str">
        <f>_xlfn.XLOOKUP(tbl_model[[#This Row],[ProductID]],tbl_product[ProductID],tbl_product[ProductNumber],"UNMAPPED_PRODUCT")</f>
        <v>BK-R68R-52</v>
      </c>
      <c r="E652" t="str">
        <f>_xlfn.XLOOKUP(tbl_model[[#This Row],[LocationID]],tbl_location[LocationID],tbl_location[LocationName],"UNMAPPED_LOCATION")</f>
        <v>Final Assembly</v>
      </c>
      <c r="F652">
        <v>49</v>
      </c>
      <c r="G652" s="1" t="str">
        <f>tbl_model[[#This Row],[ProductID]] &amp; "-" &amp; tbl_model[[#This Row],[LocationID]]</f>
        <v>758-60</v>
      </c>
    </row>
    <row r="653" spans="1:7">
      <c r="A653">
        <v>759</v>
      </c>
      <c r="B653">
        <v>7</v>
      </c>
      <c r="C653" t="str">
        <f>_xlfn.XLOOKUP(tbl_model[[#This Row],[ProductID]],tbl_product[ProductID],tbl_product[ProductName],"UNMAPPED_PRODUCT")</f>
        <v>Road-650 Red, 58</v>
      </c>
      <c r="D653" t="str">
        <f>_xlfn.XLOOKUP(tbl_model[[#This Row],[ProductID]],tbl_product[ProductID],tbl_product[ProductNumber],"UNMAPPED_PRODUCT")</f>
        <v>BK-R50R-58</v>
      </c>
      <c r="E653" t="str">
        <f>_xlfn.XLOOKUP(tbl_model[[#This Row],[LocationID]],tbl_location[LocationID],tbl_location[LocationName],"UNMAPPED_LOCATION")</f>
        <v>Finished Goods Storage</v>
      </c>
      <c r="F653">
        <v>112</v>
      </c>
      <c r="G653" s="1" t="str">
        <f>tbl_model[[#This Row],[ProductID]] &amp; "-" &amp; tbl_model[[#This Row],[LocationID]]</f>
        <v>759-7</v>
      </c>
    </row>
    <row r="654" spans="1:7">
      <c r="A654">
        <v>759</v>
      </c>
      <c r="B654">
        <v>60</v>
      </c>
      <c r="C654" t="str">
        <f>_xlfn.XLOOKUP(tbl_model[[#This Row],[ProductID]],tbl_product[ProductID],tbl_product[ProductName],"UNMAPPED_PRODUCT")</f>
        <v>Road-650 Red, 58</v>
      </c>
      <c r="D654" t="str">
        <f>_xlfn.XLOOKUP(tbl_model[[#This Row],[ProductID]],tbl_product[ProductID],tbl_product[ProductNumber],"UNMAPPED_PRODUCT")</f>
        <v>BK-R50R-58</v>
      </c>
      <c r="E654" t="str">
        <f>_xlfn.XLOOKUP(tbl_model[[#This Row],[LocationID]],tbl_location[LocationID],tbl_location[LocationName],"UNMAPPED_LOCATION")</f>
        <v>Final Assembly</v>
      </c>
      <c r="F654">
        <v>51</v>
      </c>
      <c r="G654" s="1" t="str">
        <f>tbl_model[[#This Row],[ProductID]] &amp; "-" &amp; tbl_model[[#This Row],[LocationID]]</f>
        <v>759-60</v>
      </c>
    </row>
    <row r="655" spans="1:7">
      <c r="A655">
        <v>760</v>
      </c>
      <c r="B655">
        <v>7</v>
      </c>
      <c r="C655" t="str">
        <f>_xlfn.XLOOKUP(tbl_model[[#This Row],[ProductID]],tbl_product[ProductID],tbl_product[ProductName],"UNMAPPED_PRODUCT")</f>
        <v>Road-650 Red, 60</v>
      </c>
      <c r="D655" t="str">
        <f>_xlfn.XLOOKUP(tbl_model[[#This Row],[ProductID]],tbl_product[ProductID],tbl_product[ProductNumber],"UNMAPPED_PRODUCT")</f>
        <v>BK-R50R-60</v>
      </c>
      <c r="E655" t="str">
        <f>_xlfn.XLOOKUP(tbl_model[[#This Row],[LocationID]],tbl_location[LocationID],tbl_location[LocationName],"UNMAPPED_LOCATION")</f>
        <v>Finished Goods Storage</v>
      </c>
      <c r="F655">
        <v>99</v>
      </c>
      <c r="G655" s="1" t="str">
        <f>tbl_model[[#This Row],[ProductID]] &amp; "-" &amp; tbl_model[[#This Row],[LocationID]]</f>
        <v>760-7</v>
      </c>
    </row>
    <row r="656" spans="1:7">
      <c r="A656">
        <v>760</v>
      </c>
      <c r="B656">
        <v>60</v>
      </c>
      <c r="C656" t="str">
        <f>_xlfn.XLOOKUP(tbl_model[[#This Row],[ProductID]],tbl_product[ProductID],tbl_product[ProductName],"UNMAPPED_PRODUCT")</f>
        <v>Road-650 Red, 60</v>
      </c>
      <c r="D656" t="str">
        <f>_xlfn.XLOOKUP(tbl_model[[#This Row],[ProductID]],tbl_product[ProductID],tbl_product[ProductNumber],"UNMAPPED_PRODUCT")</f>
        <v>BK-R50R-60</v>
      </c>
      <c r="E656" t="str">
        <f>_xlfn.XLOOKUP(tbl_model[[#This Row],[LocationID]],tbl_location[LocationID],tbl_location[LocationName],"UNMAPPED_LOCATION")</f>
        <v>Final Assembly</v>
      </c>
      <c r="F656">
        <v>86</v>
      </c>
      <c r="G656" s="1" t="str">
        <f>tbl_model[[#This Row],[ProductID]] &amp; "-" &amp; tbl_model[[#This Row],[LocationID]]</f>
        <v>760-60</v>
      </c>
    </row>
    <row r="657" spans="1:7">
      <c r="A657">
        <v>761</v>
      </c>
      <c r="B657">
        <v>7</v>
      </c>
      <c r="C657" t="str">
        <f>_xlfn.XLOOKUP(tbl_model[[#This Row],[ProductID]],tbl_product[ProductID],tbl_product[ProductName],"UNMAPPED_PRODUCT")</f>
        <v>Road-650 Red, 62</v>
      </c>
      <c r="D657" t="str">
        <f>_xlfn.XLOOKUP(tbl_model[[#This Row],[ProductID]],tbl_product[ProductID],tbl_product[ProductNumber],"UNMAPPED_PRODUCT")</f>
        <v>BK-R50R-62</v>
      </c>
      <c r="E657" t="str">
        <f>_xlfn.XLOOKUP(tbl_model[[#This Row],[LocationID]],tbl_location[LocationID],tbl_location[LocationName],"UNMAPPED_LOCATION")</f>
        <v>Finished Goods Storage</v>
      </c>
      <c r="F657">
        <v>67</v>
      </c>
      <c r="G657" s="1" t="str">
        <f>tbl_model[[#This Row],[ProductID]] &amp; "-" &amp; tbl_model[[#This Row],[LocationID]]</f>
        <v>761-7</v>
      </c>
    </row>
    <row r="658" spans="1:7">
      <c r="A658">
        <v>761</v>
      </c>
      <c r="B658">
        <v>60</v>
      </c>
      <c r="C658" t="str">
        <f>_xlfn.XLOOKUP(tbl_model[[#This Row],[ProductID]],tbl_product[ProductID],tbl_product[ProductName],"UNMAPPED_PRODUCT")</f>
        <v>Road-650 Red, 62</v>
      </c>
      <c r="D658" t="str">
        <f>_xlfn.XLOOKUP(tbl_model[[#This Row],[ProductID]],tbl_product[ProductID],tbl_product[ProductNumber],"UNMAPPED_PRODUCT")</f>
        <v>BK-R50R-62</v>
      </c>
      <c r="E658" t="str">
        <f>_xlfn.XLOOKUP(tbl_model[[#This Row],[LocationID]],tbl_location[LocationID],tbl_location[LocationName],"UNMAPPED_LOCATION")</f>
        <v>Final Assembly</v>
      </c>
      <c r="F658">
        <v>81</v>
      </c>
      <c r="G658" s="1" t="str">
        <f>tbl_model[[#This Row],[ProductID]] &amp; "-" &amp; tbl_model[[#This Row],[LocationID]]</f>
        <v>761-60</v>
      </c>
    </row>
    <row r="659" spans="1:7">
      <c r="A659">
        <v>762</v>
      </c>
      <c r="B659">
        <v>7</v>
      </c>
      <c r="C659" t="str">
        <f>_xlfn.XLOOKUP(tbl_model[[#This Row],[ProductID]],tbl_product[ProductID],tbl_product[ProductName],"UNMAPPED_PRODUCT")</f>
        <v>Road-650 Red, 44</v>
      </c>
      <c r="D659" t="str">
        <f>_xlfn.XLOOKUP(tbl_model[[#This Row],[ProductID]],tbl_product[ProductID],tbl_product[ProductNumber],"UNMAPPED_PRODUCT")</f>
        <v>BK-R50R-44</v>
      </c>
      <c r="E659" t="str">
        <f>_xlfn.XLOOKUP(tbl_model[[#This Row],[LocationID]],tbl_location[LocationID],tbl_location[LocationName],"UNMAPPED_LOCATION")</f>
        <v>Finished Goods Storage</v>
      </c>
      <c r="F659">
        <v>75</v>
      </c>
      <c r="G659" s="1" t="str">
        <f>tbl_model[[#This Row],[ProductID]] &amp; "-" &amp; tbl_model[[#This Row],[LocationID]]</f>
        <v>762-7</v>
      </c>
    </row>
    <row r="660" spans="1:7">
      <c r="A660">
        <v>762</v>
      </c>
      <c r="B660">
        <v>60</v>
      </c>
      <c r="C660" t="str">
        <f>_xlfn.XLOOKUP(tbl_model[[#This Row],[ProductID]],tbl_product[ProductID],tbl_product[ProductName],"UNMAPPED_PRODUCT")</f>
        <v>Road-650 Red, 44</v>
      </c>
      <c r="D660" t="str">
        <f>_xlfn.XLOOKUP(tbl_model[[#This Row],[ProductID]],tbl_product[ProductID],tbl_product[ProductNumber],"UNMAPPED_PRODUCT")</f>
        <v>BK-R50R-44</v>
      </c>
      <c r="E660" t="str">
        <f>_xlfn.XLOOKUP(tbl_model[[#This Row],[LocationID]],tbl_location[LocationID],tbl_location[LocationName],"UNMAPPED_LOCATION")</f>
        <v>Final Assembly</v>
      </c>
      <c r="F660">
        <v>62</v>
      </c>
      <c r="G660" s="1" t="str">
        <f>tbl_model[[#This Row],[ProductID]] &amp; "-" &amp; tbl_model[[#This Row],[LocationID]]</f>
        <v>762-60</v>
      </c>
    </row>
    <row r="661" spans="1:7">
      <c r="A661">
        <v>763</v>
      </c>
      <c r="B661">
        <v>7</v>
      </c>
      <c r="C661" t="str">
        <f>_xlfn.XLOOKUP(tbl_model[[#This Row],[ProductID]],tbl_product[ProductID],tbl_product[ProductName],"UNMAPPED_PRODUCT")</f>
        <v>Road-650 Red, 48</v>
      </c>
      <c r="D661" t="str">
        <f>_xlfn.XLOOKUP(tbl_model[[#This Row],[ProductID]],tbl_product[ProductID],tbl_product[ProductNumber],"UNMAPPED_PRODUCT")</f>
        <v>BK-R50R-48</v>
      </c>
      <c r="E661" t="str">
        <f>_xlfn.XLOOKUP(tbl_model[[#This Row],[LocationID]],tbl_location[LocationID],tbl_location[LocationName],"UNMAPPED_LOCATION")</f>
        <v>Finished Goods Storage</v>
      </c>
      <c r="F661">
        <v>102</v>
      </c>
      <c r="G661" s="1" t="str">
        <f>tbl_model[[#This Row],[ProductID]] &amp; "-" &amp; tbl_model[[#This Row],[LocationID]]</f>
        <v>763-7</v>
      </c>
    </row>
    <row r="662" spans="1:7">
      <c r="A662">
        <v>763</v>
      </c>
      <c r="B662">
        <v>60</v>
      </c>
      <c r="C662" t="str">
        <f>_xlfn.XLOOKUP(tbl_model[[#This Row],[ProductID]],tbl_product[ProductID],tbl_product[ProductName],"UNMAPPED_PRODUCT")</f>
        <v>Road-650 Red, 48</v>
      </c>
      <c r="D662" t="str">
        <f>_xlfn.XLOOKUP(tbl_model[[#This Row],[ProductID]],tbl_product[ProductID],tbl_product[ProductNumber],"UNMAPPED_PRODUCT")</f>
        <v>BK-R50R-48</v>
      </c>
      <c r="E662" t="str">
        <f>_xlfn.XLOOKUP(tbl_model[[#This Row],[LocationID]],tbl_location[LocationID],tbl_location[LocationName],"UNMAPPED_LOCATION")</f>
        <v>Final Assembly</v>
      </c>
      <c r="F662">
        <v>121</v>
      </c>
      <c r="G662" s="1" t="str">
        <f>tbl_model[[#This Row],[ProductID]] &amp; "-" &amp; tbl_model[[#This Row],[LocationID]]</f>
        <v>763-60</v>
      </c>
    </row>
    <row r="663" spans="1:7">
      <c r="A663">
        <v>764</v>
      </c>
      <c r="B663">
        <v>7</v>
      </c>
      <c r="C663" t="str">
        <f>_xlfn.XLOOKUP(tbl_model[[#This Row],[ProductID]],tbl_product[ProductID],tbl_product[ProductName],"UNMAPPED_PRODUCT")</f>
        <v>Road-650 Red, 52</v>
      </c>
      <c r="D663" t="str">
        <f>_xlfn.XLOOKUP(tbl_model[[#This Row],[ProductID]],tbl_product[ProductID],tbl_product[ProductNumber],"UNMAPPED_PRODUCT")</f>
        <v>BK-R50R-52</v>
      </c>
      <c r="E663" t="str">
        <f>_xlfn.XLOOKUP(tbl_model[[#This Row],[LocationID]],tbl_location[LocationID],tbl_location[LocationName],"UNMAPPED_LOCATION")</f>
        <v>Finished Goods Storage</v>
      </c>
      <c r="F663">
        <v>32</v>
      </c>
      <c r="G663" s="1" t="str">
        <f>tbl_model[[#This Row],[ProductID]] &amp; "-" &amp; tbl_model[[#This Row],[LocationID]]</f>
        <v>764-7</v>
      </c>
    </row>
    <row r="664" spans="1:7">
      <c r="A664">
        <v>764</v>
      </c>
      <c r="B664">
        <v>60</v>
      </c>
      <c r="C664" t="str">
        <f>_xlfn.XLOOKUP(tbl_model[[#This Row],[ProductID]],tbl_product[ProductID],tbl_product[ProductName],"UNMAPPED_PRODUCT")</f>
        <v>Road-650 Red, 52</v>
      </c>
      <c r="D664" t="str">
        <f>_xlfn.XLOOKUP(tbl_model[[#This Row],[ProductID]],tbl_product[ProductID],tbl_product[ProductNumber],"UNMAPPED_PRODUCT")</f>
        <v>BK-R50R-52</v>
      </c>
      <c r="E664" t="str">
        <f>_xlfn.XLOOKUP(tbl_model[[#This Row],[LocationID]],tbl_location[LocationID],tbl_location[LocationName],"UNMAPPED_LOCATION")</f>
        <v>Final Assembly</v>
      </c>
      <c r="F664">
        <v>108</v>
      </c>
      <c r="G664" s="1" t="str">
        <f>tbl_model[[#This Row],[ProductID]] &amp; "-" &amp; tbl_model[[#This Row],[LocationID]]</f>
        <v>764-60</v>
      </c>
    </row>
    <row r="665" spans="1:7">
      <c r="A665">
        <v>765</v>
      </c>
      <c r="B665">
        <v>7</v>
      </c>
      <c r="C665" t="str">
        <f>_xlfn.XLOOKUP(tbl_model[[#This Row],[ProductID]],tbl_product[ProductID],tbl_product[ProductName],"UNMAPPED_PRODUCT")</f>
        <v>Road-650 Black, 58</v>
      </c>
      <c r="D665" t="str">
        <f>_xlfn.XLOOKUP(tbl_model[[#This Row],[ProductID]],tbl_product[ProductID],tbl_product[ProductNumber],"UNMAPPED_PRODUCT")</f>
        <v>BK-R50B-58</v>
      </c>
      <c r="E665" t="str">
        <f>_xlfn.XLOOKUP(tbl_model[[#This Row],[LocationID]],tbl_location[LocationID],tbl_location[LocationName],"UNMAPPED_LOCATION")</f>
        <v>Finished Goods Storage</v>
      </c>
      <c r="F665">
        <v>56</v>
      </c>
      <c r="G665" s="1" t="str">
        <f>tbl_model[[#This Row],[ProductID]] &amp; "-" &amp; tbl_model[[#This Row],[LocationID]]</f>
        <v>765-7</v>
      </c>
    </row>
    <row r="666" spans="1:7">
      <c r="A666">
        <v>765</v>
      </c>
      <c r="B666">
        <v>60</v>
      </c>
      <c r="C666" t="str">
        <f>_xlfn.XLOOKUP(tbl_model[[#This Row],[ProductID]],tbl_product[ProductID],tbl_product[ProductName],"UNMAPPED_PRODUCT")</f>
        <v>Road-650 Black, 58</v>
      </c>
      <c r="D666" t="str">
        <f>_xlfn.XLOOKUP(tbl_model[[#This Row],[ProductID]],tbl_product[ProductID],tbl_product[ProductNumber],"UNMAPPED_PRODUCT")</f>
        <v>BK-R50B-58</v>
      </c>
      <c r="E666" t="str">
        <f>_xlfn.XLOOKUP(tbl_model[[#This Row],[LocationID]],tbl_location[LocationID],tbl_location[LocationName],"UNMAPPED_LOCATION")</f>
        <v>Final Assembly</v>
      </c>
      <c r="F666">
        <v>78</v>
      </c>
      <c r="G666" s="1" t="str">
        <f>tbl_model[[#This Row],[ProductID]] &amp; "-" &amp; tbl_model[[#This Row],[LocationID]]</f>
        <v>765-60</v>
      </c>
    </row>
    <row r="667" spans="1:7">
      <c r="A667">
        <v>766</v>
      </c>
      <c r="B667">
        <v>7</v>
      </c>
      <c r="C667" t="str">
        <f>_xlfn.XLOOKUP(tbl_model[[#This Row],[ProductID]],tbl_product[ProductID],tbl_product[ProductName],"UNMAPPED_PRODUCT")</f>
        <v>Road-650 Black, 60</v>
      </c>
      <c r="D667" t="str">
        <f>_xlfn.XLOOKUP(tbl_model[[#This Row],[ProductID]],tbl_product[ProductID],tbl_product[ProductNumber],"UNMAPPED_PRODUCT")</f>
        <v>BK-R50B-60</v>
      </c>
      <c r="E667" t="str">
        <f>_xlfn.XLOOKUP(tbl_model[[#This Row],[LocationID]],tbl_location[LocationID],tbl_location[LocationName],"UNMAPPED_LOCATION")</f>
        <v>Finished Goods Storage</v>
      </c>
      <c r="F667">
        <v>116</v>
      </c>
      <c r="G667" s="1" t="str">
        <f>tbl_model[[#This Row],[ProductID]] &amp; "-" &amp; tbl_model[[#This Row],[LocationID]]</f>
        <v>766-7</v>
      </c>
    </row>
    <row r="668" spans="1:7">
      <c r="A668">
        <v>766</v>
      </c>
      <c r="B668">
        <v>60</v>
      </c>
      <c r="C668" t="str">
        <f>_xlfn.XLOOKUP(tbl_model[[#This Row],[ProductID]],tbl_product[ProductID],tbl_product[ProductName],"UNMAPPED_PRODUCT")</f>
        <v>Road-650 Black, 60</v>
      </c>
      <c r="D668" t="str">
        <f>_xlfn.XLOOKUP(tbl_model[[#This Row],[ProductID]],tbl_product[ProductID],tbl_product[ProductNumber],"UNMAPPED_PRODUCT")</f>
        <v>BK-R50B-60</v>
      </c>
      <c r="E668" t="str">
        <f>_xlfn.XLOOKUP(tbl_model[[#This Row],[LocationID]],tbl_location[LocationID],tbl_location[LocationName],"UNMAPPED_LOCATION")</f>
        <v>Final Assembly</v>
      </c>
      <c r="F668">
        <v>49</v>
      </c>
      <c r="G668" s="1" t="str">
        <f>tbl_model[[#This Row],[ProductID]] &amp; "-" &amp; tbl_model[[#This Row],[LocationID]]</f>
        <v>766-60</v>
      </c>
    </row>
    <row r="669" spans="1:7">
      <c r="A669">
        <v>767</v>
      </c>
      <c r="B669">
        <v>7</v>
      </c>
      <c r="C669" t="str">
        <f>_xlfn.XLOOKUP(tbl_model[[#This Row],[ProductID]],tbl_product[ProductID],tbl_product[ProductName],"UNMAPPED_PRODUCT")</f>
        <v>Road-650 Black, 62</v>
      </c>
      <c r="D669" t="str">
        <f>_xlfn.XLOOKUP(tbl_model[[#This Row],[ProductID]],tbl_product[ProductID],tbl_product[ProductNumber],"UNMAPPED_PRODUCT")</f>
        <v>BK-R50B-62</v>
      </c>
      <c r="E669" t="str">
        <f>_xlfn.XLOOKUP(tbl_model[[#This Row],[LocationID]],tbl_location[LocationID],tbl_location[LocationName],"UNMAPPED_LOCATION")</f>
        <v>Finished Goods Storage</v>
      </c>
      <c r="F669">
        <v>100</v>
      </c>
      <c r="G669" s="1" t="str">
        <f>tbl_model[[#This Row],[ProductID]] &amp; "-" &amp; tbl_model[[#This Row],[LocationID]]</f>
        <v>767-7</v>
      </c>
    </row>
    <row r="670" spans="1:7">
      <c r="A670">
        <v>767</v>
      </c>
      <c r="B670">
        <v>60</v>
      </c>
      <c r="C670" t="str">
        <f>_xlfn.XLOOKUP(tbl_model[[#This Row],[ProductID]],tbl_product[ProductID],tbl_product[ProductName],"UNMAPPED_PRODUCT")</f>
        <v>Road-650 Black, 62</v>
      </c>
      <c r="D670" t="str">
        <f>_xlfn.XLOOKUP(tbl_model[[#This Row],[ProductID]],tbl_product[ProductID],tbl_product[ProductNumber],"UNMAPPED_PRODUCT")</f>
        <v>BK-R50B-62</v>
      </c>
      <c r="E670" t="str">
        <f>_xlfn.XLOOKUP(tbl_model[[#This Row],[LocationID]],tbl_location[LocationID],tbl_location[LocationName],"UNMAPPED_LOCATION")</f>
        <v>Final Assembly</v>
      </c>
      <c r="F670">
        <v>88</v>
      </c>
      <c r="G670" s="1" t="str">
        <f>tbl_model[[#This Row],[ProductID]] &amp; "-" &amp; tbl_model[[#This Row],[LocationID]]</f>
        <v>767-60</v>
      </c>
    </row>
    <row r="671" spans="1:7">
      <c r="A671">
        <v>768</v>
      </c>
      <c r="B671">
        <v>7</v>
      </c>
      <c r="C671" t="str">
        <f>_xlfn.XLOOKUP(tbl_model[[#This Row],[ProductID]],tbl_product[ProductID],tbl_product[ProductName],"UNMAPPED_PRODUCT")</f>
        <v>Road-650 Black, 44</v>
      </c>
      <c r="D671" t="str">
        <f>_xlfn.XLOOKUP(tbl_model[[#This Row],[ProductID]],tbl_product[ProductID],tbl_product[ProductNumber],"UNMAPPED_PRODUCT")</f>
        <v>BK-R50B-44</v>
      </c>
      <c r="E671" t="str">
        <f>_xlfn.XLOOKUP(tbl_model[[#This Row],[LocationID]],tbl_location[LocationID],tbl_location[LocationName],"UNMAPPED_LOCATION")</f>
        <v>Finished Goods Storage</v>
      </c>
      <c r="F671">
        <v>67</v>
      </c>
      <c r="G671" s="1" t="str">
        <f>tbl_model[[#This Row],[ProductID]] &amp; "-" &amp; tbl_model[[#This Row],[LocationID]]</f>
        <v>768-7</v>
      </c>
    </row>
    <row r="672" spans="1:7">
      <c r="A672">
        <v>768</v>
      </c>
      <c r="B672">
        <v>60</v>
      </c>
      <c r="C672" t="str">
        <f>_xlfn.XLOOKUP(tbl_model[[#This Row],[ProductID]],tbl_product[ProductID],tbl_product[ProductName],"UNMAPPED_PRODUCT")</f>
        <v>Road-650 Black, 44</v>
      </c>
      <c r="D672" t="str">
        <f>_xlfn.XLOOKUP(tbl_model[[#This Row],[ProductID]],tbl_product[ProductID],tbl_product[ProductNumber],"UNMAPPED_PRODUCT")</f>
        <v>BK-R50B-44</v>
      </c>
      <c r="E672" t="str">
        <f>_xlfn.XLOOKUP(tbl_model[[#This Row],[LocationID]],tbl_location[LocationID],tbl_location[LocationName],"UNMAPPED_LOCATION")</f>
        <v>Final Assembly</v>
      </c>
      <c r="F672">
        <v>81</v>
      </c>
      <c r="G672" s="1" t="str">
        <f>tbl_model[[#This Row],[ProductID]] &amp; "-" &amp; tbl_model[[#This Row],[LocationID]]</f>
        <v>768-60</v>
      </c>
    </row>
    <row r="673" spans="1:7">
      <c r="A673">
        <v>769</v>
      </c>
      <c r="B673">
        <v>7</v>
      </c>
      <c r="C673" t="str">
        <f>_xlfn.XLOOKUP(tbl_model[[#This Row],[ProductID]],tbl_product[ProductID],tbl_product[ProductName],"UNMAPPED_PRODUCT")</f>
        <v>Road-650 Black, 48</v>
      </c>
      <c r="D673" t="str">
        <f>_xlfn.XLOOKUP(tbl_model[[#This Row],[ProductID]],tbl_product[ProductID],tbl_product[ProductNumber],"UNMAPPED_PRODUCT")</f>
        <v>BK-R50B-48</v>
      </c>
      <c r="E673" t="str">
        <f>_xlfn.XLOOKUP(tbl_model[[#This Row],[LocationID]],tbl_location[LocationID],tbl_location[LocationName],"UNMAPPED_LOCATION")</f>
        <v>Finished Goods Storage</v>
      </c>
      <c r="F673">
        <v>73</v>
      </c>
      <c r="G673" s="1" t="str">
        <f>tbl_model[[#This Row],[ProductID]] &amp; "-" &amp; tbl_model[[#This Row],[LocationID]]</f>
        <v>769-7</v>
      </c>
    </row>
    <row r="674" spans="1:7">
      <c r="A674">
        <v>769</v>
      </c>
      <c r="B674">
        <v>60</v>
      </c>
      <c r="C674" t="str">
        <f>_xlfn.XLOOKUP(tbl_model[[#This Row],[ProductID]],tbl_product[ProductID],tbl_product[ProductName],"UNMAPPED_PRODUCT")</f>
        <v>Road-650 Black, 48</v>
      </c>
      <c r="D674" t="str">
        <f>_xlfn.XLOOKUP(tbl_model[[#This Row],[ProductID]],tbl_product[ProductID],tbl_product[ProductNumber],"UNMAPPED_PRODUCT")</f>
        <v>BK-R50B-48</v>
      </c>
      <c r="E674" t="str">
        <f>_xlfn.XLOOKUP(tbl_model[[#This Row],[LocationID]],tbl_location[LocationID],tbl_location[LocationName],"UNMAPPED_LOCATION")</f>
        <v>Final Assembly</v>
      </c>
      <c r="F674">
        <v>60</v>
      </c>
      <c r="G674" s="1" t="str">
        <f>tbl_model[[#This Row],[ProductID]] &amp; "-" &amp; tbl_model[[#This Row],[LocationID]]</f>
        <v>769-60</v>
      </c>
    </row>
    <row r="675" spans="1:7">
      <c r="A675">
        <v>770</v>
      </c>
      <c r="B675">
        <v>7</v>
      </c>
      <c r="C675" t="str">
        <f>_xlfn.XLOOKUP(tbl_model[[#This Row],[ProductID]],tbl_product[ProductID],tbl_product[ProductName],"UNMAPPED_PRODUCT")</f>
        <v>Road-650 Black, 52</v>
      </c>
      <c r="D675" t="str">
        <f>_xlfn.XLOOKUP(tbl_model[[#This Row],[ProductID]],tbl_product[ProductID],tbl_product[ProductNumber],"UNMAPPED_PRODUCT")</f>
        <v>BK-R50B-52</v>
      </c>
      <c r="E675" t="str">
        <f>_xlfn.XLOOKUP(tbl_model[[#This Row],[LocationID]],tbl_location[LocationID],tbl_location[LocationName],"UNMAPPED_LOCATION")</f>
        <v>Finished Goods Storage</v>
      </c>
      <c r="F675">
        <v>104</v>
      </c>
      <c r="G675" s="1" t="str">
        <f>tbl_model[[#This Row],[ProductID]] &amp; "-" &amp; tbl_model[[#This Row],[LocationID]]</f>
        <v>770-7</v>
      </c>
    </row>
    <row r="676" spans="1:7">
      <c r="A676">
        <v>770</v>
      </c>
      <c r="B676">
        <v>60</v>
      </c>
      <c r="C676" t="str">
        <f>_xlfn.XLOOKUP(tbl_model[[#This Row],[ProductID]],tbl_product[ProductID],tbl_product[ProductName],"UNMAPPED_PRODUCT")</f>
        <v>Road-650 Black, 52</v>
      </c>
      <c r="D676" t="str">
        <f>_xlfn.XLOOKUP(tbl_model[[#This Row],[ProductID]],tbl_product[ProductID],tbl_product[ProductNumber],"UNMAPPED_PRODUCT")</f>
        <v>BK-R50B-52</v>
      </c>
      <c r="E676" t="str">
        <f>_xlfn.XLOOKUP(tbl_model[[#This Row],[LocationID]],tbl_location[LocationID],tbl_location[LocationName],"UNMAPPED_LOCATION")</f>
        <v>Final Assembly</v>
      </c>
      <c r="F676">
        <v>123</v>
      </c>
      <c r="G676" s="1" t="str">
        <f>tbl_model[[#This Row],[ProductID]] &amp; "-" &amp; tbl_model[[#This Row],[LocationID]]</f>
        <v>770-60</v>
      </c>
    </row>
    <row r="677" spans="1:7">
      <c r="A677">
        <v>771</v>
      </c>
      <c r="B677">
        <v>7</v>
      </c>
      <c r="C677" t="str">
        <f>_xlfn.XLOOKUP(tbl_model[[#This Row],[ProductID]],tbl_product[ProductID],tbl_product[ProductName],"UNMAPPED_PRODUCT")</f>
        <v>Mountain-100 Silver, 38</v>
      </c>
      <c r="D677" t="str">
        <f>_xlfn.XLOOKUP(tbl_model[[#This Row],[ProductID]],tbl_product[ProductID],tbl_product[ProductNumber],"UNMAPPED_PRODUCT")</f>
        <v>BK-M82S-38</v>
      </c>
      <c r="E677" t="str">
        <f>_xlfn.XLOOKUP(tbl_model[[#This Row],[LocationID]],tbl_location[LocationID],tbl_location[LocationName],"UNMAPPED_LOCATION")</f>
        <v>Finished Goods Storage</v>
      </c>
      <c r="F677">
        <v>49</v>
      </c>
      <c r="G677" s="1" t="str">
        <f>tbl_model[[#This Row],[ProductID]] &amp; "-" &amp; tbl_model[[#This Row],[LocationID]]</f>
        <v>771-7</v>
      </c>
    </row>
    <row r="678" spans="1:7">
      <c r="A678">
        <v>771</v>
      </c>
      <c r="B678">
        <v>60</v>
      </c>
      <c r="C678" t="str">
        <f>_xlfn.XLOOKUP(tbl_model[[#This Row],[ProductID]],tbl_product[ProductID],tbl_product[ProductName],"UNMAPPED_PRODUCT")</f>
        <v>Mountain-100 Silver, 38</v>
      </c>
      <c r="D678" t="str">
        <f>_xlfn.XLOOKUP(tbl_model[[#This Row],[ProductID]],tbl_product[ProductID],tbl_product[ProductNumber],"UNMAPPED_PRODUCT")</f>
        <v>BK-M82S-38</v>
      </c>
      <c r="E678" t="str">
        <f>_xlfn.XLOOKUP(tbl_model[[#This Row],[LocationID]],tbl_location[LocationID],tbl_location[LocationName],"UNMAPPED_LOCATION")</f>
        <v>Final Assembly</v>
      </c>
      <c r="F678">
        <v>100</v>
      </c>
      <c r="G678" s="1" t="str">
        <f>tbl_model[[#This Row],[ProductID]] &amp; "-" &amp; tbl_model[[#This Row],[LocationID]]</f>
        <v>771-60</v>
      </c>
    </row>
    <row r="679" spans="1:7">
      <c r="A679">
        <v>772</v>
      </c>
      <c r="B679">
        <v>7</v>
      </c>
      <c r="C679" t="str">
        <f>_xlfn.XLOOKUP(tbl_model[[#This Row],[ProductID]],tbl_product[ProductID],tbl_product[ProductName],"UNMAPPED_PRODUCT")</f>
        <v>Mountain-100 Silver, 42</v>
      </c>
      <c r="D679" t="str">
        <f>_xlfn.XLOOKUP(tbl_model[[#This Row],[ProductID]],tbl_product[ProductID],tbl_product[ProductNumber],"UNMAPPED_PRODUCT")</f>
        <v>BK-M82S-42</v>
      </c>
      <c r="E679" t="str">
        <f>_xlfn.XLOOKUP(tbl_model[[#This Row],[LocationID]],tbl_location[LocationID],tbl_location[LocationName],"UNMAPPED_LOCATION")</f>
        <v>Finished Goods Storage</v>
      </c>
      <c r="F679">
        <v>88</v>
      </c>
      <c r="G679" s="1" t="str">
        <f>tbl_model[[#This Row],[ProductID]] &amp; "-" &amp; tbl_model[[#This Row],[LocationID]]</f>
        <v>772-7</v>
      </c>
    </row>
    <row r="680" spans="1:7">
      <c r="A680">
        <v>772</v>
      </c>
      <c r="B680">
        <v>60</v>
      </c>
      <c r="C680" t="str">
        <f>_xlfn.XLOOKUP(tbl_model[[#This Row],[ProductID]],tbl_product[ProductID],tbl_product[ProductName],"UNMAPPED_PRODUCT")</f>
        <v>Mountain-100 Silver, 42</v>
      </c>
      <c r="D680" t="str">
        <f>_xlfn.XLOOKUP(tbl_model[[#This Row],[ProductID]],tbl_product[ProductID],tbl_product[ProductNumber],"UNMAPPED_PRODUCT")</f>
        <v>BK-M82S-42</v>
      </c>
      <c r="E680" t="str">
        <f>_xlfn.XLOOKUP(tbl_model[[#This Row],[LocationID]],tbl_location[LocationID],tbl_location[LocationName],"UNMAPPED_LOCATION")</f>
        <v>Final Assembly</v>
      </c>
      <c r="F680">
        <v>65</v>
      </c>
      <c r="G680" s="1" t="str">
        <f>tbl_model[[#This Row],[ProductID]] &amp; "-" &amp; tbl_model[[#This Row],[LocationID]]</f>
        <v>772-60</v>
      </c>
    </row>
    <row r="681" spans="1:7">
      <c r="A681">
        <v>773</v>
      </c>
      <c r="B681">
        <v>7</v>
      </c>
      <c r="C681" t="str">
        <f>_xlfn.XLOOKUP(tbl_model[[#This Row],[ProductID]],tbl_product[ProductID],tbl_product[ProductName],"UNMAPPED_PRODUCT")</f>
        <v>Mountain-100 Silver, 44</v>
      </c>
      <c r="D681" t="str">
        <f>_xlfn.XLOOKUP(tbl_model[[#This Row],[ProductID]],tbl_product[ProductID],tbl_product[ProductNumber],"UNMAPPED_PRODUCT")</f>
        <v>BK-M82S-44</v>
      </c>
      <c r="E681" t="str">
        <f>_xlfn.XLOOKUP(tbl_model[[#This Row],[LocationID]],tbl_location[LocationID],tbl_location[LocationName],"UNMAPPED_LOCATION")</f>
        <v>Finished Goods Storage</v>
      </c>
      <c r="F681">
        <v>83</v>
      </c>
      <c r="G681" s="1" t="str">
        <f>tbl_model[[#This Row],[ProductID]] &amp; "-" &amp; tbl_model[[#This Row],[LocationID]]</f>
        <v>773-7</v>
      </c>
    </row>
    <row r="682" spans="1:7">
      <c r="A682">
        <v>773</v>
      </c>
      <c r="B682">
        <v>60</v>
      </c>
      <c r="C682" t="str">
        <f>_xlfn.XLOOKUP(tbl_model[[#This Row],[ProductID]],tbl_product[ProductID],tbl_product[ProductName],"UNMAPPED_PRODUCT")</f>
        <v>Mountain-100 Silver, 44</v>
      </c>
      <c r="D682" t="str">
        <f>_xlfn.XLOOKUP(tbl_model[[#This Row],[ProductID]],tbl_product[ProductID],tbl_product[ProductNumber],"UNMAPPED_PRODUCT")</f>
        <v>BK-M82S-44</v>
      </c>
      <c r="E682" t="str">
        <f>_xlfn.XLOOKUP(tbl_model[[#This Row],[LocationID]],tbl_location[LocationID],tbl_location[LocationName],"UNMAPPED_LOCATION")</f>
        <v>Final Assembly</v>
      </c>
      <c r="F682">
        <v>75</v>
      </c>
      <c r="G682" s="1" t="str">
        <f>tbl_model[[#This Row],[ProductID]] &amp; "-" &amp; tbl_model[[#This Row],[LocationID]]</f>
        <v>773-60</v>
      </c>
    </row>
    <row r="683" spans="1:7">
      <c r="A683">
        <v>774</v>
      </c>
      <c r="B683">
        <v>7</v>
      </c>
      <c r="C683" t="str">
        <f>_xlfn.XLOOKUP(tbl_model[[#This Row],[ProductID]],tbl_product[ProductID],tbl_product[ProductName],"UNMAPPED_PRODUCT")</f>
        <v>Mountain-100 Silver, 48</v>
      </c>
      <c r="D683" t="str">
        <f>_xlfn.XLOOKUP(tbl_model[[#This Row],[ProductID]],tbl_product[ProductID],tbl_product[ProductNumber],"UNMAPPED_PRODUCT")</f>
        <v>BK-M82S-48</v>
      </c>
      <c r="E683" t="str">
        <f>_xlfn.XLOOKUP(tbl_model[[#This Row],[LocationID]],tbl_location[LocationID],tbl_location[LocationName],"UNMAPPED_LOCATION")</f>
        <v>Finished Goods Storage</v>
      </c>
      <c r="F683">
        <v>62</v>
      </c>
      <c r="G683" s="1" t="str">
        <f>tbl_model[[#This Row],[ProductID]] &amp; "-" &amp; tbl_model[[#This Row],[LocationID]]</f>
        <v>774-7</v>
      </c>
    </row>
    <row r="684" spans="1:7">
      <c r="A684">
        <v>774</v>
      </c>
      <c r="B684">
        <v>60</v>
      </c>
      <c r="C684" t="str">
        <f>_xlfn.XLOOKUP(tbl_model[[#This Row],[ProductID]],tbl_product[ProductID],tbl_product[ProductName],"UNMAPPED_PRODUCT")</f>
        <v>Mountain-100 Silver, 48</v>
      </c>
      <c r="D684" t="str">
        <f>_xlfn.XLOOKUP(tbl_model[[#This Row],[ProductID]],tbl_product[ProductID],tbl_product[ProductNumber],"UNMAPPED_PRODUCT")</f>
        <v>BK-M82S-48</v>
      </c>
      <c r="E684" t="str">
        <f>_xlfn.XLOOKUP(tbl_model[[#This Row],[LocationID]],tbl_location[LocationID],tbl_location[LocationName],"UNMAPPED_LOCATION")</f>
        <v>Final Assembly</v>
      </c>
      <c r="F684">
        <v>102</v>
      </c>
      <c r="G684" s="1" t="str">
        <f>tbl_model[[#This Row],[ProductID]] &amp; "-" &amp; tbl_model[[#This Row],[LocationID]]</f>
        <v>774-60</v>
      </c>
    </row>
    <row r="685" spans="1:7">
      <c r="A685">
        <v>775</v>
      </c>
      <c r="B685">
        <v>7</v>
      </c>
      <c r="C685" t="str">
        <f>_xlfn.XLOOKUP(tbl_model[[#This Row],[ProductID]],tbl_product[ProductID],tbl_product[ProductName],"UNMAPPED_PRODUCT")</f>
        <v>Mountain-100 Black, 38</v>
      </c>
      <c r="D685" t="str">
        <f>_xlfn.XLOOKUP(tbl_model[[#This Row],[ProductID]],tbl_product[ProductID],tbl_product[ProductNumber],"UNMAPPED_PRODUCT")</f>
        <v>BK-M82B-38</v>
      </c>
      <c r="E685" t="str">
        <f>_xlfn.XLOOKUP(tbl_model[[#This Row],[LocationID]],tbl_location[LocationID],tbl_location[LocationName],"UNMAPPED_LOCATION")</f>
        <v>Finished Goods Storage</v>
      </c>
      <c r="F685">
        <v>99</v>
      </c>
      <c r="G685" s="1" t="str">
        <f>tbl_model[[#This Row],[ProductID]] &amp; "-" &amp; tbl_model[[#This Row],[LocationID]]</f>
        <v>775-7</v>
      </c>
    </row>
    <row r="686" spans="1:7">
      <c r="A686">
        <v>775</v>
      </c>
      <c r="B686">
        <v>60</v>
      </c>
      <c r="C686" t="str">
        <f>_xlfn.XLOOKUP(tbl_model[[#This Row],[ProductID]],tbl_product[ProductID],tbl_product[ProductName],"UNMAPPED_PRODUCT")</f>
        <v>Mountain-100 Black, 38</v>
      </c>
      <c r="D686" t="str">
        <f>_xlfn.XLOOKUP(tbl_model[[#This Row],[ProductID]],tbl_product[ProductID],tbl_product[ProductNumber],"UNMAPPED_PRODUCT")</f>
        <v>BK-M82B-38</v>
      </c>
      <c r="E686" t="str">
        <f>_xlfn.XLOOKUP(tbl_model[[#This Row],[LocationID]],tbl_location[LocationID],tbl_location[LocationName],"UNMAPPED_LOCATION")</f>
        <v>Final Assembly</v>
      </c>
      <c r="F686">
        <v>56</v>
      </c>
      <c r="G686" s="1" t="str">
        <f>tbl_model[[#This Row],[ProductID]] &amp; "-" &amp; tbl_model[[#This Row],[LocationID]]</f>
        <v>775-60</v>
      </c>
    </row>
    <row r="687" spans="1:7">
      <c r="A687">
        <v>776</v>
      </c>
      <c r="B687">
        <v>7</v>
      </c>
      <c r="C687" t="str">
        <f>_xlfn.XLOOKUP(tbl_model[[#This Row],[ProductID]],tbl_product[ProductID],tbl_product[ProductName],"UNMAPPED_PRODUCT")</f>
        <v>Mountain-100 Black, 42</v>
      </c>
      <c r="D687" t="str">
        <f>_xlfn.XLOOKUP(tbl_model[[#This Row],[ProductID]],tbl_product[ProductID],tbl_product[ProductNumber],"UNMAPPED_PRODUCT")</f>
        <v>BK-M82B-42</v>
      </c>
      <c r="E687" t="str">
        <f>_xlfn.XLOOKUP(tbl_model[[#This Row],[LocationID]],tbl_location[LocationID],tbl_location[LocationName],"UNMAPPED_LOCATION")</f>
        <v>Finished Goods Storage</v>
      </c>
      <c r="F687">
        <v>78</v>
      </c>
      <c r="G687" s="1" t="str">
        <f>tbl_model[[#This Row],[ProductID]] &amp; "-" &amp; tbl_model[[#This Row],[LocationID]]</f>
        <v>776-7</v>
      </c>
    </row>
    <row r="688" spans="1:7">
      <c r="A688">
        <v>776</v>
      </c>
      <c r="B688">
        <v>60</v>
      </c>
      <c r="C688" t="str">
        <f>_xlfn.XLOOKUP(tbl_model[[#This Row],[ProductID]],tbl_product[ProductID],tbl_product[ProductName],"UNMAPPED_PRODUCT")</f>
        <v>Mountain-100 Black, 42</v>
      </c>
      <c r="D688" t="str">
        <f>_xlfn.XLOOKUP(tbl_model[[#This Row],[ProductID]],tbl_product[ProductID],tbl_product[ProductNumber],"UNMAPPED_PRODUCT")</f>
        <v>BK-M82B-42</v>
      </c>
      <c r="E688" t="str">
        <f>_xlfn.XLOOKUP(tbl_model[[#This Row],[LocationID]],tbl_location[LocationID],tbl_location[LocationName],"UNMAPPED_LOCATION")</f>
        <v>Final Assembly</v>
      </c>
      <c r="F688">
        <v>116</v>
      </c>
      <c r="G688" s="1" t="str">
        <f>tbl_model[[#This Row],[ProductID]] &amp; "-" &amp; tbl_model[[#This Row],[LocationID]]</f>
        <v>776-60</v>
      </c>
    </row>
    <row r="689" spans="1:7">
      <c r="A689">
        <v>777</v>
      </c>
      <c r="B689">
        <v>7</v>
      </c>
      <c r="C689" t="str">
        <f>_xlfn.XLOOKUP(tbl_model[[#This Row],[ProductID]],tbl_product[ProductID],tbl_product[ProductName],"UNMAPPED_PRODUCT")</f>
        <v>Mountain-100 Black, 44</v>
      </c>
      <c r="D689" t="str">
        <f>_xlfn.XLOOKUP(tbl_model[[#This Row],[ProductID]],tbl_product[ProductID],tbl_product[ProductNumber],"UNMAPPED_PRODUCT")</f>
        <v>BK-M82B-44</v>
      </c>
      <c r="E689" t="str">
        <f>_xlfn.XLOOKUP(tbl_model[[#This Row],[LocationID]],tbl_location[LocationID],tbl_location[LocationName],"UNMAPPED_LOCATION")</f>
        <v>Finished Goods Storage</v>
      </c>
      <c r="F689">
        <v>49</v>
      </c>
      <c r="G689" s="1" t="str">
        <f>tbl_model[[#This Row],[ProductID]] &amp; "-" &amp; tbl_model[[#This Row],[LocationID]]</f>
        <v>777-7</v>
      </c>
    </row>
    <row r="690" spans="1:7">
      <c r="A690">
        <v>777</v>
      </c>
      <c r="B690">
        <v>60</v>
      </c>
      <c r="C690" t="str">
        <f>_xlfn.XLOOKUP(tbl_model[[#This Row],[ProductID]],tbl_product[ProductID],tbl_product[ProductName],"UNMAPPED_PRODUCT")</f>
        <v>Mountain-100 Black, 44</v>
      </c>
      <c r="D690" t="str">
        <f>_xlfn.XLOOKUP(tbl_model[[#This Row],[ProductID]],tbl_product[ProductID],tbl_product[ProductNumber],"UNMAPPED_PRODUCT")</f>
        <v>BK-M82B-44</v>
      </c>
      <c r="E690" t="str">
        <f>_xlfn.XLOOKUP(tbl_model[[#This Row],[LocationID]],tbl_location[LocationID],tbl_location[LocationName],"UNMAPPED_LOCATION")</f>
        <v>Final Assembly</v>
      </c>
      <c r="F690">
        <v>100</v>
      </c>
      <c r="G690" s="1" t="str">
        <f>tbl_model[[#This Row],[ProductID]] &amp; "-" &amp; tbl_model[[#This Row],[LocationID]]</f>
        <v>777-60</v>
      </c>
    </row>
    <row r="691" spans="1:7">
      <c r="A691">
        <v>778</v>
      </c>
      <c r="B691">
        <v>7</v>
      </c>
      <c r="C691" t="str">
        <f>_xlfn.XLOOKUP(tbl_model[[#This Row],[ProductID]],tbl_product[ProductID],tbl_product[ProductName],"UNMAPPED_PRODUCT")</f>
        <v>Mountain-100 Black, 48</v>
      </c>
      <c r="D691" t="str">
        <f>_xlfn.XLOOKUP(tbl_model[[#This Row],[ProductID]],tbl_product[ProductID],tbl_product[ProductNumber],"UNMAPPED_PRODUCT")</f>
        <v>BK-M82B-48</v>
      </c>
      <c r="E691" t="str">
        <f>_xlfn.XLOOKUP(tbl_model[[#This Row],[LocationID]],tbl_location[LocationID],tbl_location[LocationName],"UNMAPPED_LOCATION")</f>
        <v>Finished Goods Storage</v>
      </c>
      <c r="F691">
        <v>88</v>
      </c>
      <c r="G691" s="1" t="str">
        <f>tbl_model[[#This Row],[ProductID]] &amp; "-" &amp; tbl_model[[#This Row],[LocationID]]</f>
        <v>778-7</v>
      </c>
    </row>
    <row r="692" spans="1:7">
      <c r="A692">
        <v>778</v>
      </c>
      <c r="B692">
        <v>60</v>
      </c>
      <c r="C692" t="str">
        <f>_xlfn.XLOOKUP(tbl_model[[#This Row],[ProductID]],tbl_product[ProductID],tbl_product[ProductName],"UNMAPPED_PRODUCT")</f>
        <v>Mountain-100 Black, 48</v>
      </c>
      <c r="D692" t="str">
        <f>_xlfn.XLOOKUP(tbl_model[[#This Row],[ProductID]],tbl_product[ProductID],tbl_product[ProductNumber],"UNMAPPED_PRODUCT")</f>
        <v>BK-M82B-48</v>
      </c>
      <c r="E692" t="str">
        <f>_xlfn.XLOOKUP(tbl_model[[#This Row],[LocationID]],tbl_location[LocationID],tbl_location[LocationName],"UNMAPPED_LOCATION")</f>
        <v>Final Assembly</v>
      </c>
      <c r="F692">
        <v>65</v>
      </c>
      <c r="G692" s="1" t="str">
        <f>tbl_model[[#This Row],[ProductID]] &amp; "-" &amp; tbl_model[[#This Row],[LocationID]]</f>
        <v>778-60</v>
      </c>
    </row>
    <row r="693" spans="1:7">
      <c r="A693">
        <v>779</v>
      </c>
      <c r="B693">
        <v>7</v>
      </c>
      <c r="C693" t="str">
        <f>_xlfn.XLOOKUP(tbl_model[[#This Row],[ProductID]],tbl_product[ProductID],tbl_product[ProductName],"UNMAPPED_PRODUCT")</f>
        <v>Mountain-200 Silver, 38</v>
      </c>
      <c r="D693" t="str">
        <f>_xlfn.XLOOKUP(tbl_model[[#This Row],[ProductID]],tbl_product[ProductID],tbl_product[ProductNumber],"UNMAPPED_PRODUCT")</f>
        <v>BK-M68S-38</v>
      </c>
      <c r="E693" t="str">
        <f>_xlfn.XLOOKUP(tbl_model[[#This Row],[LocationID]],tbl_location[LocationID],tbl_location[LocationName],"UNMAPPED_LOCATION")</f>
        <v>Finished Goods Storage</v>
      </c>
      <c r="F693">
        <v>75</v>
      </c>
      <c r="G693" s="1" t="str">
        <f>tbl_model[[#This Row],[ProductID]] &amp; "-" &amp; tbl_model[[#This Row],[LocationID]]</f>
        <v>779-7</v>
      </c>
    </row>
    <row r="694" spans="1:7">
      <c r="A694">
        <v>779</v>
      </c>
      <c r="B694">
        <v>60</v>
      </c>
      <c r="C694" t="str">
        <f>_xlfn.XLOOKUP(tbl_model[[#This Row],[ProductID]],tbl_product[ProductID],tbl_product[ProductName],"UNMAPPED_PRODUCT")</f>
        <v>Mountain-200 Silver, 38</v>
      </c>
      <c r="D694" t="str">
        <f>_xlfn.XLOOKUP(tbl_model[[#This Row],[ProductID]],tbl_product[ProductID],tbl_product[ProductNumber],"UNMAPPED_PRODUCT")</f>
        <v>BK-M68S-38</v>
      </c>
      <c r="E694" t="str">
        <f>_xlfn.XLOOKUP(tbl_model[[#This Row],[LocationID]],tbl_location[LocationID],tbl_location[LocationName],"UNMAPPED_LOCATION")</f>
        <v>Final Assembly</v>
      </c>
      <c r="F694">
        <v>62</v>
      </c>
      <c r="G694" s="1" t="str">
        <f>tbl_model[[#This Row],[ProductID]] &amp; "-" &amp; tbl_model[[#This Row],[LocationID]]</f>
        <v>779-60</v>
      </c>
    </row>
    <row r="695" spans="1:7">
      <c r="A695">
        <v>780</v>
      </c>
      <c r="B695">
        <v>7</v>
      </c>
      <c r="C695" t="str">
        <f>_xlfn.XLOOKUP(tbl_model[[#This Row],[ProductID]],tbl_product[ProductID],tbl_product[ProductName],"UNMAPPED_PRODUCT")</f>
        <v>Mountain-200 Silver, 42</v>
      </c>
      <c r="D695" t="str">
        <f>_xlfn.XLOOKUP(tbl_model[[#This Row],[ProductID]],tbl_product[ProductID],tbl_product[ProductNumber],"UNMAPPED_PRODUCT")</f>
        <v>BK-M68S-42</v>
      </c>
      <c r="E695" t="str">
        <f>_xlfn.XLOOKUP(tbl_model[[#This Row],[LocationID]],tbl_location[LocationID],tbl_location[LocationName],"UNMAPPED_LOCATION")</f>
        <v>Finished Goods Storage</v>
      </c>
      <c r="F695">
        <v>102</v>
      </c>
      <c r="G695" s="1" t="str">
        <f>tbl_model[[#This Row],[ProductID]] &amp; "-" &amp; tbl_model[[#This Row],[LocationID]]</f>
        <v>780-7</v>
      </c>
    </row>
    <row r="696" spans="1:7">
      <c r="A696">
        <v>780</v>
      </c>
      <c r="B696">
        <v>60</v>
      </c>
      <c r="C696" t="str">
        <f>_xlfn.XLOOKUP(tbl_model[[#This Row],[ProductID]],tbl_product[ProductID],tbl_product[ProductName],"UNMAPPED_PRODUCT")</f>
        <v>Mountain-200 Silver, 42</v>
      </c>
      <c r="D696" t="str">
        <f>_xlfn.XLOOKUP(tbl_model[[#This Row],[ProductID]],tbl_product[ProductID],tbl_product[ProductNumber],"UNMAPPED_PRODUCT")</f>
        <v>BK-M68S-42</v>
      </c>
      <c r="E696" t="str">
        <f>_xlfn.XLOOKUP(tbl_model[[#This Row],[LocationID]],tbl_location[LocationID],tbl_location[LocationName],"UNMAPPED_LOCATION")</f>
        <v>Final Assembly</v>
      </c>
      <c r="F696">
        <v>121</v>
      </c>
      <c r="G696" s="1" t="str">
        <f>tbl_model[[#This Row],[ProductID]] &amp; "-" &amp; tbl_model[[#This Row],[LocationID]]</f>
        <v>780-60</v>
      </c>
    </row>
    <row r="697" spans="1:7">
      <c r="A697">
        <v>781</v>
      </c>
      <c r="B697">
        <v>7</v>
      </c>
      <c r="C697" t="str">
        <f>_xlfn.XLOOKUP(tbl_model[[#This Row],[ProductID]],tbl_product[ProductID],tbl_product[ProductName],"UNMAPPED_PRODUCT")</f>
        <v>Mountain-200 Silver, 46</v>
      </c>
      <c r="D697" t="str">
        <f>_xlfn.XLOOKUP(tbl_model[[#This Row],[ProductID]],tbl_product[ProductID],tbl_product[ProductNumber],"UNMAPPED_PRODUCT")</f>
        <v>BK-M68S-46</v>
      </c>
      <c r="E697" t="str">
        <f>_xlfn.XLOOKUP(tbl_model[[#This Row],[LocationID]],tbl_location[LocationID],tbl_location[LocationName],"UNMAPPED_LOCATION")</f>
        <v>Finished Goods Storage</v>
      </c>
      <c r="F697">
        <v>32</v>
      </c>
      <c r="G697" s="1" t="str">
        <f>tbl_model[[#This Row],[ProductID]] &amp; "-" &amp; tbl_model[[#This Row],[LocationID]]</f>
        <v>781-7</v>
      </c>
    </row>
    <row r="698" spans="1:7">
      <c r="A698">
        <v>781</v>
      </c>
      <c r="B698">
        <v>60</v>
      </c>
      <c r="C698" t="str">
        <f>_xlfn.XLOOKUP(tbl_model[[#This Row],[ProductID]],tbl_product[ProductID],tbl_product[ProductName],"UNMAPPED_PRODUCT")</f>
        <v>Mountain-200 Silver, 46</v>
      </c>
      <c r="D698" t="str">
        <f>_xlfn.XLOOKUP(tbl_model[[#This Row],[ProductID]],tbl_product[ProductID],tbl_product[ProductNumber],"UNMAPPED_PRODUCT")</f>
        <v>BK-M68S-46</v>
      </c>
      <c r="E698" t="str">
        <f>_xlfn.XLOOKUP(tbl_model[[#This Row],[LocationID]],tbl_location[LocationID],tbl_location[LocationName],"UNMAPPED_LOCATION")</f>
        <v>Final Assembly</v>
      </c>
      <c r="F698">
        <v>108</v>
      </c>
      <c r="G698" s="1" t="str">
        <f>tbl_model[[#This Row],[ProductID]] &amp; "-" &amp; tbl_model[[#This Row],[LocationID]]</f>
        <v>781-60</v>
      </c>
    </row>
    <row r="699" spans="1:7">
      <c r="A699">
        <v>782</v>
      </c>
      <c r="B699">
        <v>7</v>
      </c>
      <c r="C699" t="str">
        <f>_xlfn.XLOOKUP(tbl_model[[#This Row],[ProductID]],tbl_product[ProductID],tbl_product[ProductName],"UNMAPPED_PRODUCT")</f>
        <v>Mountain-200 Black, 38</v>
      </c>
      <c r="D699" t="str">
        <f>_xlfn.XLOOKUP(tbl_model[[#This Row],[ProductID]],tbl_product[ProductID],tbl_product[ProductNumber],"UNMAPPED_PRODUCT")</f>
        <v>BK-M68B-38</v>
      </c>
      <c r="E699" t="str">
        <f>_xlfn.XLOOKUP(tbl_model[[#This Row],[LocationID]],tbl_location[LocationID],tbl_location[LocationName],"UNMAPPED_LOCATION")</f>
        <v>Finished Goods Storage</v>
      </c>
      <c r="F699">
        <v>100</v>
      </c>
      <c r="G699" s="1" t="str">
        <f>tbl_model[[#This Row],[ProductID]] &amp; "-" &amp; tbl_model[[#This Row],[LocationID]]</f>
        <v>782-7</v>
      </c>
    </row>
    <row r="700" spans="1:7">
      <c r="A700">
        <v>782</v>
      </c>
      <c r="B700">
        <v>60</v>
      </c>
      <c r="C700" t="str">
        <f>_xlfn.XLOOKUP(tbl_model[[#This Row],[ProductID]],tbl_product[ProductID],tbl_product[ProductName],"UNMAPPED_PRODUCT")</f>
        <v>Mountain-200 Black, 38</v>
      </c>
      <c r="D700" t="str">
        <f>_xlfn.XLOOKUP(tbl_model[[#This Row],[ProductID]],tbl_product[ProductID],tbl_product[ProductNumber],"UNMAPPED_PRODUCT")</f>
        <v>BK-M68B-38</v>
      </c>
      <c r="E700" t="str">
        <f>_xlfn.XLOOKUP(tbl_model[[#This Row],[LocationID]],tbl_location[LocationID],tbl_location[LocationName],"UNMAPPED_LOCATION")</f>
        <v>Final Assembly</v>
      </c>
      <c r="F700">
        <v>88</v>
      </c>
      <c r="G700" s="1" t="str">
        <f>tbl_model[[#This Row],[ProductID]] &amp; "-" &amp; tbl_model[[#This Row],[LocationID]]</f>
        <v>782-60</v>
      </c>
    </row>
    <row r="701" spans="1:7">
      <c r="A701">
        <v>783</v>
      </c>
      <c r="B701">
        <v>7</v>
      </c>
      <c r="C701" t="str">
        <f>_xlfn.XLOOKUP(tbl_model[[#This Row],[ProductID]],tbl_product[ProductID],tbl_product[ProductName],"UNMAPPED_PRODUCT")</f>
        <v>Mountain-200 Black, 42</v>
      </c>
      <c r="D701" t="str">
        <f>_xlfn.XLOOKUP(tbl_model[[#This Row],[ProductID]],tbl_product[ProductID],tbl_product[ProductNumber],"UNMAPPED_PRODUCT")</f>
        <v>BK-M68B-42</v>
      </c>
      <c r="E701" t="str">
        <f>_xlfn.XLOOKUP(tbl_model[[#This Row],[LocationID]],tbl_location[LocationID],tbl_location[LocationName],"UNMAPPED_LOCATION")</f>
        <v>Finished Goods Storage</v>
      </c>
      <c r="F701">
        <v>65</v>
      </c>
      <c r="G701" s="1" t="str">
        <f>tbl_model[[#This Row],[ProductID]] &amp; "-" &amp; tbl_model[[#This Row],[LocationID]]</f>
        <v>783-7</v>
      </c>
    </row>
    <row r="702" spans="1:7">
      <c r="A702">
        <v>783</v>
      </c>
      <c r="B702">
        <v>60</v>
      </c>
      <c r="C702" t="str">
        <f>_xlfn.XLOOKUP(tbl_model[[#This Row],[ProductID]],tbl_product[ProductID],tbl_product[ProductName],"UNMAPPED_PRODUCT")</f>
        <v>Mountain-200 Black, 42</v>
      </c>
      <c r="D702" t="str">
        <f>_xlfn.XLOOKUP(tbl_model[[#This Row],[ProductID]],tbl_product[ProductID],tbl_product[ProductNumber],"UNMAPPED_PRODUCT")</f>
        <v>BK-M68B-42</v>
      </c>
      <c r="E702" t="str">
        <f>_xlfn.XLOOKUP(tbl_model[[#This Row],[LocationID]],tbl_location[LocationID],tbl_location[LocationName],"UNMAPPED_LOCATION")</f>
        <v>Final Assembly</v>
      </c>
      <c r="F702">
        <v>83</v>
      </c>
      <c r="G702" s="1" t="str">
        <f>tbl_model[[#This Row],[ProductID]] &amp; "-" &amp; tbl_model[[#This Row],[LocationID]]</f>
        <v>783-60</v>
      </c>
    </row>
    <row r="703" spans="1:7">
      <c r="A703">
        <v>784</v>
      </c>
      <c r="B703">
        <v>7</v>
      </c>
      <c r="C703" t="str">
        <f>_xlfn.XLOOKUP(tbl_model[[#This Row],[ProductID]],tbl_product[ProductID],tbl_product[ProductName],"UNMAPPED_PRODUCT")</f>
        <v>Mountain-200 Black, 46</v>
      </c>
      <c r="D703" t="str">
        <f>_xlfn.XLOOKUP(tbl_model[[#This Row],[ProductID]],tbl_product[ProductID],tbl_product[ProductNumber],"UNMAPPED_PRODUCT")</f>
        <v>BK-M68B-46</v>
      </c>
      <c r="E703" t="str">
        <f>_xlfn.XLOOKUP(tbl_model[[#This Row],[LocationID]],tbl_location[LocationID],tbl_location[LocationName],"UNMAPPED_LOCATION")</f>
        <v>Finished Goods Storage</v>
      </c>
      <c r="F703">
        <v>75</v>
      </c>
      <c r="G703" s="1" t="str">
        <f>tbl_model[[#This Row],[ProductID]] &amp; "-" &amp; tbl_model[[#This Row],[LocationID]]</f>
        <v>784-7</v>
      </c>
    </row>
    <row r="704" spans="1:7">
      <c r="A704">
        <v>784</v>
      </c>
      <c r="B704">
        <v>60</v>
      </c>
      <c r="C704" t="str">
        <f>_xlfn.XLOOKUP(tbl_model[[#This Row],[ProductID]],tbl_product[ProductID],tbl_product[ProductName],"UNMAPPED_PRODUCT")</f>
        <v>Mountain-200 Black, 46</v>
      </c>
      <c r="D704" t="str">
        <f>_xlfn.XLOOKUP(tbl_model[[#This Row],[ProductID]],tbl_product[ProductID],tbl_product[ProductNumber],"UNMAPPED_PRODUCT")</f>
        <v>BK-M68B-46</v>
      </c>
      <c r="E704" t="str">
        <f>_xlfn.XLOOKUP(tbl_model[[#This Row],[LocationID]],tbl_location[LocationID],tbl_location[LocationName],"UNMAPPED_LOCATION")</f>
        <v>Final Assembly</v>
      </c>
      <c r="F704">
        <v>62</v>
      </c>
      <c r="G704" s="1" t="str">
        <f>tbl_model[[#This Row],[ProductID]] &amp; "-" &amp; tbl_model[[#This Row],[LocationID]]</f>
        <v>784-60</v>
      </c>
    </row>
    <row r="705" spans="1:7">
      <c r="A705">
        <v>785</v>
      </c>
      <c r="B705">
        <v>7</v>
      </c>
      <c r="C705" t="str">
        <f>_xlfn.XLOOKUP(tbl_model[[#This Row],[ProductID]],tbl_product[ProductID],tbl_product[ProductName],"UNMAPPED_PRODUCT")</f>
        <v>Mountain-300 Black, 38</v>
      </c>
      <c r="D705" t="str">
        <f>_xlfn.XLOOKUP(tbl_model[[#This Row],[ProductID]],tbl_product[ProductID],tbl_product[ProductNumber],"UNMAPPED_PRODUCT")</f>
        <v>BK-M47B-38</v>
      </c>
      <c r="E705" t="str">
        <f>_xlfn.XLOOKUP(tbl_model[[#This Row],[LocationID]],tbl_location[LocationID],tbl_location[LocationName],"UNMAPPED_LOCATION")</f>
        <v>Finished Goods Storage</v>
      </c>
      <c r="F705">
        <v>75</v>
      </c>
      <c r="G705" s="1" t="str">
        <f>tbl_model[[#This Row],[ProductID]] &amp; "-" &amp; tbl_model[[#This Row],[LocationID]]</f>
        <v>785-7</v>
      </c>
    </row>
    <row r="706" spans="1:7">
      <c r="A706">
        <v>785</v>
      </c>
      <c r="B706">
        <v>60</v>
      </c>
      <c r="C706" t="str">
        <f>_xlfn.XLOOKUP(tbl_model[[#This Row],[ProductID]],tbl_product[ProductID],tbl_product[ProductName],"UNMAPPED_PRODUCT")</f>
        <v>Mountain-300 Black, 38</v>
      </c>
      <c r="D706" t="str">
        <f>_xlfn.XLOOKUP(tbl_model[[#This Row],[ProductID]],tbl_product[ProductID],tbl_product[ProductNumber],"UNMAPPED_PRODUCT")</f>
        <v>BK-M47B-38</v>
      </c>
      <c r="E706" t="str">
        <f>_xlfn.XLOOKUP(tbl_model[[#This Row],[LocationID]],tbl_location[LocationID],tbl_location[LocationName],"UNMAPPED_LOCATION")</f>
        <v>Final Assembly</v>
      </c>
      <c r="F706">
        <v>62</v>
      </c>
      <c r="G706" s="1" t="str">
        <f>tbl_model[[#This Row],[ProductID]] &amp; "-" &amp; tbl_model[[#This Row],[LocationID]]</f>
        <v>785-60</v>
      </c>
    </row>
    <row r="707" spans="1:7">
      <c r="A707">
        <v>786</v>
      </c>
      <c r="B707">
        <v>7</v>
      </c>
      <c r="C707" t="str">
        <f>_xlfn.XLOOKUP(tbl_model[[#This Row],[ProductID]],tbl_product[ProductID],tbl_product[ProductName],"UNMAPPED_PRODUCT")</f>
        <v>Mountain-300 Black, 40</v>
      </c>
      <c r="D707" t="str">
        <f>_xlfn.XLOOKUP(tbl_model[[#This Row],[ProductID]],tbl_product[ProductID],tbl_product[ProductNumber],"UNMAPPED_PRODUCT")</f>
        <v>BK-M47B-40</v>
      </c>
      <c r="E707" t="str">
        <f>_xlfn.XLOOKUP(tbl_model[[#This Row],[LocationID]],tbl_location[LocationID],tbl_location[LocationName],"UNMAPPED_LOCATION")</f>
        <v>Finished Goods Storage</v>
      </c>
      <c r="F707">
        <v>102</v>
      </c>
      <c r="G707" s="1" t="str">
        <f>tbl_model[[#This Row],[ProductID]] &amp; "-" &amp; tbl_model[[#This Row],[LocationID]]</f>
        <v>786-7</v>
      </c>
    </row>
    <row r="708" spans="1:7">
      <c r="A708">
        <v>786</v>
      </c>
      <c r="B708">
        <v>60</v>
      </c>
      <c r="C708" t="str">
        <f>_xlfn.XLOOKUP(tbl_model[[#This Row],[ProductID]],tbl_product[ProductID],tbl_product[ProductName],"UNMAPPED_PRODUCT")</f>
        <v>Mountain-300 Black, 40</v>
      </c>
      <c r="D708" t="str">
        <f>_xlfn.XLOOKUP(tbl_model[[#This Row],[ProductID]],tbl_product[ProductID],tbl_product[ProductNumber],"UNMAPPED_PRODUCT")</f>
        <v>BK-M47B-40</v>
      </c>
      <c r="E708" t="str">
        <f>_xlfn.XLOOKUP(tbl_model[[#This Row],[LocationID]],tbl_location[LocationID],tbl_location[LocationName],"UNMAPPED_LOCATION")</f>
        <v>Final Assembly</v>
      </c>
      <c r="F708">
        <v>121</v>
      </c>
      <c r="G708" s="1" t="str">
        <f>tbl_model[[#This Row],[ProductID]] &amp; "-" &amp; tbl_model[[#This Row],[LocationID]]</f>
        <v>786-60</v>
      </c>
    </row>
    <row r="709" spans="1:7">
      <c r="A709">
        <v>787</v>
      </c>
      <c r="B709">
        <v>7</v>
      </c>
      <c r="C709" t="str">
        <f>_xlfn.XLOOKUP(tbl_model[[#This Row],[ProductID]],tbl_product[ProductID],tbl_product[ProductName],"UNMAPPED_PRODUCT")</f>
        <v>Mountain-300 Black, 44</v>
      </c>
      <c r="D709" t="str">
        <f>_xlfn.XLOOKUP(tbl_model[[#This Row],[ProductID]],tbl_product[ProductID],tbl_product[ProductNumber],"UNMAPPED_PRODUCT")</f>
        <v>BK-M47B-44</v>
      </c>
      <c r="E709" t="str">
        <f>_xlfn.XLOOKUP(tbl_model[[#This Row],[LocationID]],tbl_location[LocationID],tbl_location[LocationName],"UNMAPPED_LOCATION")</f>
        <v>Finished Goods Storage</v>
      </c>
      <c r="F709">
        <v>32</v>
      </c>
      <c r="G709" s="1" t="str">
        <f>tbl_model[[#This Row],[ProductID]] &amp; "-" &amp; tbl_model[[#This Row],[LocationID]]</f>
        <v>787-7</v>
      </c>
    </row>
    <row r="710" spans="1:7">
      <c r="A710">
        <v>787</v>
      </c>
      <c r="B710">
        <v>60</v>
      </c>
      <c r="C710" t="str">
        <f>_xlfn.XLOOKUP(tbl_model[[#This Row],[ProductID]],tbl_product[ProductID],tbl_product[ProductName],"UNMAPPED_PRODUCT")</f>
        <v>Mountain-300 Black, 44</v>
      </c>
      <c r="D710" t="str">
        <f>_xlfn.XLOOKUP(tbl_model[[#This Row],[ProductID]],tbl_product[ProductID],tbl_product[ProductNumber],"UNMAPPED_PRODUCT")</f>
        <v>BK-M47B-44</v>
      </c>
      <c r="E710" t="str">
        <f>_xlfn.XLOOKUP(tbl_model[[#This Row],[LocationID]],tbl_location[LocationID],tbl_location[LocationName],"UNMAPPED_LOCATION")</f>
        <v>Final Assembly</v>
      </c>
      <c r="F710">
        <v>108</v>
      </c>
      <c r="G710" s="1" t="str">
        <f>tbl_model[[#This Row],[ProductID]] &amp; "-" &amp; tbl_model[[#This Row],[LocationID]]</f>
        <v>787-60</v>
      </c>
    </row>
    <row r="711" spans="1:7">
      <c r="A711">
        <v>788</v>
      </c>
      <c r="B711">
        <v>7</v>
      </c>
      <c r="C711" t="str">
        <f>_xlfn.XLOOKUP(tbl_model[[#This Row],[ProductID]],tbl_product[ProductID],tbl_product[ProductName],"UNMAPPED_PRODUCT")</f>
        <v>Mountain-300 Black, 48</v>
      </c>
      <c r="D711" t="str">
        <f>_xlfn.XLOOKUP(tbl_model[[#This Row],[ProductID]],tbl_product[ProductID],tbl_product[ProductNumber],"UNMAPPED_PRODUCT")</f>
        <v>BK-M47B-48</v>
      </c>
      <c r="E711" t="str">
        <f>_xlfn.XLOOKUP(tbl_model[[#This Row],[LocationID]],tbl_location[LocationID],tbl_location[LocationName],"UNMAPPED_LOCATION")</f>
        <v>Finished Goods Storage</v>
      </c>
      <c r="F711">
        <v>52</v>
      </c>
      <c r="G711" s="1" t="str">
        <f>tbl_model[[#This Row],[ProductID]] &amp; "-" &amp; tbl_model[[#This Row],[LocationID]]</f>
        <v>788-7</v>
      </c>
    </row>
    <row r="712" spans="1:7">
      <c r="A712">
        <v>788</v>
      </c>
      <c r="B712">
        <v>60</v>
      </c>
      <c r="C712" t="str">
        <f>_xlfn.XLOOKUP(tbl_model[[#This Row],[ProductID]],tbl_product[ProductID],tbl_product[ProductName],"UNMAPPED_PRODUCT")</f>
        <v>Mountain-300 Black, 48</v>
      </c>
      <c r="D712" t="str">
        <f>_xlfn.XLOOKUP(tbl_model[[#This Row],[ProductID]],tbl_product[ProductID],tbl_product[ProductNumber],"UNMAPPED_PRODUCT")</f>
        <v>BK-M47B-48</v>
      </c>
      <c r="E712" t="str">
        <f>_xlfn.XLOOKUP(tbl_model[[#This Row],[LocationID]],tbl_location[LocationID],tbl_location[LocationName],"UNMAPPED_LOCATION")</f>
        <v>Final Assembly</v>
      </c>
      <c r="F712">
        <v>76</v>
      </c>
      <c r="G712" s="1" t="str">
        <f>tbl_model[[#This Row],[ProductID]] &amp; "-" &amp; tbl_model[[#This Row],[LocationID]]</f>
        <v>788-60</v>
      </c>
    </row>
    <row r="713" spans="1:7">
      <c r="A713">
        <v>789</v>
      </c>
      <c r="B713">
        <v>7</v>
      </c>
      <c r="C713" t="str">
        <f>_xlfn.XLOOKUP(tbl_model[[#This Row],[ProductID]],tbl_product[ProductID],tbl_product[ProductName],"UNMAPPED_PRODUCT")</f>
        <v>Road-250 Red, 44</v>
      </c>
      <c r="D713" t="str">
        <f>_xlfn.XLOOKUP(tbl_model[[#This Row],[ProductID]],tbl_product[ProductID],tbl_product[ProductNumber],"UNMAPPED_PRODUCT")</f>
        <v>BK-R89R-44</v>
      </c>
      <c r="E713" t="str">
        <f>_xlfn.XLOOKUP(tbl_model[[#This Row],[LocationID]],tbl_location[LocationID],tbl_location[LocationName],"UNMAPPED_LOCATION")</f>
        <v>Finished Goods Storage</v>
      </c>
      <c r="F713">
        <v>112</v>
      </c>
      <c r="G713" s="1" t="str">
        <f>tbl_model[[#This Row],[ProductID]] &amp; "-" &amp; tbl_model[[#This Row],[LocationID]]</f>
        <v>789-7</v>
      </c>
    </row>
    <row r="714" spans="1:7">
      <c r="A714">
        <v>789</v>
      </c>
      <c r="B714">
        <v>60</v>
      </c>
      <c r="C714" t="str">
        <f>_xlfn.XLOOKUP(tbl_model[[#This Row],[ProductID]],tbl_product[ProductID],tbl_product[ProductName],"UNMAPPED_PRODUCT")</f>
        <v>Road-250 Red, 44</v>
      </c>
      <c r="D714" t="str">
        <f>_xlfn.XLOOKUP(tbl_model[[#This Row],[ProductID]],tbl_product[ProductID],tbl_product[ProductNumber],"UNMAPPED_PRODUCT")</f>
        <v>BK-R89R-44</v>
      </c>
      <c r="E714" t="str">
        <f>_xlfn.XLOOKUP(tbl_model[[#This Row],[LocationID]],tbl_location[LocationID],tbl_location[LocationName],"UNMAPPED_LOCATION")</f>
        <v>Final Assembly</v>
      </c>
      <c r="F714">
        <v>51</v>
      </c>
      <c r="G714" s="1" t="str">
        <f>tbl_model[[#This Row],[ProductID]] &amp; "-" &amp; tbl_model[[#This Row],[LocationID]]</f>
        <v>789-60</v>
      </c>
    </row>
    <row r="715" spans="1:7">
      <c r="A715">
        <v>790</v>
      </c>
      <c r="B715">
        <v>7</v>
      </c>
      <c r="C715" t="str">
        <f>_xlfn.XLOOKUP(tbl_model[[#This Row],[ProductID]],tbl_product[ProductID],tbl_product[ProductName],"UNMAPPED_PRODUCT")</f>
        <v>Road-250 Red, 48</v>
      </c>
      <c r="D715" t="str">
        <f>_xlfn.XLOOKUP(tbl_model[[#This Row],[ProductID]],tbl_product[ProductID],tbl_product[ProductNumber],"UNMAPPED_PRODUCT")</f>
        <v>BK-R89R-48</v>
      </c>
      <c r="E715" t="str">
        <f>_xlfn.XLOOKUP(tbl_model[[#This Row],[LocationID]],tbl_location[LocationID],tbl_location[LocationName],"UNMAPPED_LOCATION")</f>
        <v>Finished Goods Storage</v>
      </c>
      <c r="F715">
        <v>99</v>
      </c>
      <c r="G715" s="1" t="str">
        <f>tbl_model[[#This Row],[ProductID]] &amp; "-" &amp; tbl_model[[#This Row],[LocationID]]</f>
        <v>790-7</v>
      </c>
    </row>
    <row r="716" spans="1:7">
      <c r="A716">
        <v>790</v>
      </c>
      <c r="B716">
        <v>60</v>
      </c>
      <c r="C716" t="str">
        <f>_xlfn.XLOOKUP(tbl_model[[#This Row],[ProductID]],tbl_product[ProductID],tbl_product[ProductName],"UNMAPPED_PRODUCT")</f>
        <v>Road-250 Red, 48</v>
      </c>
      <c r="D716" t="str">
        <f>_xlfn.XLOOKUP(tbl_model[[#This Row],[ProductID]],tbl_product[ProductID],tbl_product[ProductNumber],"UNMAPPED_PRODUCT")</f>
        <v>BK-R89R-48</v>
      </c>
      <c r="E716" t="str">
        <f>_xlfn.XLOOKUP(tbl_model[[#This Row],[LocationID]],tbl_location[LocationID],tbl_location[LocationName],"UNMAPPED_LOCATION")</f>
        <v>Final Assembly</v>
      </c>
      <c r="F716">
        <v>86</v>
      </c>
      <c r="G716" s="1" t="str">
        <f>tbl_model[[#This Row],[ProductID]] &amp; "-" &amp; tbl_model[[#This Row],[LocationID]]</f>
        <v>790-60</v>
      </c>
    </row>
    <row r="717" spans="1:7">
      <c r="A717">
        <v>791</v>
      </c>
      <c r="B717">
        <v>7</v>
      </c>
      <c r="C717" t="str">
        <f>_xlfn.XLOOKUP(tbl_model[[#This Row],[ProductID]],tbl_product[ProductID],tbl_product[ProductName],"UNMAPPED_PRODUCT")</f>
        <v>Road-250 Red, 52</v>
      </c>
      <c r="D717" t="str">
        <f>_xlfn.XLOOKUP(tbl_model[[#This Row],[ProductID]],tbl_product[ProductID],tbl_product[ProductNumber],"UNMAPPED_PRODUCT")</f>
        <v>BK-R89R-52</v>
      </c>
      <c r="E717" t="str">
        <f>_xlfn.XLOOKUP(tbl_model[[#This Row],[LocationID]],tbl_location[LocationID],tbl_location[LocationName],"UNMAPPED_LOCATION")</f>
        <v>Finished Goods Storage</v>
      </c>
      <c r="F717">
        <v>67</v>
      </c>
      <c r="G717" s="1" t="str">
        <f>tbl_model[[#This Row],[ProductID]] &amp; "-" &amp; tbl_model[[#This Row],[LocationID]]</f>
        <v>791-7</v>
      </c>
    </row>
    <row r="718" spans="1:7">
      <c r="A718">
        <v>791</v>
      </c>
      <c r="B718">
        <v>60</v>
      </c>
      <c r="C718" t="str">
        <f>_xlfn.XLOOKUP(tbl_model[[#This Row],[ProductID]],tbl_product[ProductID],tbl_product[ProductName],"UNMAPPED_PRODUCT")</f>
        <v>Road-250 Red, 52</v>
      </c>
      <c r="D718" t="str">
        <f>_xlfn.XLOOKUP(tbl_model[[#This Row],[ProductID]],tbl_product[ProductID],tbl_product[ProductNumber],"UNMAPPED_PRODUCT")</f>
        <v>BK-R89R-52</v>
      </c>
      <c r="E718" t="str">
        <f>_xlfn.XLOOKUP(tbl_model[[#This Row],[LocationID]],tbl_location[LocationID],tbl_location[LocationName],"UNMAPPED_LOCATION")</f>
        <v>Final Assembly</v>
      </c>
      <c r="F718">
        <v>81</v>
      </c>
      <c r="G718" s="1" t="str">
        <f>tbl_model[[#This Row],[ProductID]] &amp; "-" &amp; tbl_model[[#This Row],[LocationID]]</f>
        <v>791-60</v>
      </c>
    </row>
    <row r="719" spans="1:7">
      <c r="A719">
        <v>792</v>
      </c>
      <c r="B719">
        <v>7</v>
      </c>
      <c r="C719" t="str">
        <f>_xlfn.XLOOKUP(tbl_model[[#This Row],[ProductID]],tbl_product[ProductID],tbl_product[ProductName],"UNMAPPED_PRODUCT")</f>
        <v>Road-250 Red, 58</v>
      </c>
      <c r="D719" t="str">
        <f>_xlfn.XLOOKUP(tbl_model[[#This Row],[ProductID]],tbl_product[ProductID],tbl_product[ProductNumber],"UNMAPPED_PRODUCT")</f>
        <v>BK-R89R-58</v>
      </c>
      <c r="E719" t="str">
        <f>_xlfn.XLOOKUP(tbl_model[[#This Row],[LocationID]],tbl_location[LocationID],tbl_location[LocationName],"UNMAPPED_LOCATION")</f>
        <v>Finished Goods Storage</v>
      </c>
      <c r="F719">
        <v>104</v>
      </c>
      <c r="G719" s="1" t="str">
        <f>tbl_model[[#This Row],[ProductID]] &amp; "-" &amp; tbl_model[[#This Row],[LocationID]]</f>
        <v>792-7</v>
      </c>
    </row>
    <row r="720" spans="1:7">
      <c r="A720">
        <v>792</v>
      </c>
      <c r="B720">
        <v>60</v>
      </c>
      <c r="C720" t="str">
        <f>_xlfn.XLOOKUP(tbl_model[[#This Row],[ProductID]],tbl_product[ProductID],tbl_product[ProductName],"UNMAPPED_PRODUCT")</f>
        <v>Road-250 Red, 58</v>
      </c>
      <c r="D720" t="str">
        <f>_xlfn.XLOOKUP(tbl_model[[#This Row],[ProductID]],tbl_product[ProductID],tbl_product[ProductNumber],"UNMAPPED_PRODUCT")</f>
        <v>BK-R89R-58</v>
      </c>
      <c r="E720" t="str">
        <f>_xlfn.XLOOKUP(tbl_model[[#This Row],[LocationID]],tbl_location[LocationID],tbl_location[LocationName],"UNMAPPED_LOCATION")</f>
        <v>Final Assembly</v>
      </c>
      <c r="F720">
        <v>123</v>
      </c>
      <c r="G720" s="1" t="str">
        <f>tbl_model[[#This Row],[ProductID]] &amp; "-" &amp; tbl_model[[#This Row],[LocationID]]</f>
        <v>792-60</v>
      </c>
    </row>
    <row r="721" spans="1:7">
      <c r="A721">
        <v>793</v>
      </c>
      <c r="B721">
        <v>7</v>
      </c>
      <c r="C721" t="str">
        <f>_xlfn.XLOOKUP(tbl_model[[#This Row],[ProductID]],tbl_product[ProductID],tbl_product[ProductName],"UNMAPPED_PRODUCT")</f>
        <v>Road-250 Black, 44</v>
      </c>
      <c r="D721" t="str">
        <f>_xlfn.XLOOKUP(tbl_model[[#This Row],[ProductID]],tbl_product[ProductID],tbl_product[ProductNumber],"UNMAPPED_PRODUCT")</f>
        <v>BK-R89B-44</v>
      </c>
      <c r="E721" t="str">
        <f>_xlfn.XLOOKUP(tbl_model[[#This Row],[LocationID]],tbl_location[LocationID],tbl_location[LocationName],"UNMAPPED_LOCATION")</f>
        <v>Finished Goods Storage</v>
      </c>
      <c r="F721">
        <v>56</v>
      </c>
      <c r="G721" s="1" t="str">
        <f>tbl_model[[#This Row],[ProductID]] &amp; "-" &amp; tbl_model[[#This Row],[LocationID]]</f>
        <v>793-7</v>
      </c>
    </row>
    <row r="722" spans="1:7">
      <c r="A722">
        <v>793</v>
      </c>
      <c r="B722">
        <v>60</v>
      </c>
      <c r="C722" t="str">
        <f>_xlfn.XLOOKUP(tbl_model[[#This Row],[ProductID]],tbl_product[ProductID],tbl_product[ProductName],"UNMAPPED_PRODUCT")</f>
        <v>Road-250 Black, 44</v>
      </c>
      <c r="D722" t="str">
        <f>_xlfn.XLOOKUP(tbl_model[[#This Row],[ProductID]],tbl_product[ProductID],tbl_product[ProductNumber],"UNMAPPED_PRODUCT")</f>
        <v>BK-R89B-44</v>
      </c>
      <c r="E722" t="str">
        <f>_xlfn.XLOOKUP(tbl_model[[#This Row],[LocationID]],tbl_location[LocationID],tbl_location[LocationName],"UNMAPPED_LOCATION")</f>
        <v>Final Assembly</v>
      </c>
      <c r="F722">
        <v>78</v>
      </c>
      <c r="G722" s="1" t="str">
        <f>tbl_model[[#This Row],[ProductID]] &amp; "-" &amp; tbl_model[[#This Row],[LocationID]]</f>
        <v>793-60</v>
      </c>
    </row>
    <row r="723" spans="1:7">
      <c r="A723">
        <v>794</v>
      </c>
      <c r="B723">
        <v>7</v>
      </c>
      <c r="C723" t="str">
        <f>_xlfn.XLOOKUP(tbl_model[[#This Row],[ProductID]],tbl_product[ProductID],tbl_product[ProductName],"UNMAPPED_PRODUCT")</f>
        <v>Road-250 Black, 48</v>
      </c>
      <c r="D723" t="str">
        <f>_xlfn.XLOOKUP(tbl_model[[#This Row],[ProductID]],tbl_product[ProductID],tbl_product[ProductNumber],"UNMAPPED_PRODUCT")</f>
        <v>BK-R89B-48</v>
      </c>
      <c r="E723" t="str">
        <f>_xlfn.XLOOKUP(tbl_model[[#This Row],[LocationID]],tbl_location[LocationID],tbl_location[LocationName],"UNMAPPED_LOCATION")</f>
        <v>Finished Goods Storage</v>
      </c>
      <c r="F723">
        <v>116</v>
      </c>
      <c r="G723" s="1" t="str">
        <f>tbl_model[[#This Row],[ProductID]] &amp; "-" &amp; tbl_model[[#This Row],[LocationID]]</f>
        <v>794-7</v>
      </c>
    </row>
    <row r="724" spans="1:7">
      <c r="A724">
        <v>794</v>
      </c>
      <c r="B724">
        <v>60</v>
      </c>
      <c r="C724" t="str">
        <f>_xlfn.XLOOKUP(tbl_model[[#This Row],[ProductID]],tbl_product[ProductID],tbl_product[ProductName],"UNMAPPED_PRODUCT")</f>
        <v>Road-250 Black, 48</v>
      </c>
      <c r="D724" t="str">
        <f>_xlfn.XLOOKUP(tbl_model[[#This Row],[ProductID]],tbl_product[ProductID],tbl_product[ProductNumber],"UNMAPPED_PRODUCT")</f>
        <v>BK-R89B-48</v>
      </c>
      <c r="E724" t="str">
        <f>_xlfn.XLOOKUP(tbl_model[[#This Row],[LocationID]],tbl_location[LocationID],tbl_location[LocationName],"UNMAPPED_LOCATION")</f>
        <v>Final Assembly</v>
      </c>
      <c r="F724">
        <v>49</v>
      </c>
      <c r="G724" s="1" t="str">
        <f>tbl_model[[#This Row],[ProductID]] &amp; "-" &amp; tbl_model[[#This Row],[LocationID]]</f>
        <v>794-60</v>
      </c>
    </row>
    <row r="725" spans="1:7">
      <c r="A725">
        <v>795</v>
      </c>
      <c r="B725">
        <v>7</v>
      </c>
      <c r="C725" t="str">
        <f>_xlfn.XLOOKUP(tbl_model[[#This Row],[ProductID]],tbl_product[ProductID],tbl_product[ProductName],"UNMAPPED_PRODUCT")</f>
        <v>Road-250 Black, 52</v>
      </c>
      <c r="D725" t="str">
        <f>_xlfn.XLOOKUP(tbl_model[[#This Row],[ProductID]],tbl_product[ProductID],tbl_product[ProductNumber],"UNMAPPED_PRODUCT")</f>
        <v>BK-R89B-52</v>
      </c>
      <c r="E725" t="str">
        <f>_xlfn.XLOOKUP(tbl_model[[#This Row],[LocationID]],tbl_location[LocationID],tbl_location[LocationName],"UNMAPPED_LOCATION")</f>
        <v>Finished Goods Storage</v>
      </c>
      <c r="F725">
        <v>100</v>
      </c>
      <c r="G725" s="1" t="str">
        <f>tbl_model[[#This Row],[ProductID]] &amp; "-" &amp; tbl_model[[#This Row],[LocationID]]</f>
        <v>795-7</v>
      </c>
    </row>
    <row r="726" spans="1:7">
      <c r="A726">
        <v>795</v>
      </c>
      <c r="B726">
        <v>60</v>
      </c>
      <c r="C726" t="str">
        <f>_xlfn.XLOOKUP(tbl_model[[#This Row],[ProductID]],tbl_product[ProductID],tbl_product[ProductName],"UNMAPPED_PRODUCT")</f>
        <v>Road-250 Black, 52</v>
      </c>
      <c r="D726" t="str">
        <f>_xlfn.XLOOKUP(tbl_model[[#This Row],[ProductID]],tbl_product[ProductID],tbl_product[ProductNumber],"UNMAPPED_PRODUCT")</f>
        <v>BK-R89B-52</v>
      </c>
      <c r="E726" t="str">
        <f>_xlfn.XLOOKUP(tbl_model[[#This Row],[LocationID]],tbl_location[LocationID],tbl_location[LocationName],"UNMAPPED_LOCATION")</f>
        <v>Final Assembly</v>
      </c>
      <c r="F726">
        <v>88</v>
      </c>
      <c r="G726" s="1" t="str">
        <f>tbl_model[[#This Row],[ProductID]] &amp; "-" &amp; tbl_model[[#This Row],[LocationID]]</f>
        <v>795-60</v>
      </c>
    </row>
    <row r="727" spans="1:7">
      <c r="A727">
        <v>796</v>
      </c>
      <c r="B727">
        <v>7</v>
      </c>
      <c r="C727" t="str">
        <f>_xlfn.XLOOKUP(tbl_model[[#This Row],[ProductID]],tbl_product[ProductID],tbl_product[ProductName],"UNMAPPED_PRODUCT")</f>
        <v>Road-250 Black, 58</v>
      </c>
      <c r="D727" t="str">
        <f>_xlfn.XLOOKUP(tbl_model[[#This Row],[ProductID]],tbl_product[ProductID],tbl_product[ProductNumber],"UNMAPPED_PRODUCT")</f>
        <v>BK-R89B-58</v>
      </c>
      <c r="E727" t="str">
        <f>_xlfn.XLOOKUP(tbl_model[[#This Row],[LocationID]],tbl_location[LocationID],tbl_location[LocationName],"UNMAPPED_LOCATION")</f>
        <v>Finished Goods Storage</v>
      </c>
      <c r="F727">
        <v>65</v>
      </c>
      <c r="G727" s="1" t="str">
        <f>tbl_model[[#This Row],[ProductID]] &amp; "-" &amp; tbl_model[[#This Row],[LocationID]]</f>
        <v>796-7</v>
      </c>
    </row>
    <row r="728" spans="1:7">
      <c r="A728">
        <v>796</v>
      </c>
      <c r="B728">
        <v>60</v>
      </c>
      <c r="C728" t="str">
        <f>_xlfn.XLOOKUP(tbl_model[[#This Row],[ProductID]],tbl_product[ProductID],tbl_product[ProductName],"UNMAPPED_PRODUCT")</f>
        <v>Road-250 Black, 58</v>
      </c>
      <c r="D728" t="str">
        <f>_xlfn.XLOOKUP(tbl_model[[#This Row],[ProductID]],tbl_product[ProductID],tbl_product[ProductNumber],"UNMAPPED_PRODUCT")</f>
        <v>BK-R89B-58</v>
      </c>
      <c r="E728" t="str">
        <f>_xlfn.XLOOKUP(tbl_model[[#This Row],[LocationID]],tbl_location[LocationID],tbl_location[LocationName],"UNMAPPED_LOCATION")</f>
        <v>Final Assembly</v>
      </c>
      <c r="F728">
        <v>83</v>
      </c>
      <c r="G728" s="1" t="str">
        <f>tbl_model[[#This Row],[ProductID]] &amp; "-" &amp; tbl_model[[#This Row],[LocationID]]</f>
        <v>796-60</v>
      </c>
    </row>
    <row r="729" spans="1:7">
      <c r="A729">
        <v>797</v>
      </c>
      <c r="B729">
        <v>7</v>
      </c>
      <c r="C729" t="str">
        <f>_xlfn.XLOOKUP(tbl_model[[#This Row],[ProductID]],tbl_product[ProductID],tbl_product[ProductName],"UNMAPPED_PRODUCT")</f>
        <v>Road-550-W Yellow, 38</v>
      </c>
      <c r="D729" t="str">
        <f>_xlfn.XLOOKUP(tbl_model[[#This Row],[ProductID]],tbl_product[ProductID],tbl_product[ProductNumber],"UNMAPPED_PRODUCT")</f>
        <v>BK-R64Y-38</v>
      </c>
      <c r="E729" t="str">
        <f>_xlfn.XLOOKUP(tbl_model[[#This Row],[LocationID]],tbl_location[LocationID],tbl_location[LocationName],"UNMAPPED_LOCATION")</f>
        <v>Finished Goods Storage</v>
      </c>
      <c r="F729">
        <v>67</v>
      </c>
      <c r="G729" s="1" t="str">
        <f>tbl_model[[#This Row],[ProductID]] &amp; "-" &amp; tbl_model[[#This Row],[LocationID]]</f>
        <v>797-7</v>
      </c>
    </row>
    <row r="730" spans="1:7">
      <c r="A730">
        <v>797</v>
      </c>
      <c r="B730">
        <v>60</v>
      </c>
      <c r="C730" t="str">
        <f>_xlfn.XLOOKUP(tbl_model[[#This Row],[ProductID]],tbl_product[ProductID],tbl_product[ProductName],"UNMAPPED_PRODUCT")</f>
        <v>Road-550-W Yellow, 38</v>
      </c>
      <c r="D730" t="str">
        <f>_xlfn.XLOOKUP(tbl_model[[#This Row],[ProductID]],tbl_product[ProductID],tbl_product[ProductNumber],"UNMAPPED_PRODUCT")</f>
        <v>BK-R64Y-38</v>
      </c>
      <c r="E730" t="str">
        <f>_xlfn.XLOOKUP(tbl_model[[#This Row],[LocationID]],tbl_location[LocationID],tbl_location[LocationName],"UNMAPPED_LOCATION")</f>
        <v>Final Assembly</v>
      </c>
      <c r="F730">
        <v>81</v>
      </c>
      <c r="G730" s="1" t="str">
        <f>tbl_model[[#This Row],[ProductID]] &amp; "-" &amp; tbl_model[[#This Row],[LocationID]]</f>
        <v>797-60</v>
      </c>
    </row>
    <row r="731" spans="1:7">
      <c r="A731">
        <v>798</v>
      </c>
      <c r="B731">
        <v>7</v>
      </c>
      <c r="C731" t="str">
        <f>_xlfn.XLOOKUP(tbl_model[[#This Row],[ProductID]],tbl_product[ProductID],tbl_product[ProductName],"UNMAPPED_PRODUCT")</f>
        <v>Road-550-W Yellow, 40</v>
      </c>
      <c r="D731" t="str">
        <f>_xlfn.XLOOKUP(tbl_model[[#This Row],[ProductID]],tbl_product[ProductID],tbl_product[ProductNumber],"UNMAPPED_PRODUCT")</f>
        <v>BK-R64Y-40</v>
      </c>
      <c r="E731" t="str">
        <f>_xlfn.XLOOKUP(tbl_model[[#This Row],[LocationID]],tbl_location[LocationID],tbl_location[LocationName],"UNMAPPED_LOCATION")</f>
        <v>Finished Goods Storage</v>
      </c>
      <c r="F731">
        <v>73</v>
      </c>
      <c r="G731" s="1" t="str">
        <f>tbl_model[[#This Row],[ProductID]] &amp; "-" &amp; tbl_model[[#This Row],[LocationID]]</f>
        <v>798-7</v>
      </c>
    </row>
    <row r="732" spans="1:7">
      <c r="A732">
        <v>798</v>
      </c>
      <c r="B732">
        <v>60</v>
      </c>
      <c r="C732" t="str">
        <f>_xlfn.XLOOKUP(tbl_model[[#This Row],[ProductID]],tbl_product[ProductID],tbl_product[ProductName],"UNMAPPED_PRODUCT")</f>
        <v>Road-550-W Yellow, 40</v>
      </c>
      <c r="D732" t="str">
        <f>_xlfn.XLOOKUP(tbl_model[[#This Row],[ProductID]],tbl_product[ProductID],tbl_product[ProductNumber],"UNMAPPED_PRODUCT")</f>
        <v>BK-R64Y-40</v>
      </c>
      <c r="E732" t="str">
        <f>_xlfn.XLOOKUP(tbl_model[[#This Row],[LocationID]],tbl_location[LocationID],tbl_location[LocationName],"UNMAPPED_LOCATION")</f>
        <v>Final Assembly</v>
      </c>
      <c r="F732">
        <v>60</v>
      </c>
      <c r="G732" s="1" t="str">
        <f>tbl_model[[#This Row],[ProductID]] &amp; "-" &amp; tbl_model[[#This Row],[LocationID]]</f>
        <v>798-60</v>
      </c>
    </row>
    <row r="733" spans="1:7">
      <c r="A733">
        <v>799</v>
      </c>
      <c r="B733">
        <v>7</v>
      </c>
      <c r="C733" t="str">
        <f>_xlfn.XLOOKUP(tbl_model[[#This Row],[ProductID]],tbl_product[ProductID],tbl_product[ProductName],"UNMAPPED_PRODUCT")</f>
        <v>Road-550-W Yellow, 42</v>
      </c>
      <c r="D733" t="str">
        <f>_xlfn.XLOOKUP(tbl_model[[#This Row],[ProductID]],tbl_product[ProductID],tbl_product[ProductNumber],"UNMAPPED_PRODUCT")</f>
        <v>BK-R64Y-42</v>
      </c>
      <c r="E733" t="str">
        <f>_xlfn.XLOOKUP(tbl_model[[#This Row],[LocationID]],tbl_location[LocationID],tbl_location[LocationName],"UNMAPPED_LOCATION")</f>
        <v>Finished Goods Storage</v>
      </c>
      <c r="F733">
        <v>104</v>
      </c>
      <c r="G733" s="1" t="str">
        <f>tbl_model[[#This Row],[ProductID]] &amp; "-" &amp; tbl_model[[#This Row],[LocationID]]</f>
        <v>799-7</v>
      </c>
    </row>
    <row r="734" spans="1:7">
      <c r="A734">
        <v>799</v>
      </c>
      <c r="B734">
        <v>60</v>
      </c>
      <c r="C734" t="str">
        <f>_xlfn.XLOOKUP(tbl_model[[#This Row],[ProductID]],tbl_product[ProductID],tbl_product[ProductName],"UNMAPPED_PRODUCT")</f>
        <v>Road-550-W Yellow, 42</v>
      </c>
      <c r="D734" t="str">
        <f>_xlfn.XLOOKUP(tbl_model[[#This Row],[ProductID]],tbl_product[ProductID],tbl_product[ProductNumber],"UNMAPPED_PRODUCT")</f>
        <v>BK-R64Y-42</v>
      </c>
      <c r="E734" t="str">
        <f>_xlfn.XLOOKUP(tbl_model[[#This Row],[LocationID]],tbl_location[LocationID],tbl_location[LocationName],"UNMAPPED_LOCATION")</f>
        <v>Final Assembly</v>
      </c>
      <c r="F734">
        <v>123</v>
      </c>
      <c r="G734" s="1" t="str">
        <f>tbl_model[[#This Row],[ProductID]] &amp; "-" &amp; tbl_model[[#This Row],[LocationID]]</f>
        <v>799-60</v>
      </c>
    </row>
    <row r="735" spans="1:7">
      <c r="A735">
        <v>800</v>
      </c>
      <c r="B735">
        <v>7</v>
      </c>
      <c r="C735" t="str">
        <f>_xlfn.XLOOKUP(tbl_model[[#This Row],[ProductID]],tbl_product[ProductID],tbl_product[ProductName],"UNMAPPED_PRODUCT")</f>
        <v>Road-550-W Yellow, 44</v>
      </c>
      <c r="D735" t="str">
        <f>_xlfn.XLOOKUP(tbl_model[[#This Row],[ProductID]],tbl_product[ProductID],tbl_product[ProductNumber],"UNMAPPED_PRODUCT")</f>
        <v>BK-R64Y-44</v>
      </c>
      <c r="E735" t="str">
        <f>_xlfn.XLOOKUP(tbl_model[[#This Row],[LocationID]],tbl_location[LocationID],tbl_location[LocationName],"UNMAPPED_LOCATION")</f>
        <v>Finished Goods Storage</v>
      </c>
      <c r="F735">
        <v>30</v>
      </c>
      <c r="G735" s="1" t="str">
        <f>tbl_model[[#This Row],[ProductID]] &amp; "-" &amp; tbl_model[[#This Row],[LocationID]]</f>
        <v>800-7</v>
      </c>
    </row>
    <row r="736" spans="1:7">
      <c r="A736">
        <v>800</v>
      </c>
      <c r="B736">
        <v>60</v>
      </c>
      <c r="C736" t="str">
        <f>_xlfn.XLOOKUP(tbl_model[[#This Row],[ProductID]],tbl_product[ProductID],tbl_product[ProductName],"UNMAPPED_PRODUCT")</f>
        <v>Road-550-W Yellow, 44</v>
      </c>
      <c r="D736" t="str">
        <f>_xlfn.XLOOKUP(tbl_model[[#This Row],[ProductID]],tbl_product[ProductID],tbl_product[ProductNumber],"UNMAPPED_PRODUCT")</f>
        <v>BK-R64Y-44</v>
      </c>
      <c r="E736" t="str">
        <f>_xlfn.XLOOKUP(tbl_model[[#This Row],[LocationID]],tbl_location[LocationID],tbl_location[LocationName],"UNMAPPED_LOCATION")</f>
        <v>Final Assembly</v>
      </c>
      <c r="F736">
        <v>99</v>
      </c>
      <c r="G736" s="1" t="str">
        <f>tbl_model[[#This Row],[ProductID]] &amp; "-" &amp; tbl_model[[#This Row],[LocationID]]</f>
        <v>800-60</v>
      </c>
    </row>
    <row r="737" spans="1:7">
      <c r="A737">
        <v>801</v>
      </c>
      <c r="B737">
        <v>7</v>
      </c>
      <c r="C737" t="str">
        <f>_xlfn.XLOOKUP(tbl_model[[#This Row],[ProductID]],tbl_product[ProductID],tbl_product[ProductName],"UNMAPPED_PRODUCT")</f>
        <v>Road-550-W Yellow, 48</v>
      </c>
      <c r="D737" t="str">
        <f>_xlfn.XLOOKUP(tbl_model[[#This Row],[ProductID]],tbl_product[ProductID],tbl_product[ProductNumber],"UNMAPPED_PRODUCT")</f>
        <v>BK-R64Y-48</v>
      </c>
      <c r="E737" t="str">
        <f>_xlfn.XLOOKUP(tbl_model[[#This Row],[LocationID]],tbl_location[LocationID],tbl_location[LocationName],"UNMAPPED_LOCATION")</f>
        <v>Finished Goods Storage</v>
      </c>
      <c r="F737">
        <v>56</v>
      </c>
      <c r="G737" s="1" t="str">
        <f>tbl_model[[#This Row],[ProductID]] &amp; "-" &amp; tbl_model[[#This Row],[LocationID]]</f>
        <v>801-7</v>
      </c>
    </row>
    <row r="738" spans="1:7">
      <c r="A738">
        <v>801</v>
      </c>
      <c r="B738">
        <v>60</v>
      </c>
      <c r="C738" t="str">
        <f>_xlfn.XLOOKUP(tbl_model[[#This Row],[ProductID]],tbl_product[ProductID],tbl_product[ProductName],"UNMAPPED_PRODUCT")</f>
        <v>Road-550-W Yellow, 48</v>
      </c>
      <c r="D738" t="str">
        <f>_xlfn.XLOOKUP(tbl_model[[#This Row],[ProductID]],tbl_product[ProductID],tbl_product[ProductNumber],"UNMAPPED_PRODUCT")</f>
        <v>BK-R64Y-48</v>
      </c>
      <c r="E738" t="str">
        <f>_xlfn.XLOOKUP(tbl_model[[#This Row],[LocationID]],tbl_location[LocationID],tbl_location[LocationName],"UNMAPPED_LOCATION")</f>
        <v>Final Assembly</v>
      </c>
      <c r="F738">
        <v>78</v>
      </c>
      <c r="G738" s="1" t="str">
        <f>tbl_model[[#This Row],[ProductID]] &amp; "-" &amp; tbl_model[[#This Row],[LocationID]]</f>
        <v>801-60</v>
      </c>
    </row>
    <row r="739" spans="1:7">
      <c r="A739">
        <v>802</v>
      </c>
      <c r="B739">
        <v>5</v>
      </c>
      <c r="C739" t="str">
        <f>_xlfn.XLOOKUP(tbl_model[[#This Row],[ProductID]],tbl_product[ProductID],tbl_product[ProductName],"UNMAPPED_PRODUCT")</f>
        <v>LL Fork</v>
      </c>
      <c r="D739" t="str">
        <f>_xlfn.XLOOKUP(tbl_model[[#This Row],[ProductID]],tbl_product[ProductID],tbl_product[ProductNumber],"UNMAPPED_PRODUCT")</f>
        <v>FK-1639</v>
      </c>
      <c r="E739" t="str">
        <f>_xlfn.XLOOKUP(tbl_model[[#This Row],[LocationID]],tbl_location[LocationID],tbl_location[LocationName],"UNMAPPED_LOCATION")</f>
        <v>Metal Storage</v>
      </c>
      <c r="F739">
        <v>350</v>
      </c>
      <c r="G739" s="1" t="str">
        <f>tbl_model[[#This Row],[ProductID]] &amp; "-" &amp; tbl_model[[#This Row],[LocationID]]</f>
        <v>802-5</v>
      </c>
    </row>
    <row r="740" spans="1:7">
      <c r="A740">
        <v>802</v>
      </c>
      <c r="B740">
        <v>10</v>
      </c>
      <c r="C740" t="str">
        <f>_xlfn.XLOOKUP(tbl_model[[#This Row],[ProductID]],tbl_product[ProductID],tbl_product[ProductName],"UNMAPPED_PRODUCT")</f>
        <v>LL Fork</v>
      </c>
      <c r="D740" t="str">
        <f>_xlfn.XLOOKUP(tbl_model[[#This Row],[ProductID]],tbl_product[ProductID],tbl_product[ProductNumber],"UNMAPPED_PRODUCT")</f>
        <v>FK-1639</v>
      </c>
      <c r="E740" t="str">
        <f>_xlfn.XLOOKUP(tbl_model[[#This Row],[LocationID]],tbl_location[LocationID],tbl_location[LocationName],"UNMAPPED_LOCATION")</f>
        <v>Frame Forming</v>
      </c>
      <c r="F740">
        <v>240</v>
      </c>
      <c r="G740" s="1" t="str">
        <f>tbl_model[[#This Row],[ProductID]] &amp; "-" &amp; tbl_model[[#This Row],[LocationID]]</f>
        <v>802-10</v>
      </c>
    </row>
    <row r="741" spans="1:7">
      <c r="A741">
        <v>802</v>
      </c>
      <c r="B741">
        <v>50</v>
      </c>
      <c r="C741" t="str">
        <f>_xlfn.XLOOKUP(tbl_model[[#This Row],[ProductID]],tbl_product[ProductID],tbl_product[ProductName],"UNMAPPED_PRODUCT")</f>
        <v>LL Fork</v>
      </c>
      <c r="D741" t="str">
        <f>_xlfn.XLOOKUP(tbl_model[[#This Row],[ProductID]],tbl_product[ProductID],tbl_product[ProductNumber],"UNMAPPED_PRODUCT")</f>
        <v>FK-1639</v>
      </c>
      <c r="E741" t="str">
        <f>_xlfn.XLOOKUP(tbl_model[[#This Row],[LocationID]],tbl_location[LocationID],tbl_location[LocationName],"UNMAPPED_LOCATION")</f>
        <v>Subassembly</v>
      </c>
      <c r="F741">
        <v>273</v>
      </c>
      <c r="G741" s="1" t="str">
        <f>tbl_model[[#This Row],[ProductID]] &amp; "-" &amp; tbl_model[[#This Row],[LocationID]]</f>
        <v>802-50</v>
      </c>
    </row>
    <row r="742" spans="1:7">
      <c r="A742">
        <v>803</v>
      </c>
      <c r="B742">
        <v>5</v>
      </c>
      <c r="C742" t="str">
        <f>_xlfn.XLOOKUP(tbl_model[[#This Row],[ProductID]],tbl_product[ProductID],tbl_product[ProductName],"UNMAPPED_PRODUCT")</f>
        <v>ML Fork</v>
      </c>
      <c r="D742" t="str">
        <f>_xlfn.XLOOKUP(tbl_model[[#This Row],[ProductID]],tbl_product[ProductID],tbl_product[ProductNumber],"UNMAPPED_PRODUCT")</f>
        <v>FK-5136</v>
      </c>
      <c r="E742" t="str">
        <f>_xlfn.XLOOKUP(tbl_model[[#This Row],[LocationID]],tbl_location[LocationID],tbl_location[LocationName],"UNMAPPED_LOCATION")</f>
        <v>Metal Storage</v>
      </c>
      <c r="F742">
        <v>356</v>
      </c>
      <c r="G742" s="1" t="str">
        <f>tbl_model[[#This Row],[ProductID]] &amp; "-" &amp; tbl_model[[#This Row],[LocationID]]</f>
        <v>803-5</v>
      </c>
    </row>
    <row r="743" spans="1:7">
      <c r="A743">
        <v>803</v>
      </c>
      <c r="B743">
        <v>10</v>
      </c>
      <c r="C743" t="str">
        <f>_xlfn.XLOOKUP(tbl_model[[#This Row],[ProductID]],tbl_product[ProductID],tbl_product[ProductName],"UNMAPPED_PRODUCT")</f>
        <v>ML Fork</v>
      </c>
      <c r="D743" t="str">
        <f>_xlfn.XLOOKUP(tbl_model[[#This Row],[ProductID]],tbl_product[ProductID],tbl_product[ProductNumber],"UNMAPPED_PRODUCT")</f>
        <v>FK-5136</v>
      </c>
      <c r="E743" t="str">
        <f>_xlfn.XLOOKUP(tbl_model[[#This Row],[LocationID]],tbl_location[LocationID],tbl_location[LocationName],"UNMAPPED_LOCATION")</f>
        <v>Frame Forming</v>
      </c>
      <c r="F743">
        <v>246</v>
      </c>
      <c r="G743" s="1" t="str">
        <f>tbl_model[[#This Row],[ProductID]] &amp; "-" &amp; tbl_model[[#This Row],[LocationID]]</f>
        <v>803-10</v>
      </c>
    </row>
    <row r="744" spans="1:7">
      <c r="A744">
        <v>803</v>
      </c>
      <c r="B744">
        <v>50</v>
      </c>
      <c r="C744" t="str">
        <f>_xlfn.XLOOKUP(tbl_model[[#This Row],[ProductID]],tbl_product[ProductID],tbl_product[ProductName],"UNMAPPED_PRODUCT")</f>
        <v>ML Fork</v>
      </c>
      <c r="D744" t="str">
        <f>_xlfn.XLOOKUP(tbl_model[[#This Row],[ProductID]],tbl_product[ProductID],tbl_product[ProductNumber],"UNMAPPED_PRODUCT")</f>
        <v>FK-5136</v>
      </c>
      <c r="E744" t="str">
        <f>_xlfn.XLOOKUP(tbl_model[[#This Row],[LocationID]],tbl_location[LocationID],tbl_location[LocationName],"UNMAPPED_LOCATION")</f>
        <v>Subassembly</v>
      </c>
      <c r="F744">
        <v>280</v>
      </c>
      <c r="G744" s="1" t="str">
        <f>tbl_model[[#This Row],[ProductID]] &amp; "-" &amp; tbl_model[[#This Row],[LocationID]]</f>
        <v>803-50</v>
      </c>
    </row>
    <row r="745" spans="1:7">
      <c r="A745">
        <v>804</v>
      </c>
      <c r="B745">
        <v>5</v>
      </c>
      <c r="C745" t="str">
        <f>_xlfn.XLOOKUP(tbl_model[[#This Row],[ProductID]],tbl_product[ProductID],tbl_product[ProductName],"UNMAPPED_PRODUCT")</f>
        <v>HL Fork</v>
      </c>
      <c r="D745" t="str">
        <f>_xlfn.XLOOKUP(tbl_model[[#This Row],[ProductID]],tbl_product[ProductID],tbl_product[ProductNumber],"UNMAPPED_PRODUCT")</f>
        <v>FK-9939</v>
      </c>
      <c r="E745" t="str">
        <f>_xlfn.XLOOKUP(tbl_model[[#This Row],[LocationID]],tbl_location[LocationID],tbl_location[LocationName],"UNMAPPED_LOCATION")</f>
        <v>Metal Storage</v>
      </c>
      <c r="F745">
        <v>363</v>
      </c>
      <c r="G745" s="1" t="str">
        <f>tbl_model[[#This Row],[ProductID]] &amp; "-" &amp; tbl_model[[#This Row],[LocationID]]</f>
        <v>804-5</v>
      </c>
    </row>
    <row r="746" spans="1:7">
      <c r="A746">
        <v>804</v>
      </c>
      <c r="B746">
        <v>10</v>
      </c>
      <c r="C746" t="str">
        <f>_xlfn.XLOOKUP(tbl_model[[#This Row],[ProductID]],tbl_product[ProductID],tbl_product[ProductName],"UNMAPPED_PRODUCT")</f>
        <v>HL Fork</v>
      </c>
      <c r="D746" t="str">
        <f>_xlfn.XLOOKUP(tbl_model[[#This Row],[ProductID]],tbl_product[ProductID],tbl_product[ProductNumber],"UNMAPPED_PRODUCT")</f>
        <v>FK-9939</v>
      </c>
      <c r="E746" t="str">
        <f>_xlfn.XLOOKUP(tbl_model[[#This Row],[LocationID]],tbl_location[LocationID],tbl_location[LocationName],"UNMAPPED_LOCATION")</f>
        <v>Frame Forming</v>
      </c>
      <c r="F746">
        <v>252</v>
      </c>
      <c r="G746" s="1" t="str">
        <f>tbl_model[[#This Row],[ProductID]] &amp; "-" &amp; tbl_model[[#This Row],[LocationID]]</f>
        <v>804-10</v>
      </c>
    </row>
    <row r="747" spans="1:7">
      <c r="A747">
        <v>804</v>
      </c>
      <c r="B747">
        <v>50</v>
      </c>
      <c r="C747" t="str">
        <f>_xlfn.XLOOKUP(tbl_model[[#This Row],[ProductID]],tbl_product[ProductID],tbl_product[ProductName],"UNMAPPED_PRODUCT")</f>
        <v>HL Fork</v>
      </c>
      <c r="D747" t="str">
        <f>_xlfn.XLOOKUP(tbl_model[[#This Row],[ProductID]],tbl_product[ProductID],tbl_product[ProductNumber],"UNMAPPED_PRODUCT")</f>
        <v>FK-9939</v>
      </c>
      <c r="E747" t="str">
        <f>_xlfn.XLOOKUP(tbl_model[[#This Row],[LocationID]],tbl_location[LocationID],tbl_location[LocationName],"UNMAPPED_LOCATION")</f>
        <v>Subassembly</v>
      </c>
      <c r="F747">
        <v>286</v>
      </c>
      <c r="G747" s="1" t="str">
        <f>tbl_model[[#This Row],[ProductID]] &amp; "-" &amp; tbl_model[[#This Row],[LocationID]]</f>
        <v>804-50</v>
      </c>
    </row>
    <row r="748" spans="1:7">
      <c r="A748">
        <v>805</v>
      </c>
      <c r="B748">
        <v>1</v>
      </c>
      <c r="C748" t="str">
        <f>_xlfn.XLOOKUP(tbl_model[[#This Row],[ProductID]],tbl_product[ProductID],tbl_product[ProductName],"UNMAPPED_PRODUCT")</f>
        <v>LL Headset</v>
      </c>
      <c r="D748" t="str">
        <f>_xlfn.XLOOKUP(tbl_model[[#This Row],[ProductID]],tbl_product[ProductID],tbl_product[ProductNumber],"UNMAPPED_PRODUCT")</f>
        <v>HS-0296</v>
      </c>
      <c r="E748" t="str">
        <f>_xlfn.XLOOKUP(tbl_model[[#This Row],[LocationID]],tbl_location[LocationID],tbl_location[LocationName],"UNMAPPED_LOCATION")</f>
        <v>Tool Crib</v>
      </c>
      <c r="F748">
        <v>284</v>
      </c>
      <c r="G748" s="1" t="str">
        <f>tbl_model[[#This Row],[ProductID]] &amp; "-" &amp; tbl_model[[#This Row],[LocationID]]</f>
        <v>805-1</v>
      </c>
    </row>
    <row r="749" spans="1:7">
      <c r="A749">
        <v>805</v>
      </c>
      <c r="B749">
        <v>6</v>
      </c>
      <c r="C749" t="str">
        <f>_xlfn.XLOOKUP(tbl_model[[#This Row],[ProductID]],tbl_product[ProductID],tbl_product[ProductName],"UNMAPPED_PRODUCT")</f>
        <v>LL Headset</v>
      </c>
      <c r="D749" t="str">
        <f>_xlfn.XLOOKUP(tbl_model[[#This Row],[ProductID]],tbl_product[ProductID],tbl_product[ProductNumber],"UNMAPPED_PRODUCT")</f>
        <v>HS-0296</v>
      </c>
      <c r="E749" t="str">
        <f>_xlfn.XLOOKUP(tbl_model[[#This Row],[LocationID]],tbl_location[LocationID],tbl_location[LocationName],"UNMAPPED_LOCATION")</f>
        <v>Miscellaneous Storage</v>
      </c>
      <c r="F749">
        <v>265</v>
      </c>
      <c r="G749" s="1" t="str">
        <f>tbl_model[[#This Row],[ProductID]] &amp; "-" &amp; tbl_model[[#This Row],[LocationID]]</f>
        <v>805-6</v>
      </c>
    </row>
    <row r="750" spans="1:7">
      <c r="A750">
        <v>805</v>
      </c>
      <c r="B750">
        <v>50</v>
      </c>
      <c r="C750" t="str">
        <f>_xlfn.XLOOKUP(tbl_model[[#This Row],[ProductID]],tbl_product[ProductID],tbl_product[ProductName],"UNMAPPED_PRODUCT")</f>
        <v>LL Headset</v>
      </c>
      <c r="D750" t="str">
        <f>_xlfn.XLOOKUP(tbl_model[[#This Row],[ProductID]],tbl_product[ProductID],tbl_product[ProductNumber],"UNMAPPED_PRODUCT")</f>
        <v>HS-0296</v>
      </c>
      <c r="E750" t="str">
        <f>_xlfn.XLOOKUP(tbl_model[[#This Row],[LocationID]],tbl_location[LocationID],tbl_location[LocationName],"UNMAPPED_LOCATION")</f>
        <v>Subassembly</v>
      </c>
      <c r="F750">
        <v>212</v>
      </c>
      <c r="G750" s="1" t="str">
        <f>tbl_model[[#This Row],[ProductID]] &amp; "-" &amp; tbl_model[[#This Row],[LocationID]]</f>
        <v>805-50</v>
      </c>
    </row>
    <row r="751" spans="1:7">
      <c r="A751">
        <v>806</v>
      </c>
      <c r="B751">
        <v>1</v>
      </c>
      <c r="C751" t="str">
        <f>_xlfn.XLOOKUP(tbl_model[[#This Row],[ProductID]],tbl_product[ProductID],tbl_product[ProductName],"UNMAPPED_PRODUCT")</f>
        <v>ML Headset</v>
      </c>
      <c r="D751" t="str">
        <f>_xlfn.XLOOKUP(tbl_model[[#This Row],[ProductID]],tbl_product[ProductID],tbl_product[ProductNumber],"UNMAPPED_PRODUCT")</f>
        <v>HS-2451</v>
      </c>
      <c r="E751" t="str">
        <f>_xlfn.XLOOKUP(tbl_model[[#This Row],[LocationID]],tbl_location[LocationID],tbl_location[LocationName],"UNMAPPED_LOCATION")</f>
        <v>Tool Crib</v>
      </c>
      <c r="F751">
        <v>288</v>
      </c>
      <c r="G751" s="1" t="str">
        <f>tbl_model[[#This Row],[ProductID]] &amp; "-" &amp; tbl_model[[#This Row],[LocationID]]</f>
        <v>806-1</v>
      </c>
    </row>
    <row r="752" spans="1:7">
      <c r="A752">
        <v>806</v>
      </c>
      <c r="B752">
        <v>6</v>
      </c>
      <c r="C752" t="str">
        <f>_xlfn.XLOOKUP(tbl_model[[#This Row],[ProductID]],tbl_product[ProductID],tbl_product[ProductName],"UNMAPPED_PRODUCT")</f>
        <v>ML Headset</v>
      </c>
      <c r="D752" t="str">
        <f>_xlfn.XLOOKUP(tbl_model[[#This Row],[ProductID]],tbl_product[ProductID],tbl_product[ProductNumber],"UNMAPPED_PRODUCT")</f>
        <v>HS-2451</v>
      </c>
      <c r="E752" t="str">
        <f>_xlfn.XLOOKUP(tbl_model[[#This Row],[LocationID]],tbl_location[LocationID],tbl_location[LocationName],"UNMAPPED_LOCATION")</f>
        <v>Miscellaneous Storage</v>
      </c>
      <c r="F752">
        <v>268</v>
      </c>
      <c r="G752" s="1" t="str">
        <f>tbl_model[[#This Row],[ProductID]] &amp; "-" &amp; tbl_model[[#This Row],[LocationID]]</f>
        <v>806-6</v>
      </c>
    </row>
    <row r="753" spans="1:7">
      <c r="A753">
        <v>806</v>
      </c>
      <c r="B753">
        <v>50</v>
      </c>
      <c r="C753" t="str">
        <f>_xlfn.XLOOKUP(tbl_model[[#This Row],[ProductID]],tbl_product[ProductID],tbl_product[ProductName],"UNMAPPED_PRODUCT")</f>
        <v>ML Headset</v>
      </c>
      <c r="D753" t="str">
        <f>_xlfn.XLOOKUP(tbl_model[[#This Row],[ProductID]],tbl_product[ProductID],tbl_product[ProductNumber],"UNMAPPED_PRODUCT")</f>
        <v>HS-2451</v>
      </c>
      <c r="E753" t="str">
        <f>_xlfn.XLOOKUP(tbl_model[[#This Row],[LocationID]],tbl_location[LocationID],tbl_location[LocationName],"UNMAPPED_LOCATION")</f>
        <v>Subassembly</v>
      </c>
      <c r="F753">
        <v>216</v>
      </c>
      <c r="G753" s="1" t="str">
        <f>tbl_model[[#This Row],[ProductID]] &amp; "-" &amp; tbl_model[[#This Row],[LocationID]]</f>
        <v>806-50</v>
      </c>
    </row>
    <row r="754" spans="1:7">
      <c r="A754">
        <v>807</v>
      </c>
      <c r="B754">
        <v>1</v>
      </c>
      <c r="C754" t="str">
        <f>_xlfn.XLOOKUP(tbl_model[[#This Row],[ProductID]],tbl_product[ProductID],tbl_product[ProductName],"UNMAPPED_PRODUCT")</f>
        <v>HL Headset</v>
      </c>
      <c r="D754" t="str">
        <f>_xlfn.XLOOKUP(tbl_model[[#This Row],[ProductID]],tbl_product[ProductID],tbl_product[ProductNumber],"UNMAPPED_PRODUCT")</f>
        <v>HS-3479</v>
      </c>
      <c r="E754" t="str">
        <f>_xlfn.XLOOKUP(tbl_model[[#This Row],[LocationID]],tbl_location[LocationID],tbl_location[LocationName],"UNMAPPED_LOCATION")</f>
        <v>Tool Crib</v>
      </c>
      <c r="F754">
        <v>291</v>
      </c>
      <c r="G754" s="1" t="str">
        <f>tbl_model[[#This Row],[ProductID]] &amp; "-" &amp; tbl_model[[#This Row],[LocationID]]</f>
        <v>807-1</v>
      </c>
    </row>
    <row r="755" spans="1:7">
      <c r="A755">
        <v>807</v>
      </c>
      <c r="B755">
        <v>6</v>
      </c>
      <c r="C755" t="str">
        <f>_xlfn.XLOOKUP(tbl_model[[#This Row],[ProductID]],tbl_product[ProductID],tbl_product[ProductName],"UNMAPPED_PRODUCT")</f>
        <v>HL Headset</v>
      </c>
      <c r="D755" t="str">
        <f>_xlfn.XLOOKUP(tbl_model[[#This Row],[ProductID]],tbl_product[ProductID],tbl_product[ProductNumber],"UNMAPPED_PRODUCT")</f>
        <v>HS-3479</v>
      </c>
      <c r="E755" t="str">
        <f>_xlfn.XLOOKUP(tbl_model[[#This Row],[LocationID]],tbl_location[LocationID],tbl_location[LocationName],"UNMAPPED_LOCATION")</f>
        <v>Miscellaneous Storage</v>
      </c>
      <c r="F755">
        <v>272</v>
      </c>
      <c r="G755" s="1" t="str">
        <f>tbl_model[[#This Row],[ProductID]] &amp; "-" &amp; tbl_model[[#This Row],[LocationID]]</f>
        <v>807-6</v>
      </c>
    </row>
    <row r="756" spans="1:7">
      <c r="A756">
        <v>807</v>
      </c>
      <c r="B756">
        <v>50</v>
      </c>
      <c r="C756" t="str">
        <f>_xlfn.XLOOKUP(tbl_model[[#This Row],[ProductID]],tbl_product[ProductID],tbl_product[ProductName],"UNMAPPED_PRODUCT")</f>
        <v>HL Headset</v>
      </c>
      <c r="D756" t="str">
        <f>_xlfn.XLOOKUP(tbl_model[[#This Row],[ProductID]],tbl_product[ProductID],tbl_product[ProductNumber],"UNMAPPED_PRODUCT")</f>
        <v>HS-3479</v>
      </c>
      <c r="E756" t="str">
        <f>_xlfn.XLOOKUP(tbl_model[[#This Row],[LocationID]],tbl_location[LocationID],tbl_location[LocationName],"UNMAPPED_LOCATION")</f>
        <v>Subassembly</v>
      </c>
      <c r="F756">
        <v>219</v>
      </c>
      <c r="G756" s="1" t="str">
        <f>tbl_model[[#This Row],[ProductID]] &amp; "-" &amp; tbl_model[[#This Row],[LocationID]]</f>
        <v>807-50</v>
      </c>
    </row>
    <row r="757" spans="1:7">
      <c r="A757">
        <v>808</v>
      </c>
      <c r="B757">
        <v>10</v>
      </c>
      <c r="C757" t="str">
        <f>_xlfn.XLOOKUP(tbl_model[[#This Row],[ProductID]],tbl_product[ProductID],tbl_product[ProductName],"UNMAPPED_PRODUCT")</f>
        <v>LL Mountain Handlebars</v>
      </c>
      <c r="D757" t="str">
        <f>_xlfn.XLOOKUP(tbl_model[[#This Row],[ProductID]],tbl_product[ProductID],tbl_product[ProductNumber],"UNMAPPED_PRODUCT")</f>
        <v>HB-M243</v>
      </c>
      <c r="E757" t="str">
        <f>_xlfn.XLOOKUP(tbl_model[[#This Row],[LocationID]],tbl_location[LocationID],tbl_location[LocationName],"UNMAPPED_LOCATION")</f>
        <v>Frame Forming</v>
      </c>
      <c r="F757">
        <v>267</v>
      </c>
      <c r="G757" s="1" t="str">
        <f>tbl_model[[#This Row],[ProductID]] &amp; "-" &amp; tbl_model[[#This Row],[LocationID]]</f>
        <v>808-10</v>
      </c>
    </row>
    <row r="758" spans="1:7">
      <c r="A758">
        <v>808</v>
      </c>
      <c r="B758">
        <v>20</v>
      </c>
      <c r="C758" t="str">
        <f>_xlfn.XLOOKUP(tbl_model[[#This Row],[ProductID]],tbl_product[ProductID],tbl_product[ProductName],"UNMAPPED_PRODUCT")</f>
        <v>LL Mountain Handlebars</v>
      </c>
      <c r="D758" t="str">
        <f>_xlfn.XLOOKUP(tbl_model[[#This Row],[ProductID]],tbl_product[ProductID],tbl_product[ProductNumber],"UNMAPPED_PRODUCT")</f>
        <v>HB-M243</v>
      </c>
      <c r="E758" t="str">
        <f>_xlfn.XLOOKUP(tbl_model[[#This Row],[LocationID]],tbl_location[LocationID],tbl_location[LocationName],"UNMAPPED_LOCATION")</f>
        <v>Frame Welding</v>
      </c>
      <c r="F758">
        <v>276</v>
      </c>
      <c r="G758" s="1" t="str">
        <f>tbl_model[[#This Row],[ProductID]] &amp; "-" &amp; tbl_model[[#This Row],[LocationID]]</f>
        <v>808-20</v>
      </c>
    </row>
    <row r="759" spans="1:7">
      <c r="A759">
        <v>808</v>
      </c>
      <c r="B759">
        <v>50</v>
      </c>
      <c r="C759" t="str">
        <f>_xlfn.XLOOKUP(tbl_model[[#This Row],[ProductID]],tbl_product[ProductID],tbl_product[ProductName],"UNMAPPED_PRODUCT")</f>
        <v>LL Mountain Handlebars</v>
      </c>
      <c r="D759" t="str">
        <f>_xlfn.XLOOKUP(tbl_model[[#This Row],[ProductID]],tbl_product[ProductID],tbl_product[ProductNumber],"UNMAPPED_PRODUCT")</f>
        <v>HB-M243</v>
      </c>
      <c r="E759" t="str">
        <f>_xlfn.XLOOKUP(tbl_model[[#This Row],[LocationID]],tbl_location[LocationID],tbl_location[LocationName],"UNMAPPED_LOCATION")</f>
        <v>Subassembly</v>
      </c>
      <c r="F759">
        <v>316</v>
      </c>
      <c r="G759" s="1" t="str">
        <f>tbl_model[[#This Row],[ProductID]] &amp; "-" &amp; tbl_model[[#This Row],[LocationID]]</f>
        <v>808-50</v>
      </c>
    </row>
    <row r="760" spans="1:7">
      <c r="A760">
        <v>809</v>
      </c>
      <c r="B760">
        <v>10</v>
      </c>
      <c r="C760" t="str">
        <f>_xlfn.XLOOKUP(tbl_model[[#This Row],[ProductID]],tbl_product[ProductID],tbl_product[ProductName],"UNMAPPED_PRODUCT")</f>
        <v>ML Mountain Handlebars</v>
      </c>
      <c r="D760" t="str">
        <f>_xlfn.XLOOKUP(tbl_model[[#This Row],[ProductID]],tbl_product[ProductID],tbl_product[ProductNumber],"UNMAPPED_PRODUCT")</f>
        <v>HB-M763</v>
      </c>
      <c r="E760" t="str">
        <f>_xlfn.XLOOKUP(tbl_model[[#This Row],[LocationID]],tbl_location[LocationID],tbl_location[LocationName],"UNMAPPED_LOCATION")</f>
        <v>Frame Forming</v>
      </c>
      <c r="F760">
        <v>264</v>
      </c>
      <c r="G760" s="1" t="str">
        <f>tbl_model[[#This Row],[ProductID]] &amp; "-" &amp; tbl_model[[#This Row],[LocationID]]</f>
        <v>809-10</v>
      </c>
    </row>
    <row r="761" spans="1:7">
      <c r="A761">
        <v>809</v>
      </c>
      <c r="B761">
        <v>20</v>
      </c>
      <c r="C761" t="str">
        <f>_xlfn.XLOOKUP(tbl_model[[#This Row],[ProductID]],tbl_product[ProductID],tbl_product[ProductName],"UNMAPPED_PRODUCT")</f>
        <v>ML Mountain Handlebars</v>
      </c>
      <c r="D761" t="str">
        <f>_xlfn.XLOOKUP(tbl_model[[#This Row],[ProductID]],tbl_product[ProductID],tbl_product[ProductNumber],"UNMAPPED_PRODUCT")</f>
        <v>HB-M763</v>
      </c>
      <c r="E761" t="str">
        <f>_xlfn.XLOOKUP(tbl_model[[#This Row],[LocationID]],tbl_location[LocationID],tbl_location[LocationName],"UNMAPPED_LOCATION")</f>
        <v>Frame Welding</v>
      </c>
      <c r="F761">
        <v>273</v>
      </c>
      <c r="G761" s="1" t="str">
        <f>tbl_model[[#This Row],[ProductID]] &amp; "-" &amp; tbl_model[[#This Row],[LocationID]]</f>
        <v>809-20</v>
      </c>
    </row>
    <row r="762" spans="1:7">
      <c r="A762">
        <v>809</v>
      </c>
      <c r="B762">
        <v>50</v>
      </c>
      <c r="C762" t="str">
        <f>_xlfn.XLOOKUP(tbl_model[[#This Row],[ProductID]],tbl_product[ProductID],tbl_product[ProductName],"UNMAPPED_PRODUCT")</f>
        <v>ML Mountain Handlebars</v>
      </c>
      <c r="D762" t="str">
        <f>_xlfn.XLOOKUP(tbl_model[[#This Row],[ProductID]],tbl_product[ProductID],tbl_product[ProductNumber],"UNMAPPED_PRODUCT")</f>
        <v>HB-M763</v>
      </c>
      <c r="E762" t="str">
        <f>_xlfn.XLOOKUP(tbl_model[[#This Row],[LocationID]],tbl_location[LocationID],tbl_location[LocationName],"UNMAPPED_LOCATION")</f>
        <v>Subassembly</v>
      </c>
      <c r="F762">
        <v>313</v>
      </c>
      <c r="G762" s="1" t="str">
        <f>tbl_model[[#This Row],[ProductID]] &amp; "-" &amp; tbl_model[[#This Row],[LocationID]]</f>
        <v>809-50</v>
      </c>
    </row>
    <row r="763" spans="1:7">
      <c r="A763">
        <v>810</v>
      </c>
      <c r="B763">
        <v>10</v>
      </c>
      <c r="C763" t="str">
        <f>_xlfn.XLOOKUP(tbl_model[[#This Row],[ProductID]],tbl_product[ProductID],tbl_product[ProductName],"UNMAPPED_PRODUCT")</f>
        <v>HL Mountain Handlebars</v>
      </c>
      <c r="D763" t="str">
        <f>_xlfn.XLOOKUP(tbl_model[[#This Row],[ProductID]],tbl_product[ProductID],tbl_product[ProductNumber],"UNMAPPED_PRODUCT")</f>
        <v>HB-M918</v>
      </c>
      <c r="E763" t="str">
        <f>_xlfn.XLOOKUP(tbl_model[[#This Row],[LocationID]],tbl_location[LocationID],tbl_location[LocationName],"UNMAPPED_LOCATION")</f>
        <v>Frame Forming</v>
      </c>
      <c r="F763">
        <v>260</v>
      </c>
      <c r="G763" s="1" t="str">
        <f>tbl_model[[#This Row],[ProductID]] &amp; "-" &amp; tbl_model[[#This Row],[LocationID]]</f>
        <v>810-10</v>
      </c>
    </row>
    <row r="764" spans="1:7">
      <c r="A764">
        <v>810</v>
      </c>
      <c r="B764">
        <v>20</v>
      </c>
      <c r="C764" t="str">
        <f>_xlfn.XLOOKUP(tbl_model[[#This Row],[ProductID]],tbl_product[ProductID],tbl_product[ProductName],"UNMAPPED_PRODUCT")</f>
        <v>HL Mountain Handlebars</v>
      </c>
      <c r="D764" t="str">
        <f>_xlfn.XLOOKUP(tbl_model[[#This Row],[ProductID]],tbl_product[ProductID],tbl_product[ProductNumber],"UNMAPPED_PRODUCT")</f>
        <v>HB-M918</v>
      </c>
      <c r="E764" t="str">
        <f>_xlfn.XLOOKUP(tbl_model[[#This Row],[LocationID]],tbl_location[LocationID],tbl_location[LocationName],"UNMAPPED_LOCATION")</f>
        <v>Frame Welding</v>
      </c>
      <c r="F764">
        <v>270</v>
      </c>
      <c r="G764" s="1" t="str">
        <f>tbl_model[[#This Row],[ProductID]] &amp; "-" &amp; tbl_model[[#This Row],[LocationID]]</f>
        <v>810-20</v>
      </c>
    </row>
    <row r="765" spans="1:7">
      <c r="A765">
        <v>810</v>
      </c>
      <c r="B765">
        <v>50</v>
      </c>
      <c r="C765" t="str">
        <f>_xlfn.XLOOKUP(tbl_model[[#This Row],[ProductID]],tbl_product[ProductID],tbl_product[ProductName],"UNMAPPED_PRODUCT")</f>
        <v>HL Mountain Handlebars</v>
      </c>
      <c r="D765" t="str">
        <f>_xlfn.XLOOKUP(tbl_model[[#This Row],[ProductID]],tbl_product[ProductID],tbl_product[ProductNumber],"UNMAPPED_PRODUCT")</f>
        <v>HB-M918</v>
      </c>
      <c r="E765" t="str">
        <f>_xlfn.XLOOKUP(tbl_model[[#This Row],[LocationID]],tbl_location[LocationID],tbl_location[LocationName],"UNMAPPED_LOCATION")</f>
        <v>Subassembly</v>
      </c>
      <c r="F765">
        <v>310</v>
      </c>
      <c r="G765" s="1" t="str">
        <f>tbl_model[[#This Row],[ProductID]] &amp; "-" &amp; tbl_model[[#This Row],[LocationID]]</f>
        <v>810-50</v>
      </c>
    </row>
    <row r="766" spans="1:7">
      <c r="A766">
        <v>811</v>
      </c>
      <c r="B766">
        <v>10</v>
      </c>
      <c r="C766" t="str">
        <f>_xlfn.XLOOKUP(tbl_model[[#This Row],[ProductID]],tbl_product[ProductID],tbl_product[ProductName],"UNMAPPED_PRODUCT")</f>
        <v>LL Road Handlebars</v>
      </c>
      <c r="D766" t="str">
        <f>_xlfn.XLOOKUP(tbl_model[[#This Row],[ProductID]],tbl_product[ProductID],tbl_product[ProductNumber],"UNMAPPED_PRODUCT")</f>
        <v>HB-R504</v>
      </c>
      <c r="E766" t="str">
        <f>_xlfn.XLOOKUP(tbl_model[[#This Row],[LocationID]],tbl_location[LocationID],tbl_location[LocationName],"UNMAPPED_LOCATION")</f>
        <v>Frame Forming</v>
      </c>
      <c r="F766">
        <v>257</v>
      </c>
      <c r="G766" s="1" t="str">
        <f>tbl_model[[#This Row],[ProductID]] &amp; "-" &amp; tbl_model[[#This Row],[LocationID]]</f>
        <v>811-10</v>
      </c>
    </row>
    <row r="767" spans="1:7">
      <c r="A767">
        <v>811</v>
      </c>
      <c r="B767">
        <v>20</v>
      </c>
      <c r="C767" t="str">
        <f>_xlfn.XLOOKUP(tbl_model[[#This Row],[ProductID]],tbl_product[ProductID],tbl_product[ProductName],"UNMAPPED_PRODUCT")</f>
        <v>LL Road Handlebars</v>
      </c>
      <c r="D767" t="str">
        <f>_xlfn.XLOOKUP(tbl_model[[#This Row],[ProductID]],tbl_product[ProductID],tbl_product[ProductNumber],"UNMAPPED_PRODUCT")</f>
        <v>HB-R504</v>
      </c>
      <c r="E767" t="str">
        <f>_xlfn.XLOOKUP(tbl_model[[#This Row],[LocationID]],tbl_location[LocationID],tbl_location[LocationName],"UNMAPPED_LOCATION")</f>
        <v>Frame Welding</v>
      </c>
      <c r="F767">
        <v>267</v>
      </c>
      <c r="G767" s="1" t="str">
        <f>tbl_model[[#This Row],[ProductID]] &amp; "-" &amp; tbl_model[[#This Row],[LocationID]]</f>
        <v>811-20</v>
      </c>
    </row>
    <row r="768" spans="1:7">
      <c r="A768">
        <v>811</v>
      </c>
      <c r="B768">
        <v>50</v>
      </c>
      <c r="C768" t="str">
        <f>_xlfn.XLOOKUP(tbl_model[[#This Row],[ProductID]],tbl_product[ProductID],tbl_product[ProductName],"UNMAPPED_PRODUCT")</f>
        <v>LL Road Handlebars</v>
      </c>
      <c r="D768" t="str">
        <f>_xlfn.XLOOKUP(tbl_model[[#This Row],[ProductID]],tbl_product[ProductID],tbl_product[ProductNumber],"UNMAPPED_PRODUCT")</f>
        <v>HB-R504</v>
      </c>
      <c r="E768" t="str">
        <f>_xlfn.XLOOKUP(tbl_model[[#This Row],[LocationID]],tbl_location[LocationID],tbl_location[LocationName],"UNMAPPED_LOCATION")</f>
        <v>Subassembly</v>
      </c>
      <c r="F768">
        <v>307</v>
      </c>
      <c r="G768" s="1" t="str">
        <f>tbl_model[[#This Row],[ProductID]] &amp; "-" &amp; tbl_model[[#This Row],[LocationID]]</f>
        <v>811-50</v>
      </c>
    </row>
    <row r="769" spans="1:7">
      <c r="A769">
        <v>812</v>
      </c>
      <c r="B769">
        <v>10</v>
      </c>
      <c r="C769" t="str">
        <f>_xlfn.XLOOKUP(tbl_model[[#This Row],[ProductID]],tbl_product[ProductID],tbl_product[ProductName],"UNMAPPED_PRODUCT")</f>
        <v>ML Road Handlebars</v>
      </c>
      <c r="D769" t="str">
        <f>_xlfn.XLOOKUP(tbl_model[[#This Row],[ProductID]],tbl_product[ProductID],tbl_product[ProductNumber],"UNMAPPED_PRODUCT")</f>
        <v>HB-R720</v>
      </c>
      <c r="E769" t="str">
        <f>_xlfn.XLOOKUP(tbl_model[[#This Row],[LocationID]],tbl_location[LocationID],tbl_location[LocationName],"UNMAPPED_LOCATION")</f>
        <v>Frame Forming</v>
      </c>
      <c r="F769">
        <v>254</v>
      </c>
      <c r="G769" s="1" t="str">
        <f>tbl_model[[#This Row],[ProductID]] &amp; "-" &amp; tbl_model[[#This Row],[LocationID]]</f>
        <v>812-10</v>
      </c>
    </row>
    <row r="770" spans="1:7">
      <c r="A770">
        <v>812</v>
      </c>
      <c r="B770">
        <v>20</v>
      </c>
      <c r="C770" t="str">
        <f>_xlfn.XLOOKUP(tbl_model[[#This Row],[ProductID]],tbl_product[ProductID],tbl_product[ProductName],"UNMAPPED_PRODUCT")</f>
        <v>ML Road Handlebars</v>
      </c>
      <c r="D770" t="str">
        <f>_xlfn.XLOOKUP(tbl_model[[#This Row],[ProductID]],tbl_product[ProductID],tbl_product[ProductNumber],"UNMAPPED_PRODUCT")</f>
        <v>HB-R720</v>
      </c>
      <c r="E770" t="str">
        <f>_xlfn.XLOOKUP(tbl_model[[#This Row],[LocationID]],tbl_location[LocationID],tbl_location[LocationName],"UNMAPPED_LOCATION")</f>
        <v>Frame Welding</v>
      </c>
      <c r="F770">
        <v>264</v>
      </c>
      <c r="G770" s="1" t="str">
        <f>tbl_model[[#This Row],[ProductID]] &amp; "-" &amp; tbl_model[[#This Row],[LocationID]]</f>
        <v>812-20</v>
      </c>
    </row>
    <row r="771" spans="1:7">
      <c r="A771">
        <v>812</v>
      </c>
      <c r="B771">
        <v>50</v>
      </c>
      <c r="C771" t="str">
        <f>_xlfn.XLOOKUP(tbl_model[[#This Row],[ProductID]],tbl_product[ProductID],tbl_product[ProductName],"UNMAPPED_PRODUCT")</f>
        <v>ML Road Handlebars</v>
      </c>
      <c r="D771" t="str">
        <f>_xlfn.XLOOKUP(tbl_model[[#This Row],[ProductID]],tbl_product[ProductID],tbl_product[ProductNumber],"UNMAPPED_PRODUCT")</f>
        <v>HB-R720</v>
      </c>
      <c r="E771" t="str">
        <f>_xlfn.XLOOKUP(tbl_model[[#This Row],[LocationID]],tbl_location[LocationID],tbl_location[LocationName],"UNMAPPED_LOCATION")</f>
        <v>Subassembly</v>
      </c>
      <c r="F771">
        <v>304</v>
      </c>
      <c r="G771" s="1" t="str">
        <f>tbl_model[[#This Row],[ProductID]] &amp; "-" &amp; tbl_model[[#This Row],[LocationID]]</f>
        <v>812-50</v>
      </c>
    </row>
    <row r="772" spans="1:7">
      <c r="A772">
        <v>813</v>
      </c>
      <c r="B772">
        <v>10</v>
      </c>
      <c r="C772" t="str">
        <f>_xlfn.XLOOKUP(tbl_model[[#This Row],[ProductID]],tbl_product[ProductID],tbl_product[ProductName],"UNMAPPED_PRODUCT")</f>
        <v>HL Road Handlebars</v>
      </c>
      <c r="D772" t="str">
        <f>_xlfn.XLOOKUP(tbl_model[[#This Row],[ProductID]],tbl_product[ProductID],tbl_product[ProductNumber],"UNMAPPED_PRODUCT")</f>
        <v>HB-R956</v>
      </c>
      <c r="E772" t="str">
        <f>_xlfn.XLOOKUP(tbl_model[[#This Row],[LocationID]],tbl_location[LocationID],tbl_location[LocationName],"UNMAPPED_LOCATION")</f>
        <v>Frame Forming</v>
      </c>
      <c r="F772">
        <v>251</v>
      </c>
      <c r="G772" s="1" t="str">
        <f>tbl_model[[#This Row],[ProductID]] &amp; "-" &amp; tbl_model[[#This Row],[LocationID]]</f>
        <v>813-10</v>
      </c>
    </row>
    <row r="773" spans="1:7">
      <c r="A773">
        <v>813</v>
      </c>
      <c r="B773">
        <v>20</v>
      </c>
      <c r="C773" t="str">
        <f>_xlfn.XLOOKUP(tbl_model[[#This Row],[ProductID]],tbl_product[ProductID],tbl_product[ProductName],"UNMAPPED_PRODUCT")</f>
        <v>HL Road Handlebars</v>
      </c>
      <c r="D773" t="str">
        <f>_xlfn.XLOOKUP(tbl_model[[#This Row],[ProductID]],tbl_product[ProductID],tbl_product[ProductNumber],"UNMAPPED_PRODUCT")</f>
        <v>HB-R956</v>
      </c>
      <c r="E773" t="str">
        <f>_xlfn.XLOOKUP(tbl_model[[#This Row],[LocationID]],tbl_location[LocationID],tbl_location[LocationName],"UNMAPPED_LOCATION")</f>
        <v>Frame Welding</v>
      </c>
      <c r="F773">
        <v>260</v>
      </c>
      <c r="G773" s="1" t="str">
        <f>tbl_model[[#This Row],[ProductID]] &amp; "-" &amp; tbl_model[[#This Row],[LocationID]]</f>
        <v>813-20</v>
      </c>
    </row>
    <row r="774" spans="1:7">
      <c r="A774">
        <v>813</v>
      </c>
      <c r="B774">
        <v>50</v>
      </c>
      <c r="C774" t="str">
        <f>_xlfn.XLOOKUP(tbl_model[[#This Row],[ProductID]],tbl_product[ProductID],tbl_product[ProductName],"UNMAPPED_PRODUCT")</f>
        <v>HL Road Handlebars</v>
      </c>
      <c r="D774" t="str">
        <f>_xlfn.XLOOKUP(tbl_model[[#This Row],[ProductID]],tbl_product[ProductID],tbl_product[ProductNumber],"UNMAPPED_PRODUCT")</f>
        <v>HB-R956</v>
      </c>
      <c r="E774" t="str">
        <f>_xlfn.XLOOKUP(tbl_model[[#This Row],[LocationID]],tbl_location[LocationID],tbl_location[LocationName],"UNMAPPED_LOCATION")</f>
        <v>Subassembly</v>
      </c>
      <c r="F774">
        <v>300</v>
      </c>
      <c r="G774" s="1" t="str">
        <f>tbl_model[[#This Row],[ProductID]] &amp; "-" &amp; tbl_model[[#This Row],[LocationID]]</f>
        <v>813-50</v>
      </c>
    </row>
    <row r="775" spans="1:7">
      <c r="A775">
        <v>814</v>
      </c>
      <c r="B775">
        <v>10</v>
      </c>
      <c r="C775" t="str">
        <f>_xlfn.XLOOKUP(tbl_model[[#This Row],[ProductID]],tbl_product[ProductID],tbl_product[ProductName],"UNMAPPED_PRODUCT")</f>
        <v>ML Mountain Frame - Black, 38</v>
      </c>
      <c r="D775" t="str">
        <f>_xlfn.XLOOKUP(tbl_model[[#This Row],[ProductID]],tbl_product[ProductID],tbl_product[ProductNumber],"UNMAPPED_PRODUCT")</f>
        <v>FR-M63B-38</v>
      </c>
      <c r="E775" t="str">
        <f>_xlfn.XLOOKUP(tbl_model[[#This Row],[LocationID]],tbl_location[LocationID],tbl_location[LocationName],"UNMAPPED_LOCATION")</f>
        <v>Frame Forming</v>
      </c>
      <c r="F775">
        <v>110</v>
      </c>
      <c r="G775" s="1" t="str">
        <f>tbl_model[[#This Row],[ProductID]] &amp; "-" &amp; tbl_model[[#This Row],[LocationID]]</f>
        <v>814-10</v>
      </c>
    </row>
    <row r="776" spans="1:7">
      <c r="A776">
        <v>814</v>
      </c>
      <c r="B776">
        <v>20</v>
      </c>
      <c r="C776" t="str">
        <f>_xlfn.XLOOKUP(tbl_model[[#This Row],[ProductID]],tbl_product[ProductID],tbl_product[ProductName],"UNMAPPED_PRODUCT")</f>
        <v>ML Mountain Frame - Black, 38</v>
      </c>
      <c r="D776" t="str">
        <f>_xlfn.XLOOKUP(tbl_model[[#This Row],[ProductID]],tbl_product[ProductID],tbl_product[ProductNumber],"UNMAPPED_PRODUCT")</f>
        <v>FR-M63B-38</v>
      </c>
      <c r="E776" t="str">
        <f>_xlfn.XLOOKUP(tbl_model[[#This Row],[LocationID]],tbl_location[LocationID],tbl_location[LocationName],"UNMAPPED_LOCATION")</f>
        <v>Frame Welding</v>
      </c>
      <c r="F776">
        <v>150</v>
      </c>
      <c r="G776" s="1" t="str">
        <f>tbl_model[[#This Row],[ProductID]] &amp; "-" &amp; tbl_model[[#This Row],[LocationID]]</f>
        <v>814-20</v>
      </c>
    </row>
    <row r="777" spans="1:7">
      <c r="A777">
        <v>814</v>
      </c>
      <c r="B777">
        <v>30</v>
      </c>
      <c r="C777" t="str">
        <f>_xlfn.XLOOKUP(tbl_model[[#This Row],[ProductID]],tbl_product[ProductID],tbl_product[ProductName],"UNMAPPED_PRODUCT")</f>
        <v>ML Mountain Frame - Black, 38</v>
      </c>
      <c r="D777" t="str">
        <f>_xlfn.XLOOKUP(tbl_model[[#This Row],[ProductID]],tbl_product[ProductID],tbl_product[ProductNumber],"UNMAPPED_PRODUCT")</f>
        <v>FR-M63B-38</v>
      </c>
      <c r="E777" t="str">
        <f>_xlfn.XLOOKUP(tbl_model[[#This Row],[LocationID]],tbl_location[LocationID],tbl_location[LocationName],"UNMAPPED_LOCATION")</f>
        <v>Debur and Polish</v>
      </c>
      <c r="F777">
        <v>137</v>
      </c>
      <c r="G777" s="1" t="str">
        <f>tbl_model[[#This Row],[ProductID]] &amp; "-" &amp; tbl_model[[#This Row],[LocationID]]</f>
        <v>814-30</v>
      </c>
    </row>
    <row r="778" spans="1:7">
      <c r="A778">
        <v>814</v>
      </c>
      <c r="B778">
        <v>40</v>
      </c>
      <c r="C778" t="str">
        <f>_xlfn.XLOOKUP(tbl_model[[#This Row],[ProductID]],tbl_product[ProductID],tbl_product[ProductName],"UNMAPPED_PRODUCT")</f>
        <v>ML Mountain Frame - Black, 38</v>
      </c>
      <c r="D778" t="str">
        <f>_xlfn.XLOOKUP(tbl_model[[#This Row],[ProductID]],tbl_product[ProductID],tbl_product[ProductNumber],"UNMAPPED_PRODUCT")</f>
        <v>FR-M63B-38</v>
      </c>
      <c r="E778" t="str">
        <f>_xlfn.XLOOKUP(tbl_model[[#This Row],[LocationID]],tbl_location[LocationID],tbl_location[LocationName],"UNMAPPED_LOCATION")</f>
        <v>Paint</v>
      </c>
      <c r="F778">
        <v>96</v>
      </c>
      <c r="G778" s="1" t="str">
        <f>tbl_model[[#This Row],[ProductID]] &amp; "-" &amp; tbl_model[[#This Row],[LocationID]]</f>
        <v>814-40</v>
      </c>
    </row>
    <row r="779" spans="1:7">
      <c r="A779">
        <v>814</v>
      </c>
      <c r="B779">
        <v>50</v>
      </c>
      <c r="C779" t="str">
        <f>_xlfn.XLOOKUP(tbl_model[[#This Row],[ProductID]],tbl_product[ProductID],tbl_product[ProductName],"UNMAPPED_PRODUCT")</f>
        <v>ML Mountain Frame - Black, 38</v>
      </c>
      <c r="D779" t="str">
        <f>_xlfn.XLOOKUP(tbl_model[[#This Row],[ProductID]],tbl_product[ProductID],tbl_product[ProductNumber],"UNMAPPED_PRODUCT")</f>
        <v>FR-M63B-38</v>
      </c>
      <c r="E779" t="str">
        <f>_xlfn.XLOOKUP(tbl_model[[#This Row],[LocationID]],tbl_location[LocationID],tbl_location[LocationName],"UNMAPPED_LOCATION")</f>
        <v>Subassembly</v>
      </c>
      <c r="F779">
        <v>148</v>
      </c>
      <c r="G779" s="1" t="str">
        <f>tbl_model[[#This Row],[ProductID]] &amp; "-" &amp; tbl_model[[#This Row],[LocationID]]</f>
        <v>814-50</v>
      </c>
    </row>
    <row r="780" spans="1:7">
      <c r="A780">
        <v>814</v>
      </c>
      <c r="B780">
        <v>60</v>
      </c>
      <c r="C780" t="str">
        <f>_xlfn.XLOOKUP(tbl_model[[#This Row],[ProductID]],tbl_product[ProductID],tbl_product[ProductName],"UNMAPPED_PRODUCT")</f>
        <v>ML Mountain Frame - Black, 38</v>
      </c>
      <c r="D780" t="str">
        <f>_xlfn.XLOOKUP(tbl_model[[#This Row],[ProductID]],tbl_product[ProductID],tbl_product[ProductNumber],"UNMAPPED_PRODUCT")</f>
        <v>FR-M63B-38</v>
      </c>
      <c r="E780" t="str">
        <f>_xlfn.XLOOKUP(tbl_model[[#This Row],[LocationID]],tbl_location[LocationID],tbl_location[LocationName],"UNMAPPED_LOCATION")</f>
        <v>Final Assembly</v>
      </c>
      <c r="F780">
        <v>126</v>
      </c>
      <c r="G780" s="1" t="str">
        <f>tbl_model[[#This Row],[ProductID]] &amp; "-" &amp; tbl_model[[#This Row],[LocationID]]</f>
        <v>814-60</v>
      </c>
    </row>
    <row r="781" spans="1:7">
      <c r="A781">
        <v>815</v>
      </c>
      <c r="B781">
        <v>5</v>
      </c>
      <c r="C781" t="str">
        <f>_xlfn.XLOOKUP(tbl_model[[#This Row],[ProductID]],tbl_product[ProductID],tbl_product[ProductName],"UNMAPPED_PRODUCT")</f>
        <v>LL Mountain Front Wheel</v>
      </c>
      <c r="D781" t="str">
        <f>_xlfn.XLOOKUP(tbl_model[[#This Row],[ProductID]],tbl_product[ProductID],tbl_product[ProductNumber],"UNMAPPED_PRODUCT")</f>
        <v>FW-M423</v>
      </c>
      <c r="E781" t="str">
        <f>_xlfn.XLOOKUP(tbl_model[[#This Row],[LocationID]],tbl_location[LocationID],tbl_location[LocationName],"UNMAPPED_LOCATION")</f>
        <v>Metal Storage</v>
      </c>
      <c r="F781">
        <v>265</v>
      </c>
      <c r="G781" s="1" t="str">
        <f>tbl_model[[#This Row],[ProductID]] &amp; "-" &amp; tbl_model[[#This Row],[LocationID]]</f>
        <v>815-5</v>
      </c>
    </row>
    <row r="782" spans="1:7">
      <c r="A782">
        <v>815</v>
      </c>
      <c r="B782">
        <v>50</v>
      </c>
      <c r="C782" t="str">
        <f>_xlfn.XLOOKUP(tbl_model[[#This Row],[ProductID]],tbl_product[ProductID],tbl_product[ProductName],"UNMAPPED_PRODUCT")</f>
        <v>LL Mountain Front Wheel</v>
      </c>
      <c r="D782" t="str">
        <f>_xlfn.XLOOKUP(tbl_model[[#This Row],[ProductID]],tbl_product[ProductID],tbl_product[ProductNumber],"UNMAPPED_PRODUCT")</f>
        <v>FW-M423</v>
      </c>
      <c r="E782" t="str">
        <f>_xlfn.XLOOKUP(tbl_model[[#This Row],[LocationID]],tbl_location[LocationID],tbl_location[LocationName],"UNMAPPED_LOCATION")</f>
        <v>Subassembly</v>
      </c>
      <c r="F782">
        <v>457</v>
      </c>
      <c r="G782" s="1" t="str">
        <f>tbl_model[[#This Row],[ProductID]] &amp; "-" &amp; tbl_model[[#This Row],[LocationID]]</f>
        <v>815-50</v>
      </c>
    </row>
    <row r="783" spans="1:7">
      <c r="A783">
        <v>816</v>
      </c>
      <c r="B783">
        <v>5</v>
      </c>
      <c r="C783" t="str">
        <f>_xlfn.XLOOKUP(tbl_model[[#This Row],[ProductID]],tbl_product[ProductID],tbl_product[ProductName],"UNMAPPED_PRODUCT")</f>
        <v>ML Mountain Front Wheel</v>
      </c>
      <c r="D783" t="str">
        <f>_xlfn.XLOOKUP(tbl_model[[#This Row],[ProductID]],tbl_product[ProductID],tbl_product[ProductNumber],"UNMAPPED_PRODUCT")</f>
        <v>FW-M762</v>
      </c>
      <c r="E783" t="str">
        <f>_xlfn.XLOOKUP(tbl_model[[#This Row],[LocationID]],tbl_location[LocationID],tbl_location[LocationName],"UNMAPPED_LOCATION")</f>
        <v>Metal Storage</v>
      </c>
      <c r="F783">
        <v>406</v>
      </c>
      <c r="G783" s="1" t="str">
        <f>tbl_model[[#This Row],[ProductID]] &amp; "-" &amp; tbl_model[[#This Row],[LocationID]]</f>
        <v>816-5</v>
      </c>
    </row>
    <row r="784" spans="1:7">
      <c r="A784">
        <v>816</v>
      </c>
      <c r="B784">
        <v>50</v>
      </c>
      <c r="C784" t="str">
        <f>_xlfn.XLOOKUP(tbl_model[[#This Row],[ProductID]],tbl_product[ProductID],tbl_product[ProductName],"UNMAPPED_PRODUCT")</f>
        <v>ML Mountain Front Wheel</v>
      </c>
      <c r="D784" t="str">
        <f>_xlfn.XLOOKUP(tbl_model[[#This Row],[ProductID]],tbl_product[ProductID],tbl_product[ProductNumber],"UNMAPPED_PRODUCT")</f>
        <v>FW-M762</v>
      </c>
      <c r="E784" t="str">
        <f>_xlfn.XLOOKUP(tbl_model[[#This Row],[LocationID]],tbl_location[LocationID],tbl_location[LocationName],"UNMAPPED_LOCATION")</f>
        <v>Subassembly</v>
      </c>
      <c r="F784">
        <v>412</v>
      </c>
      <c r="G784" s="1" t="str">
        <f>tbl_model[[#This Row],[ProductID]] &amp; "-" &amp; tbl_model[[#This Row],[LocationID]]</f>
        <v>816-50</v>
      </c>
    </row>
    <row r="785" spans="1:7">
      <c r="A785">
        <v>817</v>
      </c>
      <c r="B785">
        <v>5</v>
      </c>
      <c r="C785" t="str">
        <f>_xlfn.XLOOKUP(tbl_model[[#This Row],[ProductID]],tbl_product[ProductID],tbl_product[ProductName],"UNMAPPED_PRODUCT")</f>
        <v>HL Mountain Front Wheel</v>
      </c>
      <c r="D785" t="str">
        <f>_xlfn.XLOOKUP(tbl_model[[#This Row],[ProductID]],tbl_product[ProductID],tbl_product[ProductNumber],"UNMAPPED_PRODUCT")</f>
        <v>FW-M928</v>
      </c>
      <c r="E785" t="str">
        <f>_xlfn.XLOOKUP(tbl_model[[#This Row],[LocationID]],tbl_location[LocationID],tbl_location[LocationName],"UNMAPPED_LOCATION")</f>
        <v>Metal Storage</v>
      </c>
      <c r="F785">
        <v>443</v>
      </c>
      <c r="G785" s="1" t="str">
        <f>tbl_model[[#This Row],[ProductID]] &amp; "-" &amp; tbl_model[[#This Row],[LocationID]]</f>
        <v>817-5</v>
      </c>
    </row>
    <row r="786" spans="1:7">
      <c r="A786">
        <v>817</v>
      </c>
      <c r="B786">
        <v>50</v>
      </c>
      <c r="C786" t="str">
        <f>_xlfn.XLOOKUP(tbl_model[[#This Row],[ProductID]],tbl_product[ProductID],tbl_product[ProductName],"UNMAPPED_PRODUCT")</f>
        <v>HL Mountain Front Wheel</v>
      </c>
      <c r="D786" t="str">
        <f>_xlfn.XLOOKUP(tbl_model[[#This Row],[ProductID]],tbl_product[ProductID],tbl_product[ProductNumber],"UNMAPPED_PRODUCT")</f>
        <v>FW-M928</v>
      </c>
      <c r="E786" t="str">
        <f>_xlfn.XLOOKUP(tbl_model[[#This Row],[LocationID]],tbl_location[LocationID],tbl_location[LocationName],"UNMAPPED_LOCATION")</f>
        <v>Subassembly</v>
      </c>
      <c r="F786">
        <v>388</v>
      </c>
      <c r="G786" s="1" t="str">
        <f>tbl_model[[#This Row],[ProductID]] &amp; "-" &amp; tbl_model[[#This Row],[LocationID]]</f>
        <v>817-50</v>
      </c>
    </row>
    <row r="787" spans="1:7">
      <c r="A787">
        <v>818</v>
      </c>
      <c r="B787">
        <v>5</v>
      </c>
      <c r="C787" t="str">
        <f>_xlfn.XLOOKUP(tbl_model[[#This Row],[ProductID]],tbl_product[ProductID],tbl_product[ProductName],"UNMAPPED_PRODUCT")</f>
        <v>LL Road Front Wheel</v>
      </c>
      <c r="D787" t="str">
        <f>_xlfn.XLOOKUP(tbl_model[[#This Row],[ProductID]],tbl_product[ProductID],tbl_product[ProductNumber],"UNMAPPED_PRODUCT")</f>
        <v>FW-R623</v>
      </c>
      <c r="E787" t="str">
        <f>_xlfn.XLOOKUP(tbl_model[[#This Row],[LocationID]],tbl_location[LocationID],tbl_location[LocationName],"UNMAPPED_LOCATION")</f>
        <v>Metal Storage</v>
      </c>
      <c r="F787">
        <v>428</v>
      </c>
      <c r="G787" s="1" t="str">
        <f>tbl_model[[#This Row],[ProductID]] &amp; "-" &amp; tbl_model[[#This Row],[LocationID]]</f>
        <v>818-5</v>
      </c>
    </row>
    <row r="788" spans="1:7">
      <c r="A788">
        <v>818</v>
      </c>
      <c r="B788">
        <v>50</v>
      </c>
      <c r="C788" t="str">
        <f>_xlfn.XLOOKUP(tbl_model[[#This Row],[ProductID]],tbl_product[ProductID],tbl_product[ProductName],"UNMAPPED_PRODUCT")</f>
        <v>LL Road Front Wheel</v>
      </c>
      <c r="D788" t="str">
        <f>_xlfn.XLOOKUP(tbl_model[[#This Row],[ProductID]],tbl_product[ProductID],tbl_product[ProductNumber],"UNMAPPED_PRODUCT")</f>
        <v>FW-R623</v>
      </c>
      <c r="E788" t="str">
        <f>_xlfn.XLOOKUP(tbl_model[[#This Row],[LocationID]],tbl_location[LocationID],tbl_location[LocationName],"UNMAPPED_LOCATION")</f>
        <v>Subassembly</v>
      </c>
      <c r="F788">
        <v>460</v>
      </c>
      <c r="G788" s="1" t="str">
        <f>tbl_model[[#This Row],[ProductID]] &amp; "-" &amp; tbl_model[[#This Row],[LocationID]]</f>
        <v>818-50</v>
      </c>
    </row>
    <row r="789" spans="1:7">
      <c r="A789">
        <v>819</v>
      </c>
      <c r="B789">
        <v>5</v>
      </c>
      <c r="C789" t="str">
        <f>_xlfn.XLOOKUP(tbl_model[[#This Row],[ProductID]],tbl_product[ProductID],tbl_product[ProductName],"UNMAPPED_PRODUCT")</f>
        <v>ML Road Front Wheel</v>
      </c>
      <c r="D789" t="str">
        <f>_xlfn.XLOOKUP(tbl_model[[#This Row],[ProductID]],tbl_product[ProductID],tbl_product[ProductNumber],"UNMAPPED_PRODUCT")</f>
        <v>FW-R762</v>
      </c>
      <c r="E789" t="str">
        <f>_xlfn.XLOOKUP(tbl_model[[#This Row],[LocationID]],tbl_location[LocationID],tbl_location[LocationName],"UNMAPPED_LOCATION")</f>
        <v>Metal Storage</v>
      </c>
      <c r="F789">
        <v>409</v>
      </c>
      <c r="G789" s="1" t="str">
        <f>tbl_model[[#This Row],[ProductID]] &amp; "-" &amp; tbl_model[[#This Row],[LocationID]]</f>
        <v>819-5</v>
      </c>
    </row>
    <row r="790" spans="1:7">
      <c r="A790">
        <v>819</v>
      </c>
      <c r="B790">
        <v>50</v>
      </c>
      <c r="C790" t="str">
        <f>_xlfn.XLOOKUP(tbl_model[[#This Row],[ProductID]],tbl_product[ProductID],tbl_product[ProductName],"UNMAPPED_PRODUCT")</f>
        <v>ML Road Front Wheel</v>
      </c>
      <c r="D790" t="str">
        <f>_xlfn.XLOOKUP(tbl_model[[#This Row],[ProductID]],tbl_product[ProductID],tbl_product[ProductNumber],"UNMAPPED_PRODUCT")</f>
        <v>FW-R762</v>
      </c>
      <c r="E790" t="str">
        <f>_xlfn.XLOOKUP(tbl_model[[#This Row],[LocationID]],tbl_location[LocationID],tbl_location[LocationName],"UNMAPPED_LOCATION")</f>
        <v>Subassembly</v>
      </c>
      <c r="F790">
        <v>384</v>
      </c>
      <c r="G790" s="1" t="str">
        <f>tbl_model[[#This Row],[ProductID]] &amp; "-" &amp; tbl_model[[#This Row],[LocationID]]</f>
        <v>819-50</v>
      </c>
    </row>
    <row r="791" spans="1:7">
      <c r="A791">
        <v>820</v>
      </c>
      <c r="B791">
        <v>5</v>
      </c>
      <c r="C791" t="str">
        <f>_xlfn.XLOOKUP(tbl_model[[#This Row],[ProductID]],tbl_product[ProductID],tbl_product[ProductName],"UNMAPPED_PRODUCT")</f>
        <v>HL Road Front Wheel</v>
      </c>
      <c r="D791" t="str">
        <f>_xlfn.XLOOKUP(tbl_model[[#This Row],[ProductID]],tbl_product[ProductID],tbl_product[ProductNumber],"UNMAPPED_PRODUCT")</f>
        <v>FW-R820</v>
      </c>
      <c r="E791" t="str">
        <f>_xlfn.XLOOKUP(tbl_model[[#This Row],[LocationID]],tbl_location[LocationID],tbl_location[LocationName],"UNMAPPED_LOCATION")</f>
        <v>Metal Storage</v>
      </c>
      <c r="F791">
        <v>446</v>
      </c>
      <c r="G791" s="1" t="str">
        <f>tbl_model[[#This Row],[ProductID]] &amp; "-" &amp; tbl_model[[#This Row],[LocationID]]</f>
        <v>820-5</v>
      </c>
    </row>
    <row r="792" spans="1:7">
      <c r="A792">
        <v>820</v>
      </c>
      <c r="B792">
        <v>50</v>
      </c>
      <c r="C792" t="str">
        <f>_xlfn.XLOOKUP(tbl_model[[#This Row],[ProductID]],tbl_product[ProductID],tbl_product[ProductName],"UNMAPPED_PRODUCT")</f>
        <v>HL Road Front Wheel</v>
      </c>
      <c r="D792" t="str">
        <f>_xlfn.XLOOKUP(tbl_model[[#This Row],[ProductID]],tbl_product[ProductID],tbl_product[ProductNumber],"UNMAPPED_PRODUCT")</f>
        <v>FW-R820</v>
      </c>
      <c r="E792" t="str">
        <f>_xlfn.XLOOKUP(tbl_model[[#This Row],[LocationID]],tbl_location[LocationID],tbl_location[LocationName],"UNMAPPED_LOCATION")</f>
        <v>Subassembly</v>
      </c>
      <c r="F792">
        <v>232</v>
      </c>
      <c r="G792" s="1" t="str">
        <f>tbl_model[[#This Row],[ProductID]] &amp; "-" &amp; tbl_model[[#This Row],[LocationID]]</f>
        <v>820-50</v>
      </c>
    </row>
    <row r="793" spans="1:7">
      <c r="A793">
        <v>821</v>
      </c>
      <c r="B793">
        <v>5</v>
      </c>
      <c r="C793" t="str">
        <f>_xlfn.XLOOKUP(tbl_model[[#This Row],[ProductID]],tbl_product[ProductID],tbl_product[ProductName],"UNMAPPED_PRODUCT")</f>
        <v>Touring Front Wheel</v>
      </c>
      <c r="D793" t="str">
        <f>_xlfn.XLOOKUP(tbl_model[[#This Row],[ProductID]],tbl_product[ProductID],tbl_product[ProductNumber],"UNMAPPED_PRODUCT")</f>
        <v>FW-T905</v>
      </c>
      <c r="E793" t="str">
        <f>_xlfn.XLOOKUP(tbl_model[[#This Row],[LocationID]],tbl_location[LocationID],tbl_location[LocationName],"UNMAPPED_LOCATION")</f>
        <v>Metal Storage</v>
      </c>
      <c r="F793">
        <v>432</v>
      </c>
      <c r="G793" s="1" t="str">
        <f>tbl_model[[#This Row],[ProductID]] &amp; "-" &amp; tbl_model[[#This Row],[LocationID]]</f>
        <v>821-5</v>
      </c>
    </row>
    <row r="794" spans="1:7">
      <c r="A794">
        <v>821</v>
      </c>
      <c r="B794">
        <v>50</v>
      </c>
      <c r="C794" t="str">
        <f>_xlfn.XLOOKUP(tbl_model[[#This Row],[ProductID]],tbl_product[ProductID],tbl_product[ProductName],"UNMAPPED_PRODUCT")</f>
        <v>Touring Front Wheel</v>
      </c>
      <c r="D794" t="str">
        <f>_xlfn.XLOOKUP(tbl_model[[#This Row],[ProductID]],tbl_product[ProductID],tbl_product[ProductNumber],"UNMAPPED_PRODUCT")</f>
        <v>FW-T905</v>
      </c>
      <c r="E794" t="str">
        <f>_xlfn.XLOOKUP(tbl_model[[#This Row],[LocationID]],tbl_location[LocationID],tbl_location[LocationName],"UNMAPPED_LOCATION")</f>
        <v>Subassembly</v>
      </c>
      <c r="F794">
        <v>304</v>
      </c>
      <c r="G794" s="1" t="str">
        <f>tbl_model[[#This Row],[ProductID]] &amp; "-" &amp; tbl_model[[#This Row],[LocationID]]</f>
        <v>821-50</v>
      </c>
    </row>
    <row r="795" spans="1:7">
      <c r="A795">
        <v>822</v>
      </c>
      <c r="B795">
        <v>10</v>
      </c>
      <c r="C795" t="str">
        <f>_xlfn.XLOOKUP(tbl_model[[#This Row],[ProductID]],tbl_product[ProductID],tbl_product[ProductName],"UNMAPPED_PRODUCT")</f>
        <v>ML Road Frame-W - Yellow, 38</v>
      </c>
      <c r="D795" t="str">
        <f>_xlfn.XLOOKUP(tbl_model[[#This Row],[ProductID]],tbl_product[ProductID],tbl_product[ProductNumber],"UNMAPPED_PRODUCT")</f>
        <v>FR-R72Y-38</v>
      </c>
      <c r="E795" t="str">
        <f>_xlfn.XLOOKUP(tbl_model[[#This Row],[LocationID]],tbl_location[LocationID],tbl_location[LocationName],"UNMAPPED_LOCATION")</f>
        <v>Frame Forming</v>
      </c>
      <c r="F795">
        <v>115</v>
      </c>
      <c r="G795" s="1" t="str">
        <f>tbl_model[[#This Row],[ProductID]] &amp; "-" &amp; tbl_model[[#This Row],[LocationID]]</f>
        <v>822-10</v>
      </c>
    </row>
    <row r="796" spans="1:7">
      <c r="A796">
        <v>822</v>
      </c>
      <c r="B796">
        <v>20</v>
      </c>
      <c r="C796" t="str">
        <f>_xlfn.XLOOKUP(tbl_model[[#This Row],[ProductID]],tbl_product[ProductID],tbl_product[ProductName],"UNMAPPED_PRODUCT")</f>
        <v>ML Road Frame-W - Yellow, 38</v>
      </c>
      <c r="D796" t="str">
        <f>_xlfn.XLOOKUP(tbl_model[[#This Row],[ProductID]],tbl_product[ProductID],tbl_product[ProductNumber],"UNMAPPED_PRODUCT")</f>
        <v>FR-R72Y-38</v>
      </c>
      <c r="E796" t="str">
        <f>_xlfn.XLOOKUP(tbl_model[[#This Row],[LocationID]],tbl_location[LocationID],tbl_location[LocationName],"UNMAPPED_LOCATION")</f>
        <v>Frame Welding</v>
      </c>
      <c r="F796">
        <v>155</v>
      </c>
      <c r="G796" s="1" t="str">
        <f>tbl_model[[#This Row],[ProductID]] &amp; "-" &amp; tbl_model[[#This Row],[LocationID]]</f>
        <v>822-20</v>
      </c>
    </row>
    <row r="797" spans="1:7">
      <c r="A797">
        <v>822</v>
      </c>
      <c r="B797">
        <v>30</v>
      </c>
      <c r="C797" t="str">
        <f>_xlfn.XLOOKUP(tbl_model[[#This Row],[ProductID]],tbl_product[ProductID],tbl_product[ProductName],"UNMAPPED_PRODUCT")</f>
        <v>ML Road Frame-W - Yellow, 38</v>
      </c>
      <c r="D797" t="str">
        <f>_xlfn.XLOOKUP(tbl_model[[#This Row],[ProductID]],tbl_product[ProductID],tbl_product[ProductNumber],"UNMAPPED_PRODUCT")</f>
        <v>FR-R72Y-38</v>
      </c>
      <c r="E797" t="str">
        <f>_xlfn.XLOOKUP(tbl_model[[#This Row],[LocationID]],tbl_location[LocationID],tbl_location[LocationName],"UNMAPPED_LOCATION")</f>
        <v>Debur and Polish</v>
      </c>
      <c r="F797">
        <v>142</v>
      </c>
      <c r="G797" s="1" t="str">
        <f>tbl_model[[#This Row],[ProductID]] &amp; "-" &amp; tbl_model[[#This Row],[LocationID]]</f>
        <v>822-30</v>
      </c>
    </row>
    <row r="798" spans="1:7">
      <c r="A798">
        <v>822</v>
      </c>
      <c r="B798">
        <v>40</v>
      </c>
      <c r="C798" t="str">
        <f>_xlfn.XLOOKUP(tbl_model[[#This Row],[ProductID]],tbl_product[ProductID],tbl_product[ProductName],"UNMAPPED_PRODUCT")</f>
        <v>ML Road Frame-W - Yellow, 38</v>
      </c>
      <c r="D798" t="str">
        <f>_xlfn.XLOOKUP(tbl_model[[#This Row],[ProductID]],tbl_product[ProductID],tbl_product[ProductNumber],"UNMAPPED_PRODUCT")</f>
        <v>FR-R72Y-38</v>
      </c>
      <c r="E798" t="str">
        <f>_xlfn.XLOOKUP(tbl_model[[#This Row],[LocationID]],tbl_location[LocationID],tbl_location[LocationName],"UNMAPPED_LOCATION")</f>
        <v>Paint</v>
      </c>
      <c r="F798">
        <v>100</v>
      </c>
      <c r="G798" s="1" t="str">
        <f>tbl_model[[#This Row],[ProductID]] &amp; "-" &amp; tbl_model[[#This Row],[LocationID]]</f>
        <v>822-40</v>
      </c>
    </row>
    <row r="799" spans="1:7">
      <c r="A799">
        <v>822</v>
      </c>
      <c r="B799">
        <v>50</v>
      </c>
      <c r="C799" t="str">
        <f>_xlfn.XLOOKUP(tbl_model[[#This Row],[ProductID]],tbl_product[ProductID],tbl_product[ProductName],"UNMAPPED_PRODUCT")</f>
        <v>ML Road Frame-W - Yellow, 38</v>
      </c>
      <c r="D799" t="str">
        <f>_xlfn.XLOOKUP(tbl_model[[#This Row],[ProductID]],tbl_product[ProductID],tbl_product[ProductNumber],"UNMAPPED_PRODUCT")</f>
        <v>FR-R72Y-38</v>
      </c>
      <c r="E799" t="str">
        <f>_xlfn.XLOOKUP(tbl_model[[#This Row],[LocationID]],tbl_location[LocationID],tbl_location[LocationName],"UNMAPPED_LOCATION")</f>
        <v>Subassembly</v>
      </c>
      <c r="F799">
        <v>153</v>
      </c>
      <c r="G799" s="1" t="str">
        <f>tbl_model[[#This Row],[ProductID]] &amp; "-" &amp; tbl_model[[#This Row],[LocationID]]</f>
        <v>822-50</v>
      </c>
    </row>
    <row r="800" spans="1:7">
      <c r="A800">
        <v>822</v>
      </c>
      <c r="B800">
        <v>60</v>
      </c>
      <c r="C800" t="str">
        <f>_xlfn.XLOOKUP(tbl_model[[#This Row],[ProductID]],tbl_product[ProductID],tbl_product[ProductName],"UNMAPPED_PRODUCT")</f>
        <v>ML Road Frame-W - Yellow, 38</v>
      </c>
      <c r="D800" t="str">
        <f>_xlfn.XLOOKUP(tbl_model[[#This Row],[ProductID]],tbl_product[ProductID],tbl_product[ProductNumber],"UNMAPPED_PRODUCT")</f>
        <v>FR-R72Y-38</v>
      </c>
      <c r="E800" t="str">
        <f>_xlfn.XLOOKUP(tbl_model[[#This Row],[LocationID]],tbl_location[LocationID],tbl_location[LocationName],"UNMAPPED_LOCATION")</f>
        <v>Final Assembly</v>
      </c>
      <c r="F800">
        <v>131</v>
      </c>
      <c r="G800" s="1" t="str">
        <f>tbl_model[[#This Row],[ProductID]] &amp; "-" &amp; tbl_model[[#This Row],[LocationID]]</f>
        <v>822-60</v>
      </c>
    </row>
    <row r="801" spans="1:7">
      <c r="A801">
        <v>823</v>
      </c>
      <c r="B801">
        <v>6</v>
      </c>
      <c r="C801" t="str">
        <f>_xlfn.XLOOKUP(tbl_model[[#This Row],[ProductID]],tbl_product[ProductID],tbl_product[ProductName],"UNMAPPED_PRODUCT")</f>
        <v>LL Mountain Rear Wheel</v>
      </c>
      <c r="D801" t="str">
        <f>_xlfn.XLOOKUP(tbl_model[[#This Row],[ProductID]],tbl_product[ProductID],tbl_product[ProductNumber],"UNMAPPED_PRODUCT")</f>
        <v>RW-M423</v>
      </c>
      <c r="E801" t="str">
        <f>_xlfn.XLOOKUP(tbl_model[[#This Row],[LocationID]],tbl_location[LocationID],tbl_location[LocationName],"UNMAPPED_LOCATION")</f>
        <v>Miscellaneous Storage</v>
      </c>
      <c r="F801">
        <v>425</v>
      </c>
      <c r="G801" s="1" t="str">
        <f>tbl_model[[#This Row],[ProductID]] &amp; "-" &amp; tbl_model[[#This Row],[LocationID]]</f>
        <v>823-6</v>
      </c>
    </row>
    <row r="802" spans="1:7">
      <c r="A802">
        <v>823</v>
      </c>
      <c r="B802">
        <v>50</v>
      </c>
      <c r="C802" t="str">
        <f>_xlfn.XLOOKUP(tbl_model[[#This Row],[ProductID]],tbl_product[ProductID],tbl_product[ProductName],"UNMAPPED_PRODUCT")</f>
        <v>LL Mountain Rear Wheel</v>
      </c>
      <c r="D802" t="str">
        <f>_xlfn.XLOOKUP(tbl_model[[#This Row],[ProductID]],tbl_product[ProductID],tbl_product[ProductNumber],"UNMAPPED_PRODUCT")</f>
        <v>RW-M423</v>
      </c>
      <c r="E802" t="str">
        <f>_xlfn.XLOOKUP(tbl_model[[#This Row],[LocationID]],tbl_location[LocationID],tbl_location[LocationName],"UNMAPPED_LOCATION")</f>
        <v>Subassembly</v>
      </c>
      <c r="F802">
        <v>256</v>
      </c>
      <c r="G802" s="1" t="str">
        <f>tbl_model[[#This Row],[ProductID]] &amp; "-" &amp; tbl_model[[#This Row],[LocationID]]</f>
        <v>823-50</v>
      </c>
    </row>
    <row r="803" spans="1:7">
      <c r="A803">
        <v>824</v>
      </c>
      <c r="B803">
        <v>6</v>
      </c>
      <c r="C803" t="str">
        <f>_xlfn.XLOOKUP(tbl_model[[#This Row],[ProductID]],tbl_product[ProductID],tbl_product[ProductName],"UNMAPPED_PRODUCT")</f>
        <v>ML Mountain Rear Wheel</v>
      </c>
      <c r="D803" t="str">
        <f>_xlfn.XLOOKUP(tbl_model[[#This Row],[ProductID]],tbl_product[ProductID],tbl_product[ProductNumber],"UNMAPPED_PRODUCT")</f>
        <v>RW-M762</v>
      </c>
      <c r="E803" t="str">
        <f>_xlfn.XLOOKUP(tbl_model[[#This Row],[LocationID]],tbl_location[LocationID],tbl_location[LocationName],"UNMAPPED_LOCATION")</f>
        <v>Miscellaneous Storage</v>
      </c>
      <c r="F803">
        <v>411</v>
      </c>
      <c r="G803" s="1" t="str">
        <f>tbl_model[[#This Row],[ProductID]] &amp; "-" &amp; tbl_model[[#This Row],[LocationID]]</f>
        <v>824-6</v>
      </c>
    </row>
    <row r="804" spans="1:7">
      <c r="A804">
        <v>824</v>
      </c>
      <c r="B804">
        <v>50</v>
      </c>
      <c r="C804" t="str">
        <f>_xlfn.XLOOKUP(tbl_model[[#This Row],[ProductID]],tbl_product[ProductID],tbl_product[ProductName],"UNMAPPED_PRODUCT")</f>
        <v>ML Mountain Rear Wheel</v>
      </c>
      <c r="D804" t="str">
        <f>_xlfn.XLOOKUP(tbl_model[[#This Row],[ProductID]],tbl_product[ProductID],tbl_product[ProductNumber],"UNMAPPED_PRODUCT")</f>
        <v>RW-M762</v>
      </c>
      <c r="E804" t="str">
        <f>_xlfn.XLOOKUP(tbl_model[[#This Row],[LocationID]],tbl_location[LocationID],tbl_location[LocationName],"UNMAPPED_LOCATION")</f>
        <v>Subassembly</v>
      </c>
      <c r="F804">
        <v>401</v>
      </c>
      <c r="G804" s="1" t="str">
        <f>tbl_model[[#This Row],[ProductID]] &amp; "-" &amp; tbl_model[[#This Row],[LocationID]]</f>
        <v>824-50</v>
      </c>
    </row>
    <row r="805" spans="1:7">
      <c r="A805">
        <v>825</v>
      </c>
      <c r="B805">
        <v>6</v>
      </c>
      <c r="C805" t="str">
        <f>_xlfn.XLOOKUP(tbl_model[[#This Row],[ProductID]],tbl_product[ProductID],tbl_product[ProductName],"UNMAPPED_PRODUCT")</f>
        <v>HL Mountain Rear Wheel</v>
      </c>
      <c r="D805" t="str">
        <f>_xlfn.XLOOKUP(tbl_model[[#This Row],[ProductID]],tbl_product[ProductID],tbl_product[ProductNumber],"UNMAPPED_PRODUCT")</f>
        <v>RW-M928</v>
      </c>
      <c r="E805" t="str">
        <f>_xlfn.XLOOKUP(tbl_model[[#This Row],[LocationID]],tbl_location[LocationID],tbl_location[LocationName],"UNMAPPED_LOCATION")</f>
        <v>Miscellaneous Storage</v>
      </c>
      <c r="F805">
        <v>396</v>
      </c>
      <c r="G805" s="1" t="str">
        <f>tbl_model[[#This Row],[ProductID]] &amp; "-" &amp; tbl_model[[#This Row],[LocationID]]</f>
        <v>825-6</v>
      </c>
    </row>
    <row r="806" spans="1:7">
      <c r="A806">
        <v>825</v>
      </c>
      <c r="B806">
        <v>50</v>
      </c>
      <c r="C806" t="str">
        <f>_xlfn.XLOOKUP(tbl_model[[#This Row],[ProductID]],tbl_product[ProductID],tbl_product[ProductName],"UNMAPPED_PRODUCT")</f>
        <v>HL Mountain Rear Wheel</v>
      </c>
      <c r="D806" t="str">
        <f>_xlfn.XLOOKUP(tbl_model[[#This Row],[ProductID]],tbl_product[ProductID],tbl_product[ProductNumber],"UNMAPPED_PRODUCT")</f>
        <v>RW-M928</v>
      </c>
      <c r="E806" t="str">
        <f>_xlfn.XLOOKUP(tbl_model[[#This Row],[LocationID]],tbl_location[LocationID],tbl_location[LocationName],"UNMAPPED_LOCATION")</f>
        <v>Subassembly</v>
      </c>
      <c r="F806">
        <v>387</v>
      </c>
      <c r="G806" s="1" t="str">
        <f>tbl_model[[#This Row],[ProductID]] &amp; "-" &amp; tbl_model[[#This Row],[LocationID]]</f>
        <v>825-50</v>
      </c>
    </row>
    <row r="807" spans="1:7">
      <c r="A807">
        <v>826</v>
      </c>
      <c r="B807">
        <v>6</v>
      </c>
      <c r="C807" t="str">
        <f>_xlfn.XLOOKUP(tbl_model[[#This Row],[ProductID]],tbl_product[ProductID],tbl_product[ProductName],"UNMAPPED_PRODUCT")</f>
        <v>LL Road Rear Wheel</v>
      </c>
      <c r="D807" t="str">
        <f>_xlfn.XLOOKUP(tbl_model[[#This Row],[ProductID]],tbl_product[ProductID],tbl_product[ProductNumber],"UNMAPPED_PRODUCT")</f>
        <v>RW-R623</v>
      </c>
      <c r="E807" t="str">
        <f>_xlfn.XLOOKUP(tbl_model[[#This Row],[LocationID]],tbl_location[LocationID],tbl_location[LocationName],"UNMAPPED_LOCATION")</f>
        <v>Miscellaneous Storage</v>
      </c>
      <c r="F807">
        <v>393</v>
      </c>
      <c r="G807" s="1" t="str">
        <f>tbl_model[[#This Row],[ProductID]] &amp; "-" &amp; tbl_model[[#This Row],[LocationID]]</f>
        <v>826-6</v>
      </c>
    </row>
    <row r="808" spans="1:7">
      <c r="A808">
        <v>826</v>
      </c>
      <c r="B808">
        <v>50</v>
      </c>
      <c r="C808" t="str">
        <f>_xlfn.XLOOKUP(tbl_model[[#This Row],[ProductID]],tbl_product[ProductID],tbl_product[ProductName],"UNMAPPED_PRODUCT")</f>
        <v>LL Road Rear Wheel</v>
      </c>
      <c r="D808" t="str">
        <f>_xlfn.XLOOKUP(tbl_model[[#This Row],[ProductID]],tbl_product[ProductID],tbl_product[ProductNumber],"UNMAPPED_PRODUCT")</f>
        <v>RW-R623</v>
      </c>
      <c r="E808" t="str">
        <f>_xlfn.XLOOKUP(tbl_model[[#This Row],[LocationID]],tbl_location[LocationID],tbl_location[LocationName],"UNMAPPED_LOCATION")</f>
        <v>Subassembly</v>
      </c>
      <c r="F808">
        <v>406</v>
      </c>
      <c r="G808" s="1" t="str">
        <f>tbl_model[[#This Row],[ProductID]] &amp; "-" &amp; tbl_model[[#This Row],[LocationID]]</f>
        <v>826-50</v>
      </c>
    </row>
    <row r="809" spans="1:7">
      <c r="A809">
        <v>827</v>
      </c>
      <c r="B809">
        <v>6</v>
      </c>
      <c r="C809" t="str">
        <f>_xlfn.XLOOKUP(tbl_model[[#This Row],[ProductID]],tbl_product[ProductID],tbl_product[ProductName],"UNMAPPED_PRODUCT")</f>
        <v>ML Road Rear Wheel</v>
      </c>
      <c r="D809" t="str">
        <f>_xlfn.XLOOKUP(tbl_model[[#This Row],[ProductID]],tbl_product[ProductID],tbl_product[ProductNumber],"UNMAPPED_PRODUCT")</f>
        <v>RW-R762</v>
      </c>
      <c r="E809" t="str">
        <f>_xlfn.XLOOKUP(tbl_model[[#This Row],[LocationID]],tbl_location[LocationID],tbl_location[LocationName],"UNMAPPED_LOCATION")</f>
        <v>Miscellaneous Storage</v>
      </c>
      <c r="F809">
        <v>412</v>
      </c>
      <c r="G809" s="1" t="str">
        <f>tbl_model[[#This Row],[ProductID]] &amp; "-" &amp; tbl_model[[#This Row],[LocationID]]</f>
        <v>827-6</v>
      </c>
    </row>
    <row r="810" spans="1:7">
      <c r="A810">
        <v>827</v>
      </c>
      <c r="B810">
        <v>50</v>
      </c>
      <c r="C810" t="str">
        <f>_xlfn.XLOOKUP(tbl_model[[#This Row],[ProductID]],tbl_product[ProductID],tbl_product[ProductName],"UNMAPPED_PRODUCT")</f>
        <v>ML Road Rear Wheel</v>
      </c>
      <c r="D810" t="str">
        <f>_xlfn.XLOOKUP(tbl_model[[#This Row],[ProductID]],tbl_product[ProductID],tbl_product[ProductNumber],"UNMAPPED_PRODUCT")</f>
        <v>RW-R762</v>
      </c>
      <c r="E810" t="str">
        <f>_xlfn.XLOOKUP(tbl_model[[#This Row],[LocationID]],tbl_location[LocationID],tbl_location[LocationName],"UNMAPPED_LOCATION")</f>
        <v>Subassembly</v>
      </c>
      <c r="F810">
        <v>425</v>
      </c>
      <c r="G810" s="1" t="str">
        <f>tbl_model[[#This Row],[ProductID]] &amp; "-" &amp; tbl_model[[#This Row],[LocationID]]</f>
        <v>827-50</v>
      </c>
    </row>
    <row r="811" spans="1:7">
      <c r="A811">
        <v>828</v>
      </c>
      <c r="B811">
        <v>6</v>
      </c>
      <c r="C811" t="str">
        <f>_xlfn.XLOOKUP(tbl_model[[#This Row],[ProductID]],tbl_product[ProductID],tbl_product[ProductName],"UNMAPPED_PRODUCT")</f>
        <v>HL Road Rear Wheel</v>
      </c>
      <c r="D811" t="str">
        <f>_xlfn.XLOOKUP(tbl_model[[#This Row],[ProductID]],tbl_product[ProductID],tbl_product[ProductNumber],"UNMAPPED_PRODUCT")</f>
        <v>RW-R820</v>
      </c>
      <c r="E811" t="str">
        <f>_xlfn.XLOOKUP(tbl_model[[#This Row],[LocationID]],tbl_location[LocationID],tbl_location[LocationName],"UNMAPPED_LOCATION")</f>
        <v>Miscellaneous Storage</v>
      </c>
      <c r="F811">
        <v>432</v>
      </c>
      <c r="G811" s="1" t="str">
        <f>tbl_model[[#This Row],[ProductID]] &amp; "-" &amp; tbl_model[[#This Row],[LocationID]]</f>
        <v>828-6</v>
      </c>
    </row>
    <row r="812" spans="1:7">
      <c r="A812">
        <v>828</v>
      </c>
      <c r="B812">
        <v>50</v>
      </c>
      <c r="C812" t="str">
        <f>_xlfn.XLOOKUP(tbl_model[[#This Row],[ProductID]],tbl_product[ProductID],tbl_product[ProductName],"UNMAPPED_PRODUCT")</f>
        <v>HL Road Rear Wheel</v>
      </c>
      <c r="D812" t="str">
        <f>_xlfn.XLOOKUP(tbl_model[[#This Row],[ProductID]],tbl_product[ProductID],tbl_product[ProductNumber],"UNMAPPED_PRODUCT")</f>
        <v>RW-R820</v>
      </c>
      <c r="E812" t="str">
        <f>_xlfn.XLOOKUP(tbl_model[[#This Row],[LocationID]],tbl_location[LocationID],tbl_location[LocationName],"UNMAPPED_LOCATION")</f>
        <v>Subassembly</v>
      </c>
      <c r="F812">
        <v>284</v>
      </c>
      <c r="G812" s="1" t="str">
        <f>tbl_model[[#This Row],[ProductID]] &amp; "-" &amp; tbl_model[[#This Row],[LocationID]]</f>
        <v>828-50</v>
      </c>
    </row>
    <row r="813" spans="1:7">
      <c r="A813">
        <v>829</v>
      </c>
      <c r="B813">
        <v>6</v>
      </c>
      <c r="C813" t="str">
        <f>_xlfn.XLOOKUP(tbl_model[[#This Row],[ProductID]],tbl_product[ProductID],tbl_product[ProductName],"UNMAPPED_PRODUCT")</f>
        <v>Touring Rear Wheel</v>
      </c>
      <c r="D813" t="str">
        <f>_xlfn.XLOOKUP(tbl_model[[#This Row],[ProductID]],tbl_product[ProductID],tbl_product[ProductNumber],"UNMAPPED_PRODUCT")</f>
        <v>RW-T905</v>
      </c>
      <c r="E813" t="str">
        <f>_xlfn.XLOOKUP(tbl_model[[#This Row],[LocationID]],tbl_location[LocationID],tbl_location[LocationName],"UNMAPPED_LOCATION")</f>
        <v>Miscellaneous Storage</v>
      </c>
      <c r="F813">
        <v>265</v>
      </c>
      <c r="G813" s="1" t="str">
        <f>tbl_model[[#This Row],[ProductID]] &amp; "-" &amp; tbl_model[[#This Row],[LocationID]]</f>
        <v>829-6</v>
      </c>
    </row>
    <row r="814" spans="1:7">
      <c r="A814">
        <v>829</v>
      </c>
      <c r="B814">
        <v>50</v>
      </c>
      <c r="C814" t="str">
        <f>_xlfn.XLOOKUP(tbl_model[[#This Row],[ProductID]],tbl_product[ProductID],tbl_product[ProductName],"UNMAPPED_PRODUCT")</f>
        <v>Touring Rear Wheel</v>
      </c>
      <c r="D814" t="str">
        <f>_xlfn.XLOOKUP(tbl_model[[#This Row],[ProductID]],tbl_product[ProductID],tbl_product[ProductNumber],"UNMAPPED_PRODUCT")</f>
        <v>RW-T905</v>
      </c>
      <c r="E814" t="str">
        <f>_xlfn.XLOOKUP(tbl_model[[#This Row],[LocationID]],tbl_location[LocationID],tbl_location[LocationName],"UNMAPPED_LOCATION")</f>
        <v>Subassembly</v>
      </c>
      <c r="F814">
        <v>476</v>
      </c>
      <c r="G814" s="1" t="str">
        <f>tbl_model[[#This Row],[ProductID]] &amp; "-" &amp; tbl_model[[#This Row],[LocationID]]</f>
        <v>829-50</v>
      </c>
    </row>
    <row r="815" spans="1:7">
      <c r="A815">
        <v>841</v>
      </c>
      <c r="B815">
        <v>7</v>
      </c>
      <c r="C815" t="str">
        <f>_xlfn.XLOOKUP(tbl_model[[#This Row],[ProductID]],tbl_product[ProductID],tbl_product[ProductName],"UNMAPPED_PRODUCT")</f>
        <v>Men's Sports Shorts, S</v>
      </c>
      <c r="D815" t="str">
        <f>_xlfn.XLOOKUP(tbl_model[[#This Row],[ProductID]],tbl_product[ProductID],tbl_product[ProductNumber],"UNMAPPED_PRODUCT")</f>
        <v>SH-M897-S</v>
      </c>
      <c r="E815" t="str">
        <f>_xlfn.XLOOKUP(tbl_model[[#This Row],[LocationID]],tbl_location[LocationID],tbl_location[LocationName],"UNMAPPED_LOCATION")</f>
        <v>Finished Goods Storage</v>
      </c>
      <c r="F815">
        <v>288</v>
      </c>
      <c r="G815" s="1" t="str">
        <f>tbl_model[[#This Row],[ProductID]] &amp; "-" &amp; tbl_model[[#This Row],[LocationID]]</f>
        <v>841-7</v>
      </c>
    </row>
    <row r="816" spans="1:7">
      <c r="A816">
        <v>842</v>
      </c>
      <c r="B816">
        <v>7</v>
      </c>
      <c r="C816" t="str">
        <f>_xlfn.XLOOKUP(tbl_model[[#This Row],[ProductID]],tbl_product[ProductID],tbl_product[ProductName],"UNMAPPED_PRODUCT")</f>
        <v>Touring-Panniers, Large</v>
      </c>
      <c r="D816" t="str">
        <f>_xlfn.XLOOKUP(tbl_model[[#This Row],[ProductID]],tbl_product[ProductID],tbl_product[ProductNumber],"UNMAPPED_PRODUCT")</f>
        <v>PA-T100</v>
      </c>
      <c r="E816" t="str">
        <f>_xlfn.XLOOKUP(tbl_model[[#This Row],[LocationID]],tbl_location[LocationID],tbl_location[LocationName],"UNMAPPED_LOCATION")</f>
        <v>Finished Goods Storage</v>
      </c>
      <c r="F816">
        <v>72</v>
      </c>
      <c r="G816" s="1" t="str">
        <f>tbl_model[[#This Row],[ProductID]] &amp; "-" &amp; tbl_model[[#This Row],[LocationID]]</f>
        <v>842-7</v>
      </c>
    </row>
    <row r="817" spans="1:7">
      <c r="A817">
        <v>843</v>
      </c>
      <c r="B817">
        <v>7</v>
      </c>
      <c r="C817" t="str">
        <f>_xlfn.XLOOKUP(tbl_model[[#This Row],[ProductID]],tbl_product[ProductID],tbl_product[ProductName],"UNMAPPED_PRODUCT")</f>
        <v>Cable Lock</v>
      </c>
      <c r="D817" t="str">
        <f>_xlfn.XLOOKUP(tbl_model[[#This Row],[ProductID]],tbl_product[ProductID],tbl_product[ProductNumber],"UNMAPPED_PRODUCT")</f>
        <v>LO-C100</v>
      </c>
      <c r="E817" t="str">
        <f>_xlfn.XLOOKUP(tbl_model[[#This Row],[LocationID]],tbl_location[LocationID],tbl_location[LocationName],"UNMAPPED_LOCATION")</f>
        <v>Finished Goods Storage</v>
      </c>
      <c r="F817">
        <v>252</v>
      </c>
      <c r="G817" s="1" t="str">
        <f>tbl_model[[#This Row],[ProductID]] &amp; "-" &amp; tbl_model[[#This Row],[LocationID]]</f>
        <v>843-7</v>
      </c>
    </row>
    <row r="818" spans="1:7">
      <c r="A818">
        <v>844</v>
      </c>
      <c r="B818">
        <v>7</v>
      </c>
      <c r="C818" t="str">
        <f>_xlfn.XLOOKUP(tbl_model[[#This Row],[ProductID]],tbl_product[ProductID],tbl_product[ProductName],"UNMAPPED_PRODUCT")</f>
        <v>Minipump</v>
      </c>
      <c r="D818" t="str">
        <f>_xlfn.XLOOKUP(tbl_model[[#This Row],[ProductID]],tbl_product[ProductID],tbl_product[ProductNumber],"UNMAPPED_PRODUCT")</f>
        <v>PU-0452</v>
      </c>
      <c r="E818" t="str">
        <f>_xlfn.XLOOKUP(tbl_model[[#This Row],[LocationID]],tbl_location[LocationID],tbl_location[LocationName],"UNMAPPED_LOCATION")</f>
        <v>Finished Goods Storage</v>
      </c>
      <c r="F818">
        <v>288</v>
      </c>
      <c r="G818" s="1" t="str">
        <f>tbl_model[[#This Row],[ProductID]] &amp; "-" &amp; tbl_model[[#This Row],[LocationID]]</f>
        <v>844-7</v>
      </c>
    </row>
    <row r="819" spans="1:7">
      <c r="A819">
        <v>845</v>
      </c>
      <c r="B819">
        <v>7</v>
      </c>
      <c r="C819" t="str">
        <f>_xlfn.XLOOKUP(tbl_model[[#This Row],[ProductID]],tbl_product[ProductID],tbl_product[ProductName],"UNMAPPED_PRODUCT")</f>
        <v>Mountain Pump</v>
      </c>
      <c r="D819" t="str">
        <f>_xlfn.XLOOKUP(tbl_model[[#This Row],[ProductID]],tbl_product[ProductID],tbl_product[ProductNumber],"UNMAPPED_PRODUCT")</f>
        <v>PU-M044</v>
      </c>
      <c r="E819" t="str">
        <f>_xlfn.XLOOKUP(tbl_model[[#This Row],[LocationID]],tbl_location[LocationID],tbl_location[LocationName],"UNMAPPED_LOCATION")</f>
        <v>Finished Goods Storage</v>
      </c>
      <c r="F819">
        <v>324</v>
      </c>
      <c r="G819" s="1" t="str">
        <f>tbl_model[[#This Row],[ProductID]] &amp; "-" &amp; tbl_model[[#This Row],[LocationID]]</f>
        <v>845-7</v>
      </c>
    </row>
    <row r="820" spans="1:7">
      <c r="A820">
        <v>846</v>
      </c>
      <c r="B820">
        <v>7</v>
      </c>
      <c r="C820" t="str">
        <f>_xlfn.XLOOKUP(tbl_model[[#This Row],[ProductID]],tbl_product[ProductID],tbl_product[ProductName],"UNMAPPED_PRODUCT")</f>
        <v>Taillights - Battery-Powered</v>
      </c>
      <c r="D820" t="str">
        <f>_xlfn.XLOOKUP(tbl_model[[#This Row],[ProductID]],tbl_product[ProductID],tbl_product[ProductNumber],"UNMAPPED_PRODUCT")</f>
        <v>LT-T990</v>
      </c>
      <c r="E820" t="str">
        <f>_xlfn.XLOOKUP(tbl_model[[#This Row],[LocationID]],tbl_location[LocationID],tbl_location[LocationName],"UNMAPPED_LOCATION")</f>
        <v>Finished Goods Storage</v>
      </c>
      <c r="F820">
        <v>144</v>
      </c>
      <c r="G820" s="1" t="str">
        <f>tbl_model[[#This Row],[ProductID]] &amp; "-" &amp; tbl_model[[#This Row],[LocationID]]</f>
        <v>846-7</v>
      </c>
    </row>
    <row r="821" spans="1:7">
      <c r="A821">
        <v>847</v>
      </c>
      <c r="B821">
        <v>7</v>
      </c>
      <c r="C821" t="str">
        <f>_xlfn.XLOOKUP(tbl_model[[#This Row],[ProductID]],tbl_product[ProductID],tbl_product[ProductName],"UNMAPPED_PRODUCT")</f>
        <v>Headlights - Dual-Beam</v>
      </c>
      <c r="D821" t="str">
        <f>_xlfn.XLOOKUP(tbl_model[[#This Row],[ProductID]],tbl_product[ProductID],tbl_product[ProductNumber],"UNMAPPED_PRODUCT")</f>
        <v>LT-H902</v>
      </c>
      <c r="E821" t="str">
        <f>_xlfn.XLOOKUP(tbl_model[[#This Row],[LocationID]],tbl_location[LocationID],tbl_location[LocationName],"UNMAPPED_LOCATION")</f>
        <v>Finished Goods Storage</v>
      </c>
      <c r="F821">
        <v>180</v>
      </c>
      <c r="G821" s="1" t="str">
        <f>tbl_model[[#This Row],[ProductID]] &amp; "-" &amp; tbl_model[[#This Row],[LocationID]]</f>
        <v>847-7</v>
      </c>
    </row>
    <row r="822" spans="1:7">
      <c r="A822">
        <v>848</v>
      </c>
      <c r="B822">
        <v>7</v>
      </c>
      <c r="C822" t="str">
        <f>_xlfn.XLOOKUP(tbl_model[[#This Row],[ProductID]],tbl_product[ProductID],tbl_product[ProductName],"UNMAPPED_PRODUCT")</f>
        <v>Headlights - Weatherproof</v>
      </c>
      <c r="D822" t="str">
        <f>_xlfn.XLOOKUP(tbl_model[[#This Row],[ProductID]],tbl_product[ProductID],tbl_product[ProductNumber],"UNMAPPED_PRODUCT")</f>
        <v>LT-H903</v>
      </c>
      <c r="E822" t="str">
        <f>_xlfn.XLOOKUP(tbl_model[[#This Row],[LocationID]],tbl_location[LocationID],tbl_location[LocationName],"UNMAPPED_LOCATION")</f>
        <v>Finished Goods Storage</v>
      </c>
      <c r="F822">
        <v>216</v>
      </c>
      <c r="G822" s="1" t="str">
        <f>tbl_model[[#This Row],[ProductID]] &amp; "-" &amp; tbl_model[[#This Row],[LocationID]]</f>
        <v>848-7</v>
      </c>
    </row>
    <row r="823" spans="1:7">
      <c r="A823">
        <v>849</v>
      </c>
      <c r="B823">
        <v>7</v>
      </c>
      <c r="C823" t="str">
        <f>_xlfn.XLOOKUP(tbl_model[[#This Row],[ProductID]],tbl_product[ProductID],tbl_product[ProductName],"UNMAPPED_PRODUCT")</f>
        <v>Men's Sports Shorts, M</v>
      </c>
      <c r="D823" t="str">
        <f>_xlfn.XLOOKUP(tbl_model[[#This Row],[ProductID]],tbl_product[ProductID],tbl_product[ProductNumber],"UNMAPPED_PRODUCT")</f>
        <v>SH-M897-M</v>
      </c>
      <c r="E823" t="str">
        <f>_xlfn.XLOOKUP(tbl_model[[#This Row],[LocationID]],tbl_location[LocationID],tbl_location[LocationName],"UNMAPPED_LOCATION")</f>
        <v>Finished Goods Storage</v>
      </c>
      <c r="F823">
        <v>108</v>
      </c>
      <c r="G823" s="1" t="str">
        <f>tbl_model[[#This Row],[ProductID]] &amp; "-" &amp; tbl_model[[#This Row],[LocationID]]</f>
        <v>849-7</v>
      </c>
    </row>
    <row r="824" spans="1:7">
      <c r="A824">
        <v>850</v>
      </c>
      <c r="B824">
        <v>7</v>
      </c>
      <c r="C824" t="str">
        <f>_xlfn.XLOOKUP(tbl_model[[#This Row],[ProductID]],tbl_product[ProductID],tbl_product[ProductName],"UNMAPPED_PRODUCT")</f>
        <v>Men's Sports Shorts, L</v>
      </c>
      <c r="D824" t="str">
        <f>_xlfn.XLOOKUP(tbl_model[[#This Row],[ProductID]],tbl_product[ProductID],tbl_product[ProductNumber],"UNMAPPED_PRODUCT")</f>
        <v>SH-M897-L</v>
      </c>
      <c r="E824" t="str">
        <f>_xlfn.XLOOKUP(tbl_model[[#This Row],[LocationID]],tbl_location[LocationID],tbl_location[LocationName],"UNMAPPED_LOCATION")</f>
        <v>Finished Goods Storage</v>
      </c>
      <c r="F824">
        <v>144</v>
      </c>
      <c r="G824" s="1" t="str">
        <f>tbl_model[[#This Row],[ProductID]] &amp; "-" &amp; tbl_model[[#This Row],[LocationID]]</f>
        <v>850-7</v>
      </c>
    </row>
    <row r="825" spans="1:7">
      <c r="A825">
        <v>851</v>
      </c>
      <c r="B825">
        <v>7</v>
      </c>
      <c r="C825" t="str">
        <f>_xlfn.XLOOKUP(tbl_model[[#This Row],[ProductID]],tbl_product[ProductID],tbl_product[ProductName],"UNMAPPED_PRODUCT")</f>
        <v>Men's Sports Shorts, XL</v>
      </c>
      <c r="D825" t="str">
        <f>_xlfn.XLOOKUP(tbl_model[[#This Row],[ProductID]],tbl_product[ProductID],tbl_product[ProductNumber],"UNMAPPED_PRODUCT")</f>
        <v>SH-M897-X</v>
      </c>
      <c r="E825" t="str">
        <f>_xlfn.XLOOKUP(tbl_model[[#This Row],[LocationID]],tbl_location[LocationID],tbl_location[LocationName],"UNMAPPED_LOCATION")</f>
        <v>Finished Goods Storage</v>
      </c>
      <c r="F825">
        <v>180</v>
      </c>
      <c r="G825" s="1" t="str">
        <f>tbl_model[[#This Row],[ProductID]] &amp; "-" &amp; tbl_model[[#This Row],[LocationID]]</f>
        <v>851-7</v>
      </c>
    </row>
    <row r="826" spans="1:7">
      <c r="A826">
        <v>852</v>
      </c>
      <c r="B826">
        <v>7</v>
      </c>
      <c r="C826" t="str">
        <f>_xlfn.XLOOKUP(tbl_model[[#This Row],[ProductID]],tbl_product[ProductID],tbl_product[ProductName],"UNMAPPED_PRODUCT")</f>
        <v>Women's Tights, S</v>
      </c>
      <c r="D826" t="str">
        <f>_xlfn.XLOOKUP(tbl_model[[#This Row],[ProductID]],tbl_product[ProductID],tbl_product[ProductNumber],"UNMAPPED_PRODUCT")</f>
        <v>TG-W091-S</v>
      </c>
      <c r="E826" t="str">
        <f>_xlfn.XLOOKUP(tbl_model[[#This Row],[LocationID]],tbl_location[LocationID],tbl_location[LocationName],"UNMAPPED_LOCATION")</f>
        <v>Finished Goods Storage</v>
      </c>
      <c r="F826">
        <v>324</v>
      </c>
      <c r="G826" s="1" t="str">
        <f>tbl_model[[#This Row],[ProductID]] &amp; "-" &amp; tbl_model[[#This Row],[LocationID]]</f>
        <v>852-7</v>
      </c>
    </row>
    <row r="827" spans="1:7">
      <c r="A827">
        <v>853</v>
      </c>
      <c r="B827">
        <v>7</v>
      </c>
      <c r="C827" t="str">
        <f>_xlfn.XLOOKUP(tbl_model[[#This Row],[ProductID]],tbl_product[ProductID],tbl_product[ProductName],"UNMAPPED_PRODUCT")</f>
        <v>Women's Tights, M</v>
      </c>
      <c r="D827" t="str">
        <f>_xlfn.XLOOKUP(tbl_model[[#This Row],[ProductID]],tbl_product[ProductID],tbl_product[ProductNumber],"UNMAPPED_PRODUCT")</f>
        <v>TG-W091-M</v>
      </c>
      <c r="E827" t="str">
        <f>_xlfn.XLOOKUP(tbl_model[[#This Row],[LocationID]],tbl_location[LocationID],tbl_location[LocationName],"UNMAPPED_LOCATION")</f>
        <v>Finished Goods Storage</v>
      </c>
      <c r="F827">
        <v>0</v>
      </c>
      <c r="G827" s="1" t="str">
        <f>tbl_model[[#This Row],[ProductID]] &amp; "-" &amp; tbl_model[[#This Row],[LocationID]]</f>
        <v>853-7</v>
      </c>
    </row>
    <row r="828" spans="1:7">
      <c r="A828">
        <v>854</v>
      </c>
      <c r="B828">
        <v>7</v>
      </c>
      <c r="C828" t="str">
        <f>_xlfn.XLOOKUP(tbl_model[[#This Row],[ProductID]],tbl_product[ProductID],tbl_product[ProductName],"UNMAPPED_PRODUCT")</f>
        <v>Women's Tights, L</v>
      </c>
      <c r="D828" t="str">
        <f>_xlfn.XLOOKUP(tbl_model[[#This Row],[ProductID]],tbl_product[ProductID],tbl_product[ProductNumber],"UNMAPPED_PRODUCT")</f>
        <v>TG-W091-L</v>
      </c>
      <c r="E828" t="str">
        <f>_xlfn.XLOOKUP(tbl_model[[#This Row],[LocationID]],tbl_location[LocationID],tbl_location[LocationName],"UNMAPPED_LOCATION")</f>
        <v>Finished Goods Storage</v>
      </c>
      <c r="F828">
        <v>36</v>
      </c>
      <c r="G828" s="1" t="str">
        <f>tbl_model[[#This Row],[ProductID]] &amp; "-" &amp; tbl_model[[#This Row],[LocationID]]</f>
        <v>854-7</v>
      </c>
    </row>
    <row r="829" spans="1:7">
      <c r="A829">
        <v>855</v>
      </c>
      <c r="B829">
        <v>7</v>
      </c>
      <c r="C829" t="str">
        <f>_xlfn.XLOOKUP(tbl_model[[#This Row],[ProductID]],tbl_product[ProductID],tbl_product[ProductName],"UNMAPPED_PRODUCT")</f>
        <v>Men's Bib-Shorts, S</v>
      </c>
      <c r="D829" t="str">
        <f>_xlfn.XLOOKUP(tbl_model[[#This Row],[ProductID]],tbl_product[ProductID],tbl_product[ProductNumber],"UNMAPPED_PRODUCT")</f>
        <v>SB-M891-S</v>
      </c>
      <c r="E829" t="str">
        <f>_xlfn.XLOOKUP(tbl_model[[#This Row],[LocationID]],tbl_location[LocationID],tbl_location[LocationName],"UNMAPPED_LOCATION")</f>
        <v>Finished Goods Storage</v>
      </c>
      <c r="F829">
        <v>72</v>
      </c>
      <c r="G829" s="1" t="str">
        <f>tbl_model[[#This Row],[ProductID]] &amp; "-" &amp; tbl_model[[#This Row],[LocationID]]</f>
        <v>855-7</v>
      </c>
    </row>
    <row r="830" spans="1:7">
      <c r="A830">
        <v>856</v>
      </c>
      <c r="B830">
        <v>7</v>
      </c>
      <c r="C830" t="str">
        <f>_xlfn.XLOOKUP(tbl_model[[#This Row],[ProductID]],tbl_product[ProductID],tbl_product[ProductName],"UNMAPPED_PRODUCT")</f>
        <v>Men's Bib-Shorts, M</v>
      </c>
      <c r="D830" t="str">
        <f>_xlfn.XLOOKUP(tbl_model[[#This Row],[ProductID]],tbl_product[ProductID],tbl_product[ProductNumber],"UNMAPPED_PRODUCT")</f>
        <v>SB-M891-M</v>
      </c>
      <c r="E830" t="str">
        <f>_xlfn.XLOOKUP(tbl_model[[#This Row],[LocationID]],tbl_location[LocationID],tbl_location[LocationName],"UNMAPPED_LOCATION")</f>
        <v>Finished Goods Storage</v>
      </c>
      <c r="F830">
        <v>108</v>
      </c>
      <c r="G830" s="1" t="str">
        <f>tbl_model[[#This Row],[ProductID]] &amp; "-" &amp; tbl_model[[#This Row],[LocationID]]</f>
        <v>856-7</v>
      </c>
    </row>
    <row r="831" spans="1:7">
      <c r="A831">
        <v>857</v>
      </c>
      <c r="B831">
        <v>7</v>
      </c>
      <c r="C831" t="str">
        <f>_xlfn.XLOOKUP(tbl_model[[#This Row],[ProductID]],tbl_product[ProductID],tbl_product[ProductName],"UNMAPPED_PRODUCT")</f>
        <v>Men's Bib-Shorts, L</v>
      </c>
      <c r="D831" t="str">
        <f>_xlfn.XLOOKUP(tbl_model[[#This Row],[ProductID]],tbl_product[ProductID],tbl_product[ProductNumber],"UNMAPPED_PRODUCT")</f>
        <v>SB-M891-L</v>
      </c>
      <c r="E831" t="str">
        <f>_xlfn.XLOOKUP(tbl_model[[#This Row],[LocationID]],tbl_location[LocationID],tbl_location[LocationName],"UNMAPPED_LOCATION")</f>
        <v>Finished Goods Storage</v>
      </c>
      <c r="F831">
        <v>144</v>
      </c>
      <c r="G831" s="1" t="str">
        <f>tbl_model[[#This Row],[ProductID]] &amp; "-" &amp; tbl_model[[#This Row],[LocationID]]</f>
        <v>857-7</v>
      </c>
    </row>
    <row r="832" spans="1:7">
      <c r="A832">
        <v>858</v>
      </c>
      <c r="B832">
        <v>7</v>
      </c>
      <c r="C832" t="str">
        <f>_xlfn.XLOOKUP(tbl_model[[#This Row],[ProductID]],tbl_product[ProductID],tbl_product[ProductName],"UNMAPPED_PRODUCT")</f>
        <v>Half-Finger Gloves, S</v>
      </c>
      <c r="D832" t="str">
        <f>_xlfn.XLOOKUP(tbl_model[[#This Row],[ProductID]],tbl_product[ProductID],tbl_product[ProductNumber],"UNMAPPED_PRODUCT")</f>
        <v>GL-H102-S</v>
      </c>
      <c r="E832" t="str">
        <f>_xlfn.XLOOKUP(tbl_model[[#This Row],[LocationID]],tbl_location[LocationID],tbl_location[LocationName],"UNMAPPED_LOCATION")</f>
        <v>Finished Goods Storage</v>
      </c>
      <c r="F832">
        <v>324</v>
      </c>
      <c r="G832" s="1" t="str">
        <f>tbl_model[[#This Row],[ProductID]] &amp; "-" &amp; tbl_model[[#This Row],[LocationID]]</f>
        <v>858-7</v>
      </c>
    </row>
    <row r="833" spans="1:7">
      <c r="A833">
        <v>859</v>
      </c>
      <c r="B833">
        <v>7</v>
      </c>
      <c r="C833" t="str">
        <f>_xlfn.XLOOKUP(tbl_model[[#This Row],[ProductID]],tbl_product[ProductID],tbl_product[ProductName],"UNMAPPED_PRODUCT")</f>
        <v>Half-Finger Gloves, M</v>
      </c>
      <c r="D833" t="str">
        <f>_xlfn.XLOOKUP(tbl_model[[#This Row],[ProductID]],tbl_product[ProductID],tbl_product[ProductNumber],"UNMAPPED_PRODUCT")</f>
        <v>GL-H102-M</v>
      </c>
      <c r="E833" t="str">
        <f>_xlfn.XLOOKUP(tbl_model[[#This Row],[LocationID]],tbl_location[LocationID],tbl_location[LocationName],"UNMAPPED_LOCATION")</f>
        <v>Finished Goods Storage</v>
      </c>
      <c r="F833">
        <v>0</v>
      </c>
      <c r="G833" s="1" t="str">
        <f>tbl_model[[#This Row],[ProductID]] &amp; "-" &amp; tbl_model[[#This Row],[LocationID]]</f>
        <v>859-7</v>
      </c>
    </row>
    <row r="834" spans="1:7">
      <c r="A834">
        <v>860</v>
      </c>
      <c r="B834">
        <v>7</v>
      </c>
      <c r="C834" t="str">
        <f>_xlfn.XLOOKUP(tbl_model[[#This Row],[ProductID]],tbl_product[ProductID],tbl_product[ProductName],"UNMAPPED_PRODUCT")</f>
        <v>Half-Finger Gloves, L</v>
      </c>
      <c r="D834" t="str">
        <f>_xlfn.XLOOKUP(tbl_model[[#This Row],[ProductID]],tbl_product[ProductID],tbl_product[ProductNumber],"UNMAPPED_PRODUCT")</f>
        <v>GL-H102-L</v>
      </c>
      <c r="E834" t="str">
        <f>_xlfn.XLOOKUP(tbl_model[[#This Row],[LocationID]],tbl_location[LocationID],tbl_location[LocationName],"UNMAPPED_LOCATION")</f>
        <v>Finished Goods Storage</v>
      </c>
      <c r="F834">
        <v>36</v>
      </c>
      <c r="G834" s="1" t="str">
        <f>tbl_model[[#This Row],[ProductID]] &amp; "-" &amp; tbl_model[[#This Row],[LocationID]]</f>
        <v>860-7</v>
      </c>
    </row>
    <row r="835" spans="1:7">
      <c r="A835">
        <v>861</v>
      </c>
      <c r="B835">
        <v>7</v>
      </c>
      <c r="C835" t="str">
        <f>_xlfn.XLOOKUP(tbl_model[[#This Row],[ProductID]],tbl_product[ProductID],tbl_product[ProductName],"UNMAPPED_PRODUCT")</f>
        <v>Full-Finger Gloves, S</v>
      </c>
      <c r="D835" t="str">
        <f>_xlfn.XLOOKUP(tbl_model[[#This Row],[ProductID]],tbl_product[ProductID],tbl_product[ProductNumber],"UNMAPPED_PRODUCT")</f>
        <v>GL-F110-S</v>
      </c>
      <c r="E835" t="str">
        <f>_xlfn.XLOOKUP(tbl_model[[#This Row],[LocationID]],tbl_location[LocationID],tbl_location[LocationName],"UNMAPPED_LOCATION")</f>
        <v>Finished Goods Storage</v>
      </c>
      <c r="F835">
        <v>72</v>
      </c>
      <c r="G835" s="1" t="str">
        <f>tbl_model[[#This Row],[ProductID]] &amp; "-" &amp; tbl_model[[#This Row],[LocationID]]</f>
        <v>861-7</v>
      </c>
    </row>
    <row r="836" spans="1:7">
      <c r="A836">
        <v>862</v>
      </c>
      <c r="B836">
        <v>7</v>
      </c>
      <c r="C836" t="str">
        <f>_xlfn.XLOOKUP(tbl_model[[#This Row],[ProductID]],tbl_product[ProductID],tbl_product[ProductName],"UNMAPPED_PRODUCT")</f>
        <v>Full-Finger Gloves, M</v>
      </c>
      <c r="D836" t="str">
        <f>_xlfn.XLOOKUP(tbl_model[[#This Row],[ProductID]],tbl_product[ProductID],tbl_product[ProductNumber],"UNMAPPED_PRODUCT")</f>
        <v>GL-F110-M</v>
      </c>
      <c r="E836" t="str">
        <f>_xlfn.XLOOKUP(tbl_model[[#This Row],[LocationID]],tbl_location[LocationID],tbl_location[LocationName],"UNMAPPED_LOCATION")</f>
        <v>Finished Goods Storage</v>
      </c>
      <c r="F836">
        <v>108</v>
      </c>
      <c r="G836" s="1" t="str">
        <f>tbl_model[[#This Row],[ProductID]] &amp; "-" &amp; tbl_model[[#This Row],[LocationID]]</f>
        <v>862-7</v>
      </c>
    </row>
    <row r="837" spans="1:7">
      <c r="A837">
        <v>863</v>
      </c>
      <c r="B837">
        <v>7</v>
      </c>
      <c r="C837" t="str">
        <f>_xlfn.XLOOKUP(tbl_model[[#This Row],[ProductID]],tbl_product[ProductID],tbl_product[ProductName],"UNMAPPED_PRODUCT")</f>
        <v>Full-Finger Gloves, L</v>
      </c>
      <c r="D837" t="str">
        <f>_xlfn.XLOOKUP(tbl_model[[#This Row],[ProductID]],tbl_product[ProductID],tbl_product[ProductNumber],"UNMAPPED_PRODUCT")</f>
        <v>GL-F110-L</v>
      </c>
      <c r="E837" t="str">
        <f>_xlfn.XLOOKUP(tbl_model[[#This Row],[LocationID]],tbl_location[LocationID],tbl_location[LocationName],"UNMAPPED_LOCATION")</f>
        <v>Finished Goods Storage</v>
      </c>
      <c r="F837">
        <v>144</v>
      </c>
      <c r="G837" s="1" t="str">
        <f>tbl_model[[#This Row],[ProductID]] &amp; "-" &amp; tbl_model[[#This Row],[LocationID]]</f>
        <v>863-7</v>
      </c>
    </row>
    <row r="838" spans="1:7">
      <c r="A838">
        <v>864</v>
      </c>
      <c r="B838">
        <v>7</v>
      </c>
      <c r="C838" t="str">
        <f>_xlfn.XLOOKUP(tbl_model[[#This Row],[ProductID]],tbl_product[ProductID],tbl_product[ProductName],"UNMAPPED_PRODUCT")</f>
        <v>Classic Vest, S</v>
      </c>
      <c r="D838" t="str">
        <f>_xlfn.XLOOKUP(tbl_model[[#This Row],[ProductID]],tbl_product[ProductID],tbl_product[ProductNumber],"UNMAPPED_PRODUCT")</f>
        <v>VE-C304-S</v>
      </c>
      <c r="E838" t="str">
        <f>_xlfn.XLOOKUP(tbl_model[[#This Row],[LocationID]],tbl_location[LocationID],tbl_location[LocationName],"UNMAPPED_LOCATION")</f>
        <v>Finished Goods Storage</v>
      </c>
      <c r="F838">
        <v>180</v>
      </c>
      <c r="G838" s="1" t="str">
        <f>tbl_model[[#This Row],[ProductID]] &amp; "-" &amp; tbl_model[[#This Row],[LocationID]]</f>
        <v>864-7</v>
      </c>
    </row>
    <row r="839" spans="1:7">
      <c r="A839">
        <v>865</v>
      </c>
      <c r="B839">
        <v>7</v>
      </c>
      <c r="C839" t="str">
        <f>_xlfn.XLOOKUP(tbl_model[[#This Row],[ProductID]],tbl_product[ProductID],tbl_product[ProductName],"UNMAPPED_PRODUCT")</f>
        <v>Classic Vest, M</v>
      </c>
      <c r="D839" t="str">
        <f>_xlfn.XLOOKUP(tbl_model[[#This Row],[ProductID]],tbl_product[ProductID],tbl_product[ProductNumber],"UNMAPPED_PRODUCT")</f>
        <v>VE-C304-M</v>
      </c>
      <c r="E839" t="str">
        <f>_xlfn.XLOOKUP(tbl_model[[#This Row],[LocationID]],tbl_location[LocationID],tbl_location[LocationName],"UNMAPPED_LOCATION")</f>
        <v>Finished Goods Storage</v>
      </c>
      <c r="F839">
        <v>216</v>
      </c>
      <c r="G839" s="1" t="str">
        <f>tbl_model[[#This Row],[ProductID]] &amp; "-" &amp; tbl_model[[#This Row],[LocationID]]</f>
        <v>865-7</v>
      </c>
    </row>
    <row r="840" spans="1:7">
      <c r="A840">
        <v>866</v>
      </c>
      <c r="B840">
        <v>7</v>
      </c>
      <c r="C840" t="str">
        <f>_xlfn.XLOOKUP(tbl_model[[#This Row],[ProductID]],tbl_product[ProductID],tbl_product[ProductName],"UNMAPPED_PRODUCT")</f>
        <v>Classic Vest, L</v>
      </c>
      <c r="D840" t="str">
        <f>_xlfn.XLOOKUP(tbl_model[[#This Row],[ProductID]],tbl_product[ProductID],tbl_product[ProductNumber],"UNMAPPED_PRODUCT")</f>
        <v>VE-C304-L</v>
      </c>
      <c r="E840" t="str">
        <f>_xlfn.XLOOKUP(tbl_model[[#This Row],[LocationID]],tbl_location[LocationID],tbl_location[LocationName],"UNMAPPED_LOCATION")</f>
        <v>Finished Goods Storage</v>
      </c>
      <c r="F840">
        <v>252</v>
      </c>
      <c r="G840" s="1" t="str">
        <f>tbl_model[[#This Row],[ProductID]] &amp; "-" &amp; tbl_model[[#This Row],[LocationID]]</f>
        <v>866-7</v>
      </c>
    </row>
    <row r="841" spans="1:7">
      <c r="A841">
        <v>867</v>
      </c>
      <c r="B841">
        <v>7</v>
      </c>
      <c r="C841" t="str">
        <f>_xlfn.XLOOKUP(tbl_model[[#This Row],[ProductID]],tbl_product[ProductID],tbl_product[ProductName],"UNMAPPED_PRODUCT")</f>
        <v>Women's Mountain Shorts, S</v>
      </c>
      <c r="D841" t="str">
        <f>_xlfn.XLOOKUP(tbl_model[[#This Row],[ProductID]],tbl_product[ProductID],tbl_product[ProductNumber],"UNMAPPED_PRODUCT")</f>
        <v>SH-W890-S</v>
      </c>
      <c r="E841" t="str">
        <f>_xlfn.XLOOKUP(tbl_model[[#This Row],[LocationID]],tbl_location[LocationID],tbl_location[LocationName],"UNMAPPED_LOCATION")</f>
        <v>Finished Goods Storage</v>
      </c>
      <c r="F841">
        <v>216</v>
      </c>
      <c r="G841" s="1" t="str">
        <f>tbl_model[[#This Row],[ProductID]] &amp; "-" &amp; tbl_model[[#This Row],[LocationID]]</f>
        <v>867-7</v>
      </c>
    </row>
    <row r="842" spans="1:7">
      <c r="A842">
        <v>868</v>
      </c>
      <c r="B842">
        <v>7</v>
      </c>
      <c r="C842" t="str">
        <f>_xlfn.XLOOKUP(tbl_model[[#This Row],[ProductID]],tbl_product[ProductID],tbl_product[ProductName],"UNMAPPED_PRODUCT")</f>
        <v>Women's Mountain Shorts, M</v>
      </c>
      <c r="D842" t="str">
        <f>_xlfn.XLOOKUP(tbl_model[[#This Row],[ProductID]],tbl_product[ProductID],tbl_product[ProductNumber],"UNMAPPED_PRODUCT")</f>
        <v>SH-W890-M</v>
      </c>
      <c r="E842" t="str">
        <f>_xlfn.XLOOKUP(tbl_model[[#This Row],[LocationID]],tbl_location[LocationID],tbl_location[LocationName],"UNMAPPED_LOCATION")</f>
        <v>Finished Goods Storage</v>
      </c>
      <c r="F842">
        <v>252</v>
      </c>
      <c r="G842" s="1" t="str">
        <f>tbl_model[[#This Row],[ProductID]] &amp; "-" &amp; tbl_model[[#This Row],[LocationID]]</f>
        <v>868-7</v>
      </c>
    </row>
    <row r="843" spans="1:7">
      <c r="A843">
        <v>869</v>
      </c>
      <c r="B843">
        <v>7</v>
      </c>
      <c r="C843" t="str">
        <f>_xlfn.XLOOKUP(tbl_model[[#This Row],[ProductID]],tbl_product[ProductID],tbl_product[ProductName],"UNMAPPED_PRODUCT")</f>
        <v>Women's Mountain Shorts, L</v>
      </c>
      <c r="D843" t="str">
        <f>_xlfn.XLOOKUP(tbl_model[[#This Row],[ProductID]],tbl_product[ProductID],tbl_product[ProductNumber],"UNMAPPED_PRODUCT")</f>
        <v>SH-W890-L</v>
      </c>
      <c r="E843" t="str">
        <f>_xlfn.XLOOKUP(tbl_model[[#This Row],[LocationID]],tbl_location[LocationID],tbl_location[LocationName],"UNMAPPED_LOCATION")</f>
        <v>Finished Goods Storage</v>
      </c>
      <c r="F843">
        <v>288</v>
      </c>
      <c r="G843" s="1" t="str">
        <f>tbl_model[[#This Row],[ProductID]] &amp; "-" &amp; tbl_model[[#This Row],[LocationID]]</f>
        <v>869-7</v>
      </c>
    </row>
    <row r="844" spans="1:7">
      <c r="A844">
        <v>870</v>
      </c>
      <c r="B844">
        <v>7</v>
      </c>
      <c r="C844" t="str">
        <f>_xlfn.XLOOKUP(tbl_model[[#This Row],[ProductID]],tbl_product[ProductID],tbl_product[ProductName],"UNMAPPED_PRODUCT")</f>
        <v>Water Bottle - 30 oz.</v>
      </c>
      <c r="D844" t="str">
        <f>_xlfn.XLOOKUP(tbl_model[[#This Row],[ProductID]],tbl_product[ProductID],tbl_product[ProductNumber],"UNMAPPED_PRODUCT")</f>
        <v>WB-H098</v>
      </c>
      <c r="E844" t="str">
        <f>_xlfn.XLOOKUP(tbl_model[[#This Row],[LocationID]],tbl_location[LocationID],tbl_location[LocationName],"UNMAPPED_LOCATION")</f>
        <v>Finished Goods Storage</v>
      </c>
      <c r="F844">
        <v>252</v>
      </c>
      <c r="G844" s="1" t="str">
        <f>tbl_model[[#This Row],[ProductID]] &amp; "-" &amp; tbl_model[[#This Row],[LocationID]]</f>
        <v>870-7</v>
      </c>
    </row>
    <row r="845" spans="1:7">
      <c r="A845">
        <v>871</v>
      </c>
      <c r="B845">
        <v>7</v>
      </c>
      <c r="C845" t="str">
        <f>_xlfn.XLOOKUP(tbl_model[[#This Row],[ProductID]],tbl_product[ProductID],tbl_product[ProductName],"UNMAPPED_PRODUCT")</f>
        <v>Mountain Bottle Cage</v>
      </c>
      <c r="D845" t="str">
        <f>_xlfn.XLOOKUP(tbl_model[[#This Row],[ProductID]],tbl_product[ProductID],tbl_product[ProductNumber],"UNMAPPED_PRODUCT")</f>
        <v>BC-M005</v>
      </c>
      <c r="E845" t="str">
        <f>_xlfn.XLOOKUP(tbl_model[[#This Row],[LocationID]],tbl_location[LocationID],tbl_location[LocationName],"UNMAPPED_LOCATION")</f>
        <v>Finished Goods Storage</v>
      </c>
      <c r="F845">
        <v>288</v>
      </c>
      <c r="G845" s="1" t="str">
        <f>tbl_model[[#This Row],[ProductID]] &amp; "-" &amp; tbl_model[[#This Row],[LocationID]]</f>
        <v>871-7</v>
      </c>
    </row>
    <row r="846" spans="1:7">
      <c r="A846">
        <v>872</v>
      </c>
      <c r="B846">
        <v>7</v>
      </c>
      <c r="C846" t="str">
        <f>_xlfn.XLOOKUP(tbl_model[[#This Row],[ProductID]],tbl_product[ProductID],tbl_product[ProductName],"UNMAPPED_PRODUCT")</f>
        <v>Road Bottle Cage</v>
      </c>
      <c r="D846" t="str">
        <f>_xlfn.XLOOKUP(tbl_model[[#This Row],[ProductID]],tbl_product[ProductID],tbl_product[ProductNumber],"UNMAPPED_PRODUCT")</f>
        <v>BC-R205</v>
      </c>
      <c r="E846" t="str">
        <f>_xlfn.XLOOKUP(tbl_model[[#This Row],[LocationID]],tbl_location[LocationID],tbl_location[LocationName],"UNMAPPED_LOCATION")</f>
        <v>Finished Goods Storage</v>
      </c>
      <c r="F846">
        <v>324</v>
      </c>
      <c r="G846" s="1" t="str">
        <f>tbl_model[[#This Row],[ProductID]] &amp; "-" &amp; tbl_model[[#This Row],[LocationID]]</f>
        <v>872-7</v>
      </c>
    </row>
    <row r="847" spans="1:7">
      <c r="A847">
        <v>873</v>
      </c>
      <c r="B847">
        <v>7</v>
      </c>
      <c r="C847" t="str">
        <f>_xlfn.XLOOKUP(tbl_model[[#This Row],[ProductID]],tbl_product[ProductID],tbl_product[ProductName],"UNMAPPED_PRODUCT")</f>
        <v>Patch Kit/8 Patches</v>
      </c>
      <c r="D847" t="str">
        <f>_xlfn.XLOOKUP(tbl_model[[#This Row],[ProductID]],tbl_product[ProductID],tbl_product[ProductNumber],"UNMAPPED_PRODUCT")</f>
        <v>PK-7098</v>
      </c>
      <c r="E847" t="str">
        <f>_xlfn.XLOOKUP(tbl_model[[#This Row],[LocationID]],tbl_location[LocationID],tbl_location[LocationName],"UNMAPPED_LOCATION")</f>
        <v>Finished Goods Storage</v>
      </c>
      <c r="F847">
        <v>180</v>
      </c>
      <c r="G847" s="1" t="str">
        <f>tbl_model[[#This Row],[ProductID]] &amp; "-" &amp; tbl_model[[#This Row],[LocationID]]</f>
        <v>873-7</v>
      </c>
    </row>
    <row r="848" spans="1:7">
      <c r="A848">
        <v>874</v>
      </c>
      <c r="B848">
        <v>7</v>
      </c>
      <c r="C848" t="str">
        <f>_xlfn.XLOOKUP(tbl_model[[#This Row],[ProductID]],tbl_product[ProductID],tbl_product[ProductName],"UNMAPPED_PRODUCT")</f>
        <v>Racing Socks, M</v>
      </c>
      <c r="D848" t="str">
        <f>_xlfn.XLOOKUP(tbl_model[[#This Row],[ProductID]],tbl_product[ProductID],tbl_product[ProductNumber],"UNMAPPED_PRODUCT")</f>
        <v>SO-R809-M</v>
      </c>
      <c r="E848" t="str">
        <f>_xlfn.XLOOKUP(tbl_model[[#This Row],[LocationID]],tbl_location[LocationID],tbl_location[LocationName],"UNMAPPED_LOCATION")</f>
        <v>Finished Goods Storage</v>
      </c>
      <c r="F848">
        <v>252</v>
      </c>
      <c r="G848" s="1" t="str">
        <f>tbl_model[[#This Row],[ProductID]] &amp; "-" &amp; tbl_model[[#This Row],[LocationID]]</f>
        <v>874-7</v>
      </c>
    </row>
    <row r="849" spans="1:7">
      <c r="A849">
        <v>875</v>
      </c>
      <c r="B849">
        <v>7</v>
      </c>
      <c r="C849" t="str">
        <f>_xlfn.XLOOKUP(tbl_model[[#This Row],[ProductID]],tbl_product[ProductID],tbl_product[ProductName],"UNMAPPED_PRODUCT")</f>
        <v>Racing Socks, L</v>
      </c>
      <c r="D849" t="str">
        <f>_xlfn.XLOOKUP(tbl_model[[#This Row],[ProductID]],tbl_product[ProductID],tbl_product[ProductNumber],"UNMAPPED_PRODUCT")</f>
        <v>SO-R809-L</v>
      </c>
      <c r="E849" t="str">
        <f>_xlfn.XLOOKUP(tbl_model[[#This Row],[LocationID]],tbl_location[LocationID],tbl_location[LocationName],"UNMAPPED_LOCATION")</f>
        <v>Finished Goods Storage</v>
      </c>
      <c r="F849">
        <v>288</v>
      </c>
      <c r="G849" s="1" t="str">
        <f>tbl_model[[#This Row],[ProductID]] &amp; "-" &amp; tbl_model[[#This Row],[LocationID]]</f>
        <v>875-7</v>
      </c>
    </row>
    <row r="850" spans="1:7">
      <c r="A850">
        <v>876</v>
      </c>
      <c r="B850">
        <v>7</v>
      </c>
      <c r="C850" t="str">
        <f>_xlfn.XLOOKUP(tbl_model[[#This Row],[ProductID]],tbl_product[ProductID],tbl_product[ProductName],"UNMAPPED_PRODUCT")</f>
        <v>Hitch Rack - 4-Bike</v>
      </c>
      <c r="D850" t="str">
        <f>_xlfn.XLOOKUP(tbl_model[[#This Row],[ProductID]],tbl_product[ProductID],tbl_product[ProductNumber],"UNMAPPED_PRODUCT")</f>
        <v>RA-H123</v>
      </c>
      <c r="E850" t="str">
        <f>_xlfn.XLOOKUP(tbl_model[[#This Row],[LocationID]],tbl_location[LocationID],tbl_location[LocationName],"UNMAPPED_LOCATION")</f>
        <v>Finished Goods Storage</v>
      </c>
      <c r="F850">
        <v>0</v>
      </c>
      <c r="G850" s="1" t="str">
        <f>tbl_model[[#This Row],[ProductID]] &amp; "-" &amp; tbl_model[[#This Row],[LocationID]]</f>
        <v>876-7</v>
      </c>
    </row>
    <row r="851" spans="1:7">
      <c r="A851">
        <v>877</v>
      </c>
      <c r="B851">
        <v>7</v>
      </c>
      <c r="C851" t="str">
        <f>_xlfn.XLOOKUP(tbl_model[[#This Row],[ProductID]],tbl_product[ProductID],tbl_product[ProductName],"UNMAPPED_PRODUCT")</f>
        <v>Bike Wash - Dissolver</v>
      </c>
      <c r="D851" t="str">
        <f>_xlfn.XLOOKUP(tbl_model[[#This Row],[ProductID]],tbl_product[ProductID],tbl_product[ProductNumber],"UNMAPPED_PRODUCT")</f>
        <v>CL-9009</v>
      </c>
      <c r="E851" t="str">
        <f>_xlfn.XLOOKUP(tbl_model[[#This Row],[LocationID]],tbl_location[LocationID],tbl_location[LocationName],"UNMAPPED_LOCATION")</f>
        <v>Finished Goods Storage</v>
      </c>
      <c r="F851">
        <v>36</v>
      </c>
      <c r="G851" s="1" t="str">
        <f>tbl_model[[#This Row],[ProductID]] &amp; "-" &amp; tbl_model[[#This Row],[LocationID]]</f>
        <v>877-7</v>
      </c>
    </row>
    <row r="852" spans="1:7">
      <c r="A852">
        <v>878</v>
      </c>
      <c r="B852">
        <v>7</v>
      </c>
      <c r="C852" t="str">
        <f>_xlfn.XLOOKUP(tbl_model[[#This Row],[ProductID]],tbl_product[ProductID],tbl_product[ProductName],"UNMAPPED_PRODUCT")</f>
        <v>Fender Set - Mountain</v>
      </c>
      <c r="D852" t="str">
        <f>_xlfn.XLOOKUP(tbl_model[[#This Row],[ProductID]],tbl_product[ProductID],tbl_product[ProductNumber],"UNMAPPED_PRODUCT")</f>
        <v>FE-6654</v>
      </c>
      <c r="E852" t="str">
        <f>_xlfn.XLOOKUP(tbl_model[[#This Row],[LocationID]],tbl_location[LocationID],tbl_location[LocationName],"UNMAPPED_LOCATION")</f>
        <v>Finished Goods Storage</v>
      </c>
      <c r="F852">
        <v>108</v>
      </c>
      <c r="G852" s="1" t="str">
        <f>tbl_model[[#This Row],[ProductID]] &amp; "-" &amp; tbl_model[[#This Row],[LocationID]]</f>
        <v>878-7</v>
      </c>
    </row>
    <row r="853" spans="1:7">
      <c r="A853">
        <v>879</v>
      </c>
      <c r="B853">
        <v>7</v>
      </c>
      <c r="C853" t="str">
        <f>_xlfn.XLOOKUP(tbl_model[[#This Row],[ProductID]],tbl_product[ProductID],tbl_product[ProductName],"UNMAPPED_PRODUCT")</f>
        <v>All-Purpose Bike Stand</v>
      </c>
      <c r="D853" t="str">
        <f>_xlfn.XLOOKUP(tbl_model[[#This Row],[ProductID]],tbl_product[ProductID],tbl_product[ProductNumber],"UNMAPPED_PRODUCT")</f>
        <v>ST-1401</v>
      </c>
      <c r="E853" t="str">
        <f>_xlfn.XLOOKUP(tbl_model[[#This Row],[LocationID]],tbl_location[LocationID],tbl_location[LocationName],"UNMAPPED_LOCATION")</f>
        <v>Finished Goods Storage</v>
      </c>
      <c r="F853">
        <v>144</v>
      </c>
      <c r="G853" s="1" t="str">
        <f>tbl_model[[#This Row],[ProductID]] &amp; "-" &amp; tbl_model[[#This Row],[LocationID]]</f>
        <v>879-7</v>
      </c>
    </row>
    <row r="854" spans="1:7">
      <c r="A854">
        <v>880</v>
      </c>
      <c r="B854">
        <v>7</v>
      </c>
      <c r="C854" t="str">
        <f>_xlfn.XLOOKUP(tbl_model[[#This Row],[ProductID]],tbl_product[ProductID],tbl_product[ProductName],"UNMAPPED_PRODUCT")</f>
        <v>Hydration Pack - 70 oz.</v>
      </c>
      <c r="D854" t="str">
        <f>_xlfn.XLOOKUP(tbl_model[[#This Row],[ProductID]],tbl_product[ProductID],tbl_product[ProductNumber],"UNMAPPED_PRODUCT")</f>
        <v>HY-1023-70</v>
      </c>
      <c r="E854" t="str">
        <f>_xlfn.XLOOKUP(tbl_model[[#This Row],[LocationID]],tbl_location[LocationID],tbl_location[LocationName],"UNMAPPED_LOCATION")</f>
        <v>Finished Goods Storage</v>
      </c>
      <c r="F854">
        <v>108</v>
      </c>
      <c r="G854" s="1" t="str">
        <f>tbl_model[[#This Row],[ProductID]] &amp; "-" &amp; tbl_model[[#This Row],[LocationID]]</f>
        <v>880-7</v>
      </c>
    </row>
    <row r="855" spans="1:7">
      <c r="A855">
        <v>881</v>
      </c>
      <c r="B855">
        <v>7</v>
      </c>
      <c r="C855" t="str">
        <f>_xlfn.XLOOKUP(tbl_model[[#This Row],[ProductID]],tbl_product[ProductID],tbl_product[ProductName],"UNMAPPED_PRODUCT")</f>
        <v>Short-Sleeve Classic Jersey, S</v>
      </c>
      <c r="D855" t="str">
        <f>_xlfn.XLOOKUP(tbl_model[[#This Row],[ProductID]],tbl_product[ProductID],tbl_product[ProductNumber],"UNMAPPED_PRODUCT")</f>
        <v>SJ-0194-S</v>
      </c>
      <c r="E855" t="str">
        <f>_xlfn.XLOOKUP(tbl_model[[#This Row],[LocationID]],tbl_location[LocationID],tbl_location[LocationName],"UNMAPPED_LOCATION")</f>
        <v>Finished Goods Storage</v>
      </c>
      <c r="F855">
        <v>324</v>
      </c>
      <c r="G855" s="1" t="str">
        <f>tbl_model[[#This Row],[ProductID]] &amp; "-" &amp; tbl_model[[#This Row],[LocationID]]</f>
        <v>881-7</v>
      </c>
    </row>
    <row r="856" spans="1:7">
      <c r="A856">
        <v>882</v>
      </c>
      <c r="B856">
        <v>7</v>
      </c>
      <c r="C856" t="str">
        <f>_xlfn.XLOOKUP(tbl_model[[#This Row],[ProductID]],tbl_product[ProductID],tbl_product[ProductName],"UNMAPPED_PRODUCT")</f>
        <v>Short-Sleeve Classic Jersey, M</v>
      </c>
      <c r="D856" t="str">
        <f>_xlfn.XLOOKUP(tbl_model[[#This Row],[ProductID]],tbl_product[ProductID],tbl_product[ProductNumber],"UNMAPPED_PRODUCT")</f>
        <v>SJ-0194-M</v>
      </c>
      <c r="E856" t="str">
        <f>_xlfn.XLOOKUP(tbl_model[[#This Row],[LocationID]],tbl_location[LocationID],tbl_location[LocationName],"UNMAPPED_LOCATION")</f>
        <v>Finished Goods Storage</v>
      </c>
      <c r="F856">
        <v>0</v>
      </c>
      <c r="G856" s="1" t="str">
        <f>tbl_model[[#This Row],[ProductID]] &amp; "-" &amp; tbl_model[[#This Row],[LocationID]]</f>
        <v>882-7</v>
      </c>
    </row>
    <row r="857" spans="1:7">
      <c r="A857">
        <v>883</v>
      </c>
      <c r="B857">
        <v>7</v>
      </c>
      <c r="C857" t="str">
        <f>_xlfn.XLOOKUP(tbl_model[[#This Row],[ProductID]],tbl_product[ProductID],tbl_product[ProductName],"UNMAPPED_PRODUCT")</f>
        <v>Short-Sleeve Classic Jersey, L</v>
      </c>
      <c r="D857" t="str">
        <f>_xlfn.XLOOKUP(tbl_model[[#This Row],[ProductID]],tbl_product[ProductID],tbl_product[ProductNumber],"UNMAPPED_PRODUCT")</f>
        <v>SJ-0194-L</v>
      </c>
      <c r="E857" t="str">
        <f>_xlfn.XLOOKUP(tbl_model[[#This Row],[LocationID]],tbl_location[LocationID],tbl_location[LocationName],"UNMAPPED_LOCATION")</f>
        <v>Finished Goods Storage</v>
      </c>
      <c r="F857">
        <v>36</v>
      </c>
      <c r="G857" s="1" t="str">
        <f>tbl_model[[#This Row],[ProductID]] &amp; "-" &amp; tbl_model[[#This Row],[LocationID]]</f>
        <v>883-7</v>
      </c>
    </row>
    <row r="858" spans="1:7">
      <c r="A858">
        <v>884</v>
      </c>
      <c r="B858">
        <v>7</v>
      </c>
      <c r="C858" t="str">
        <f>_xlfn.XLOOKUP(tbl_model[[#This Row],[ProductID]],tbl_product[ProductID],tbl_product[ProductName],"UNMAPPED_PRODUCT")</f>
        <v>Short-Sleeve Classic Jersey, XL</v>
      </c>
      <c r="D858" t="str">
        <f>_xlfn.XLOOKUP(tbl_model[[#This Row],[ProductID]],tbl_product[ProductID],tbl_product[ProductNumber],"UNMAPPED_PRODUCT")</f>
        <v>SJ-0194-X</v>
      </c>
      <c r="E858" t="str">
        <f>_xlfn.XLOOKUP(tbl_model[[#This Row],[LocationID]],tbl_location[LocationID],tbl_location[LocationName],"UNMAPPED_LOCATION")</f>
        <v>Finished Goods Storage</v>
      </c>
      <c r="F858">
        <v>72</v>
      </c>
      <c r="G858" s="1" t="str">
        <f>tbl_model[[#This Row],[ProductID]] &amp; "-" &amp; tbl_model[[#This Row],[LocationID]]</f>
        <v>884-7</v>
      </c>
    </row>
    <row r="859" spans="1:7">
      <c r="A859">
        <v>894</v>
      </c>
      <c r="B859">
        <v>1</v>
      </c>
      <c r="C859" t="str">
        <f>_xlfn.XLOOKUP(tbl_model[[#This Row],[ProductID]],tbl_product[ProductID],tbl_product[ProductName],"UNMAPPED_PRODUCT")</f>
        <v>Rear Derailleur</v>
      </c>
      <c r="D859" t="str">
        <f>_xlfn.XLOOKUP(tbl_model[[#This Row],[ProductID]],tbl_product[ProductID],tbl_product[ProductNumber],"UNMAPPED_PRODUCT")</f>
        <v>RD-2308</v>
      </c>
      <c r="E859" t="str">
        <f>_xlfn.XLOOKUP(tbl_model[[#This Row],[LocationID]],tbl_location[LocationID],tbl_location[LocationName],"UNMAPPED_LOCATION")</f>
        <v>Tool Crib</v>
      </c>
      <c r="F859">
        <v>337</v>
      </c>
      <c r="G859" s="1" t="str">
        <f>tbl_model[[#This Row],[ProductID]] &amp; "-" &amp; tbl_model[[#This Row],[LocationID]]</f>
        <v>894-1</v>
      </c>
    </row>
    <row r="860" spans="1:7">
      <c r="A860">
        <v>894</v>
      </c>
      <c r="B860">
        <v>6</v>
      </c>
      <c r="C860" t="str">
        <f>_xlfn.XLOOKUP(tbl_model[[#This Row],[ProductID]],tbl_product[ProductID],tbl_product[ProductName],"UNMAPPED_PRODUCT")</f>
        <v>Rear Derailleur</v>
      </c>
      <c r="D860" t="str">
        <f>_xlfn.XLOOKUP(tbl_model[[#This Row],[ProductID]],tbl_product[ProductID],tbl_product[ProductNumber],"UNMAPPED_PRODUCT")</f>
        <v>RD-2308</v>
      </c>
      <c r="E860" t="str">
        <f>_xlfn.XLOOKUP(tbl_model[[#This Row],[LocationID]],tbl_location[LocationID],tbl_location[LocationName],"UNMAPPED_LOCATION")</f>
        <v>Miscellaneous Storage</v>
      </c>
      <c r="F860">
        <v>355</v>
      </c>
      <c r="G860" s="1" t="str">
        <f>tbl_model[[#This Row],[ProductID]] &amp; "-" &amp; tbl_model[[#This Row],[LocationID]]</f>
        <v>894-6</v>
      </c>
    </row>
    <row r="861" spans="1:7">
      <c r="A861">
        <v>894</v>
      </c>
      <c r="B861">
        <v>50</v>
      </c>
      <c r="C861" t="str">
        <f>_xlfn.XLOOKUP(tbl_model[[#This Row],[ProductID]],tbl_product[ProductID],tbl_product[ProductName],"UNMAPPED_PRODUCT")</f>
        <v>Rear Derailleur</v>
      </c>
      <c r="D861" t="str">
        <f>_xlfn.XLOOKUP(tbl_model[[#This Row],[ProductID]],tbl_product[ProductID],tbl_product[ProductNumber],"UNMAPPED_PRODUCT")</f>
        <v>RD-2308</v>
      </c>
      <c r="E861" t="str">
        <f>_xlfn.XLOOKUP(tbl_model[[#This Row],[LocationID]],tbl_location[LocationID],tbl_location[LocationName],"UNMAPPED_LOCATION")</f>
        <v>Subassembly</v>
      </c>
      <c r="F861">
        <v>155</v>
      </c>
      <c r="G861" s="1" t="str">
        <f>tbl_model[[#This Row],[ProductID]] &amp; "-" &amp; tbl_model[[#This Row],[LocationID]]</f>
        <v>894-50</v>
      </c>
    </row>
    <row r="862" spans="1:7">
      <c r="A862">
        <v>907</v>
      </c>
      <c r="B862">
        <v>1</v>
      </c>
      <c r="C862" t="str">
        <f>_xlfn.XLOOKUP(tbl_model[[#This Row],[ProductID]],tbl_product[ProductID],tbl_product[ProductName],"UNMAPPED_PRODUCT")</f>
        <v>Rear Brakes</v>
      </c>
      <c r="D862" t="str">
        <f>_xlfn.XLOOKUP(tbl_model[[#This Row],[ProductID]],tbl_product[ProductID],tbl_product[ProductNumber],"UNMAPPED_PRODUCT")</f>
        <v>RB-9231</v>
      </c>
      <c r="E862" t="str">
        <f>_xlfn.XLOOKUP(tbl_model[[#This Row],[LocationID]],tbl_location[LocationID],tbl_location[LocationName],"UNMAPPED_LOCATION")</f>
        <v>Tool Crib</v>
      </c>
      <c r="F862">
        <v>337</v>
      </c>
      <c r="G862" s="1" t="str">
        <f>tbl_model[[#This Row],[ProductID]] &amp; "-" &amp; tbl_model[[#This Row],[LocationID]]</f>
        <v>907-1</v>
      </c>
    </row>
    <row r="863" spans="1:7">
      <c r="A863">
        <v>907</v>
      </c>
      <c r="B863">
        <v>6</v>
      </c>
      <c r="C863" t="str">
        <f>_xlfn.XLOOKUP(tbl_model[[#This Row],[ProductID]],tbl_product[ProductID],tbl_product[ProductName],"UNMAPPED_PRODUCT")</f>
        <v>Rear Brakes</v>
      </c>
      <c r="D863" t="str">
        <f>_xlfn.XLOOKUP(tbl_model[[#This Row],[ProductID]],tbl_product[ProductID],tbl_product[ProductNumber],"UNMAPPED_PRODUCT")</f>
        <v>RB-9231</v>
      </c>
      <c r="E863" t="str">
        <f>_xlfn.XLOOKUP(tbl_model[[#This Row],[LocationID]],tbl_location[LocationID],tbl_location[LocationName],"UNMAPPED_LOCATION")</f>
        <v>Miscellaneous Storage</v>
      </c>
      <c r="F863">
        <v>228</v>
      </c>
      <c r="G863" s="1" t="str">
        <f>tbl_model[[#This Row],[ProductID]] &amp; "-" &amp; tbl_model[[#This Row],[LocationID]]</f>
        <v>907-6</v>
      </c>
    </row>
    <row r="864" spans="1:7">
      <c r="A864">
        <v>907</v>
      </c>
      <c r="B864">
        <v>50</v>
      </c>
      <c r="C864" t="str">
        <f>_xlfn.XLOOKUP(tbl_model[[#This Row],[ProductID]],tbl_product[ProductID],tbl_product[ProductName],"UNMAPPED_PRODUCT")</f>
        <v>Rear Brakes</v>
      </c>
      <c r="D864" t="str">
        <f>_xlfn.XLOOKUP(tbl_model[[#This Row],[ProductID]],tbl_product[ProductID],tbl_product[ProductNumber],"UNMAPPED_PRODUCT")</f>
        <v>RB-9231</v>
      </c>
      <c r="E864" t="str">
        <f>_xlfn.XLOOKUP(tbl_model[[#This Row],[LocationID]],tbl_location[LocationID],tbl_location[LocationName],"UNMAPPED_LOCATION")</f>
        <v>Subassembly</v>
      </c>
      <c r="F864">
        <v>158</v>
      </c>
      <c r="G864" s="1" t="str">
        <f>tbl_model[[#This Row],[ProductID]] &amp; "-" &amp; tbl_model[[#This Row],[LocationID]]</f>
        <v>907-50</v>
      </c>
    </row>
    <row r="865" spans="1:7">
      <c r="A865">
        <v>908</v>
      </c>
      <c r="B865">
        <v>6</v>
      </c>
      <c r="C865" t="str">
        <f>_xlfn.XLOOKUP(tbl_model[[#This Row],[ProductID]],tbl_product[ProductID],tbl_product[ProductName],"UNMAPPED_PRODUCT")</f>
        <v>LL Mountain Seat/Saddle</v>
      </c>
      <c r="D865" t="str">
        <f>_xlfn.XLOOKUP(tbl_model[[#This Row],[ProductID]],tbl_product[ProductID],tbl_product[ProductNumber],"UNMAPPED_PRODUCT")</f>
        <v>SE-M236</v>
      </c>
      <c r="E865" t="str">
        <f>_xlfn.XLOOKUP(tbl_model[[#This Row],[LocationID]],tbl_location[LocationID],tbl_location[LocationName],"UNMAPPED_LOCATION")</f>
        <v>Miscellaneous Storage</v>
      </c>
      <c r="F865">
        <v>400</v>
      </c>
      <c r="G865" s="1" t="str">
        <f>tbl_model[[#This Row],[ProductID]] &amp; "-" &amp; tbl_model[[#This Row],[LocationID]]</f>
        <v>908-6</v>
      </c>
    </row>
    <row r="866" spans="1:7">
      <c r="A866">
        <v>908</v>
      </c>
      <c r="B866">
        <v>50</v>
      </c>
      <c r="C866" t="str">
        <f>_xlfn.XLOOKUP(tbl_model[[#This Row],[ProductID]],tbl_product[ProductID],tbl_product[ProductName],"UNMAPPED_PRODUCT")</f>
        <v>LL Mountain Seat/Saddle</v>
      </c>
      <c r="D866" t="str">
        <f>_xlfn.XLOOKUP(tbl_model[[#This Row],[ProductID]],tbl_product[ProductID],tbl_product[ProductNumber],"UNMAPPED_PRODUCT")</f>
        <v>SE-M236</v>
      </c>
      <c r="E866" t="str">
        <f>_xlfn.XLOOKUP(tbl_model[[#This Row],[LocationID]],tbl_location[LocationID],tbl_location[LocationName],"UNMAPPED_LOCATION")</f>
        <v>Subassembly</v>
      </c>
      <c r="F866">
        <v>214</v>
      </c>
      <c r="G866" s="1" t="str">
        <f>tbl_model[[#This Row],[ProductID]] &amp; "-" &amp; tbl_model[[#This Row],[LocationID]]</f>
        <v>908-50</v>
      </c>
    </row>
    <row r="867" spans="1:7">
      <c r="A867">
        <v>908</v>
      </c>
      <c r="B867">
        <v>60</v>
      </c>
      <c r="C867" t="str">
        <f>_xlfn.XLOOKUP(tbl_model[[#This Row],[ProductID]],tbl_product[ProductID],tbl_product[ProductName],"UNMAPPED_PRODUCT")</f>
        <v>LL Mountain Seat/Saddle</v>
      </c>
      <c r="D867" t="str">
        <f>_xlfn.XLOOKUP(tbl_model[[#This Row],[ProductID]],tbl_product[ProductID],tbl_product[ProductNumber],"UNMAPPED_PRODUCT")</f>
        <v>SE-M236</v>
      </c>
      <c r="E867" t="str">
        <f>_xlfn.XLOOKUP(tbl_model[[#This Row],[LocationID]],tbl_location[LocationID],tbl_location[LocationName],"UNMAPPED_LOCATION")</f>
        <v>Final Assembly</v>
      </c>
      <c r="F867">
        <v>195</v>
      </c>
      <c r="G867" s="1" t="str">
        <f>tbl_model[[#This Row],[ProductID]] &amp; "-" &amp; tbl_model[[#This Row],[LocationID]]</f>
        <v>908-60</v>
      </c>
    </row>
    <row r="868" spans="1:7">
      <c r="A868">
        <v>909</v>
      </c>
      <c r="B868">
        <v>6</v>
      </c>
      <c r="C868" t="str">
        <f>_xlfn.XLOOKUP(tbl_model[[#This Row],[ProductID]],tbl_product[ProductID],tbl_product[ProductName],"UNMAPPED_PRODUCT")</f>
        <v>ML Mountain Seat/Saddle</v>
      </c>
      <c r="D868" t="str">
        <f>_xlfn.XLOOKUP(tbl_model[[#This Row],[ProductID]],tbl_product[ProductID],tbl_product[ProductNumber],"UNMAPPED_PRODUCT")</f>
        <v>SE-M798</v>
      </c>
      <c r="E868" t="str">
        <f>_xlfn.XLOOKUP(tbl_model[[#This Row],[LocationID]],tbl_location[LocationID],tbl_location[LocationName],"UNMAPPED_LOCATION")</f>
        <v>Miscellaneous Storage</v>
      </c>
      <c r="F868">
        <v>230</v>
      </c>
      <c r="G868" s="1" t="str">
        <f>tbl_model[[#This Row],[ProductID]] &amp; "-" &amp; tbl_model[[#This Row],[LocationID]]</f>
        <v>909-6</v>
      </c>
    </row>
    <row r="869" spans="1:7">
      <c r="A869">
        <v>909</v>
      </c>
      <c r="B869">
        <v>50</v>
      </c>
      <c r="C869" t="str">
        <f>_xlfn.XLOOKUP(tbl_model[[#This Row],[ProductID]],tbl_product[ProductID],tbl_product[ProductName],"UNMAPPED_PRODUCT")</f>
        <v>ML Mountain Seat/Saddle</v>
      </c>
      <c r="D869" t="str">
        <f>_xlfn.XLOOKUP(tbl_model[[#This Row],[ProductID]],tbl_product[ProductID],tbl_product[ProductNumber],"UNMAPPED_PRODUCT")</f>
        <v>SE-M798</v>
      </c>
      <c r="E869" t="str">
        <f>_xlfn.XLOOKUP(tbl_model[[#This Row],[LocationID]],tbl_location[LocationID],tbl_location[LocationName],"UNMAPPED_LOCATION")</f>
        <v>Subassembly</v>
      </c>
      <c r="F869">
        <v>72</v>
      </c>
      <c r="G869" s="1" t="str">
        <f>tbl_model[[#This Row],[ProductID]] &amp; "-" &amp; tbl_model[[#This Row],[LocationID]]</f>
        <v>909-50</v>
      </c>
    </row>
    <row r="870" spans="1:7">
      <c r="A870">
        <v>909</v>
      </c>
      <c r="B870">
        <v>60</v>
      </c>
      <c r="C870" t="str">
        <f>_xlfn.XLOOKUP(tbl_model[[#This Row],[ProductID]],tbl_product[ProductID],tbl_product[ProductName],"UNMAPPED_PRODUCT")</f>
        <v>ML Mountain Seat/Saddle</v>
      </c>
      <c r="D870" t="str">
        <f>_xlfn.XLOOKUP(tbl_model[[#This Row],[ProductID]],tbl_product[ProductID],tbl_product[ProductNumber],"UNMAPPED_PRODUCT")</f>
        <v>SE-M798</v>
      </c>
      <c r="E870" t="str">
        <f>_xlfn.XLOOKUP(tbl_model[[#This Row],[LocationID]],tbl_location[LocationID],tbl_location[LocationName],"UNMAPPED_LOCATION")</f>
        <v>Final Assembly</v>
      </c>
      <c r="F870">
        <v>120</v>
      </c>
      <c r="G870" s="1" t="str">
        <f>tbl_model[[#This Row],[ProductID]] &amp; "-" &amp; tbl_model[[#This Row],[LocationID]]</f>
        <v>909-60</v>
      </c>
    </row>
    <row r="871" spans="1:7">
      <c r="A871">
        <v>910</v>
      </c>
      <c r="B871">
        <v>6</v>
      </c>
      <c r="C871" t="str">
        <f>_xlfn.XLOOKUP(tbl_model[[#This Row],[ProductID]],tbl_product[ProductID],tbl_product[ProductName],"UNMAPPED_PRODUCT")</f>
        <v>HL Mountain Seat/Saddle</v>
      </c>
      <c r="D871" t="str">
        <f>_xlfn.XLOOKUP(tbl_model[[#This Row],[ProductID]],tbl_product[ProductID],tbl_product[ProductNumber],"UNMAPPED_PRODUCT")</f>
        <v>SE-M940</v>
      </c>
      <c r="E871" t="str">
        <f>_xlfn.XLOOKUP(tbl_model[[#This Row],[LocationID]],tbl_location[LocationID],tbl_location[LocationName],"UNMAPPED_LOCATION")</f>
        <v>Miscellaneous Storage</v>
      </c>
      <c r="F871">
        <v>91</v>
      </c>
      <c r="G871" s="1" t="str">
        <f>tbl_model[[#This Row],[ProductID]] &amp; "-" &amp; tbl_model[[#This Row],[LocationID]]</f>
        <v>910-6</v>
      </c>
    </row>
    <row r="872" spans="1:7">
      <c r="A872">
        <v>910</v>
      </c>
      <c r="B872">
        <v>50</v>
      </c>
      <c r="C872" t="str">
        <f>_xlfn.XLOOKUP(tbl_model[[#This Row],[ProductID]],tbl_product[ProductID],tbl_product[ProductName],"UNMAPPED_PRODUCT")</f>
        <v>HL Mountain Seat/Saddle</v>
      </c>
      <c r="D872" t="str">
        <f>_xlfn.XLOOKUP(tbl_model[[#This Row],[ProductID]],tbl_product[ProductID],tbl_product[ProductNumber],"UNMAPPED_PRODUCT")</f>
        <v>SE-M940</v>
      </c>
      <c r="E872" t="str">
        <f>_xlfn.XLOOKUP(tbl_model[[#This Row],[LocationID]],tbl_location[LocationID],tbl_location[LocationName],"UNMAPPED_LOCATION")</f>
        <v>Subassembly</v>
      </c>
      <c r="F872">
        <v>168</v>
      </c>
      <c r="G872" s="1" t="str">
        <f>tbl_model[[#This Row],[ProductID]] &amp; "-" &amp; tbl_model[[#This Row],[LocationID]]</f>
        <v>910-50</v>
      </c>
    </row>
    <row r="873" spans="1:7">
      <c r="A873">
        <v>910</v>
      </c>
      <c r="B873">
        <v>60</v>
      </c>
      <c r="C873" t="str">
        <f>_xlfn.XLOOKUP(tbl_model[[#This Row],[ProductID]],tbl_product[ProductID],tbl_product[ProductName],"UNMAPPED_PRODUCT")</f>
        <v>HL Mountain Seat/Saddle</v>
      </c>
      <c r="D873" t="str">
        <f>_xlfn.XLOOKUP(tbl_model[[#This Row],[ProductID]],tbl_product[ProductID],tbl_product[ProductNumber],"UNMAPPED_PRODUCT")</f>
        <v>SE-M940</v>
      </c>
      <c r="E873" t="str">
        <f>_xlfn.XLOOKUP(tbl_model[[#This Row],[LocationID]],tbl_location[LocationID],tbl_location[LocationName],"UNMAPPED_LOCATION")</f>
        <v>Final Assembly</v>
      </c>
      <c r="F873">
        <v>96</v>
      </c>
      <c r="G873" s="1" t="str">
        <f>tbl_model[[#This Row],[ProductID]] &amp; "-" &amp; tbl_model[[#This Row],[LocationID]]</f>
        <v>910-60</v>
      </c>
    </row>
    <row r="874" spans="1:7">
      <c r="A874">
        <v>911</v>
      </c>
      <c r="B874">
        <v>6</v>
      </c>
      <c r="C874" t="str">
        <f>_xlfn.XLOOKUP(tbl_model[[#This Row],[ProductID]],tbl_product[ProductID],tbl_product[ProductName],"UNMAPPED_PRODUCT")</f>
        <v>LL Road Seat/Saddle</v>
      </c>
      <c r="D874" t="str">
        <f>_xlfn.XLOOKUP(tbl_model[[#This Row],[ProductID]],tbl_product[ProductID],tbl_product[ProductNumber],"UNMAPPED_PRODUCT")</f>
        <v>SE-R581</v>
      </c>
      <c r="E874" t="str">
        <f>_xlfn.XLOOKUP(tbl_model[[#This Row],[LocationID]],tbl_location[LocationID],tbl_location[LocationName],"UNMAPPED_LOCATION")</f>
        <v>Miscellaneous Storage</v>
      </c>
      <c r="F874">
        <v>283</v>
      </c>
      <c r="G874" s="1" t="str">
        <f>tbl_model[[#This Row],[ProductID]] &amp; "-" &amp; tbl_model[[#This Row],[LocationID]]</f>
        <v>911-6</v>
      </c>
    </row>
    <row r="875" spans="1:7">
      <c r="A875">
        <v>911</v>
      </c>
      <c r="B875">
        <v>50</v>
      </c>
      <c r="C875" t="str">
        <f>_xlfn.XLOOKUP(tbl_model[[#This Row],[ProductID]],tbl_product[ProductID],tbl_product[ProductName],"UNMAPPED_PRODUCT")</f>
        <v>LL Road Seat/Saddle</v>
      </c>
      <c r="D875" t="str">
        <f>_xlfn.XLOOKUP(tbl_model[[#This Row],[ProductID]],tbl_product[ProductID],tbl_product[ProductNumber],"UNMAPPED_PRODUCT")</f>
        <v>SE-R581</v>
      </c>
      <c r="E875" t="str">
        <f>_xlfn.XLOOKUP(tbl_model[[#This Row],[LocationID]],tbl_location[LocationID],tbl_location[LocationName],"UNMAPPED_LOCATION")</f>
        <v>Subassembly</v>
      </c>
      <c r="F875">
        <v>321</v>
      </c>
      <c r="G875" s="1" t="str">
        <f>tbl_model[[#This Row],[ProductID]] &amp; "-" &amp; tbl_model[[#This Row],[LocationID]]</f>
        <v>911-50</v>
      </c>
    </row>
    <row r="876" spans="1:7">
      <c r="A876">
        <v>911</v>
      </c>
      <c r="B876">
        <v>60</v>
      </c>
      <c r="C876" t="str">
        <f>_xlfn.XLOOKUP(tbl_model[[#This Row],[ProductID]],tbl_product[ProductID],tbl_product[ProductName],"UNMAPPED_PRODUCT")</f>
        <v>LL Road Seat/Saddle</v>
      </c>
      <c r="D876" t="str">
        <f>_xlfn.XLOOKUP(tbl_model[[#This Row],[ProductID]],tbl_product[ProductID],tbl_product[ProductNumber],"UNMAPPED_PRODUCT")</f>
        <v>SE-R581</v>
      </c>
      <c r="E876" t="str">
        <f>_xlfn.XLOOKUP(tbl_model[[#This Row],[LocationID]],tbl_location[LocationID],tbl_location[LocationName],"UNMAPPED_LOCATION")</f>
        <v>Final Assembly</v>
      </c>
      <c r="F876">
        <v>302</v>
      </c>
      <c r="G876" s="1" t="str">
        <f>tbl_model[[#This Row],[ProductID]] &amp; "-" &amp; tbl_model[[#This Row],[LocationID]]</f>
        <v>911-60</v>
      </c>
    </row>
    <row r="877" spans="1:7">
      <c r="A877">
        <v>912</v>
      </c>
      <c r="B877">
        <v>6</v>
      </c>
      <c r="C877" t="str">
        <f>_xlfn.XLOOKUP(tbl_model[[#This Row],[ProductID]],tbl_product[ProductID],tbl_product[ProductName],"UNMAPPED_PRODUCT")</f>
        <v>ML Road Seat/Saddle</v>
      </c>
      <c r="D877" t="str">
        <f>_xlfn.XLOOKUP(tbl_model[[#This Row],[ProductID]],tbl_product[ProductID],tbl_product[ProductNumber],"UNMAPPED_PRODUCT")</f>
        <v>SE-R908</v>
      </c>
      <c r="E877" t="str">
        <f>_xlfn.XLOOKUP(tbl_model[[#This Row],[LocationID]],tbl_location[LocationID],tbl_location[LocationName],"UNMAPPED_LOCATION")</f>
        <v>Miscellaneous Storage</v>
      </c>
      <c r="F877">
        <v>302</v>
      </c>
      <c r="G877" s="1" t="str">
        <f>tbl_model[[#This Row],[ProductID]] &amp; "-" &amp; tbl_model[[#This Row],[LocationID]]</f>
        <v>912-6</v>
      </c>
    </row>
    <row r="878" spans="1:7">
      <c r="A878">
        <v>912</v>
      </c>
      <c r="B878">
        <v>50</v>
      </c>
      <c r="C878" t="str">
        <f>_xlfn.XLOOKUP(tbl_model[[#This Row],[ProductID]],tbl_product[ProductID],tbl_product[ProductName],"UNMAPPED_PRODUCT")</f>
        <v>ML Road Seat/Saddle</v>
      </c>
      <c r="D878" t="str">
        <f>_xlfn.XLOOKUP(tbl_model[[#This Row],[ProductID]],tbl_product[ProductID],tbl_product[ProductNumber],"UNMAPPED_PRODUCT")</f>
        <v>SE-R908</v>
      </c>
      <c r="E878" t="str">
        <f>_xlfn.XLOOKUP(tbl_model[[#This Row],[LocationID]],tbl_location[LocationID],tbl_location[LocationName],"UNMAPPED_LOCATION")</f>
        <v>Subassembly</v>
      </c>
      <c r="F878">
        <v>353</v>
      </c>
      <c r="G878" s="1" t="str">
        <f>tbl_model[[#This Row],[ProductID]] &amp; "-" &amp; tbl_model[[#This Row],[LocationID]]</f>
        <v>912-50</v>
      </c>
    </row>
    <row r="879" spans="1:7">
      <c r="A879">
        <v>912</v>
      </c>
      <c r="B879">
        <v>60</v>
      </c>
      <c r="C879" t="str">
        <f>_xlfn.XLOOKUP(tbl_model[[#This Row],[ProductID]],tbl_product[ProductID],tbl_product[ProductName],"UNMAPPED_PRODUCT")</f>
        <v>ML Road Seat/Saddle</v>
      </c>
      <c r="D879" t="str">
        <f>_xlfn.XLOOKUP(tbl_model[[#This Row],[ProductID]],tbl_product[ProductID],tbl_product[ProductNumber],"UNMAPPED_PRODUCT")</f>
        <v>SE-R908</v>
      </c>
      <c r="E879" t="str">
        <f>_xlfn.XLOOKUP(tbl_model[[#This Row],[LocationID]],tbl_location[LocationID],tbl_location[LocationName],"UNMAPPED_LOCATION")</f>
        <v>Final Assembly</v>
      </c>
      <c r="F879">
        <v>246</v>
      </c>
      <c r="G879" s="1" t="str">
        <f>tbl_model[[#This Row],[ProductID]] &amp; "-" &amp; tbl_model[[#This Row],[LocationID]]</f>
        <v>912-60</v>
      </c>
    </row>
    <row r="880" spans="1:7">
      <c r="A880">
        <v>913</v>
      </c>
      <c r="B880">
        <v>6</v>
      </c>
      <c r="C880" t="str">
        <f>_xlfn.XLOOKUP(tbl_model[[#This Row],[ProductID]],tbl_product[ProductID],tbl_product[ProductName],"UNMAPPED_PRODUCT")</f>
        <v>HL Road Seat/Saddle</v>
      </c>
      <c r="D880" t="str">
        <f>_xlfn.XLOOKUP(tbl_model[[#This Row],[ProductID]],tbl_product[ProductID],tbl_product[ProductNumber],"UNMAPPED_PRODUCT")</f>
        <v>SE-R995</v>
      </c>
      <c r="E880" t="str">
        <f>_xlfn.XLOOKUP(tbl_model[[#This Row],[LocationID]],tbl_location[LocationID],tbl_location[LocationName],"UNMAPPED_LOCATION")</f>
        <v>Miscellaneous Storage</v>
      </c>
      <c r="F880">
        <v>169</v>
      </c>
      <c r="G880" s="1" t="str">
        <f>tbl_model[[#This Row],[ProductID]] &amp; "-" &amp; tbl_model[[#This Row],[LocationID]]</f>
        <v>913-6</v>
      </c>
    </row>
    <row r="881" spans="1:7">
      <c r="A881">
        <v>913</v>
      </c>
      <c r="B881">
        <v>50</v>
      </c>
      <c r="C881" t="str">
        <f>_xlfn.XLOOKUP(tbl_model[[#This Row],[ProductID]],tbl_product[ProductID],tbl_product[ProductName],"UNMAPPED_PRODUCT")</f>
        <v>HL Road Seat/Saddle</v>
      </c>
      <c r="D881" t="str">
        <f>_xlfn.XLOOKUP(tbl_model[[#This Row],[ProductID]],tbl_product[ProductID],tbl_product[ProductNumber],"UNMAPPED_PRODUCT")</f>
        <v>SE-R995</v>
      </c>
      <c r="E881" t="str">
        <f>_xlfn.XLOOKUP(tbl_model[[#This Row],[LocationID]],tbl_location[LocationID],tbl_location[LocationName],"UNMAPPED_LOCATION")</f>
        <v>Subassembly</v>
      </c>
      <c r="F881">
        <v>145</v>
      </c>
      <c r="G881" s="1" t="str">
        <f>tbl_model[[#This Row],[ProductID]] &amp; "-" &amp; tbl_model[[#This Row],[LocationID]]</f>
        <v>913-50</v>
      </c>
    </row>
    <row r="882" spans="1:7">
      <c r="A882">
        <v>913</v>
      </c>
      <c r="B882">
        <v>60</v>
      </c>
      <c r="C882" t="str">
        <f>_xlfn.XLOOKUP(tbl_model[[#This Row],[ProductID]],tbl_product[ProductID],tbl_product[ProductName],"UNMAPPED_PRODUCT")</f>
        <v>HL Road Seat/Saddle</v>
      </c>
      <c r="D882" t="str">
        <f>_xlfn.XLOOKUP(tbl_model[[#This Row],[ProductID]],tbl_product[ProductID],tbl_product[ProductNumber],"UNMAPPED_PRODUCT")</f>
        <v>SE-R995</v>
      </c>
      <c r="E882" t="str">
        <f>_xlfn.XLOOKUP(tbl_model[[#This Row],[LocationID]],tbl_location[LocationID],tbl_location[LocationName],"UNMAPPED_LOCATION")</f>
        <v>Final Assembly</v>
      </c>
      <c r="F882">
        <v>153</v>
      </c>
      <c r="G882" s="1" t="str">
        <f>tbl_model[[#This Row],[ProductID]] &amp; "-" &amp; tbl_model[[#This Row],[LocationID]]</f>
        <v>913-60</v>
      </c>
    </row>
    <row r="883" spans="1:7">
      <c r="A883">
        <v>914</v>
      </c>
      <c r="B883">
        <v>6</v>
      </c>
      <c r="C883" t="str">
        <f>_xlfn.XLOOKUP(tbl_model[[#This Row],[ProductID]],tbl_product[ProductID],tbl_product[ProductName],"UNMAPPED_PRODUCT")</f>
        <v>LL Touring Seat/Saddle</v>
      </c>
      <c r="D883" t="str">
        <f>_xlfn.XLOOKUP(tbl_model[[#This Row],[ProductID]],tbl_product[ProductID],tbl_product[ProductNumber],"UNMAPPED_PRODUCT")</f>
        <v>SE-T312</v>
      </c>
      <c r="E883" t="str">
        <f>_xlfn.XLOOKUP(tbl_model[[#This Row],[LocationID]],tbl_location[LocationID],tbl_location[LocationName],"UNMAPPED_LOCATION")</f>
        <v>Miscellaneous Storage</v>
      </c>
      <c r="F883">
        <v>248</v>
      </c>
      <c r="G883" s="1" t="str">
        <f>tbl_model[[#This Row],[ProductID]] &amp; "-" &amp; tbl_model[[#This Row],[LocationID]]</f>
        <v>914-6</v>
      </c>
    </row>
    <row r="884" spans="1:7">
      <c r="A884">
        <v>914</v>
      </c>
      <c r="B884">
        <v>50</v>
      </c>
      <c r="C884" t="str">
        <f>_xlfn.XLOOKUP(tbl_model[[#This Row],[ProductID]],tbl_product[ProductID],tbl_product[ProductName],"UNMAPPED_PRODUCT")</f>
        <v>LL Touring Seat/Saddle</v>
      </c>
      <c r="D884" t="str">
        <f>_xlfn.XLOOKUP(tbl_model[[#This Row],[ProductID]],tbl_product[ProductID],tbl_product[ProductNumber],"UNMAPPED_PRODUCT")</f>
        <v>SE-T312</v>
      </c>
      <c r="E884" t="str">
        <f>_xlfn.XLOOKUP(tbl_model[[#This Row],[LocationID]],tbl_location[LocationID],tbl_location[LocationName],"UNMAPPED_LOCATION")</f>
        <v>Subassembly</v>
      </c>
      <c r="F884">
        <v>171</v>
      </c>
      <c r="G884" s="1" t="str">
        <f>tbl_model[[#This Row],[ProductID]] &amp; "-" &amp; tbl_model[[#This Row],[LocationID]]</f>
        <v>914-50</v>
      </c>
    </row>
    <row r="885" spans="1:7">
      <c r="A885">
        <v>914</v>
      </c>
      <c r="B885">
        <v>60</v>
      </c>
      <c r="C885" t="str">
        <f>_xlfn.XLOOKUP(tbl_model[[#This Row],[ProductID]],tbl_product[ProductID],tbl_product[ProductName],"UNMAPPED_PRODUCT")</f>
        <v>LL Touring Seat/Saddle</v>
      </c>
      <c r="D885" t="str">
        <f>_xlfn.XLOOKUP(tbl_model[[#This Row],[ProductID]],tbl_product[ProductID],tbl_product[ProductNumber],"UNMAPPED_PRODUCT")</f>
        <v>SE-T312</v>
      </c>
      <c r="E885" t="str">
        <f>_xlfn.XLOOKUP(tbl_model[[#This Row],[LocationID]],tbl_location[LocationID],tbl_location[LocationName],"UNMAPPED_LOCATION")</f>
        <v>Final Assembly</v>
      </c>
      <c r="F885">
        <v>382</v>
      </c>
      <c r="G885" s="1" t="str">
        <f>tbl_model[[#This Row],[ProductID]] &amp; "-" &amp; tbl_model[[#This Row],[LocationID]]</f>
        <v>914-60</v>
      </c>
    </row>
    <row r="886" spans="1:7">
      <c r="A886">
        <v>915</v>
      </c>
      <c r="B886">
        <v>6</v>
      </c>
      <c r="C886" t="str">
        <f>_xlfn.XLOOKUP(tbl_model[[#This Row],[ProductID]],tbl_product[ProductID],tbl_product[ProductName],"UNMAPPED_PRODUCT")</f>
        <v>ML Touring Seat/Saddle</v>
      </c>
      <c r="D886" t="str">
        <f>_xlfn.XLOOKUP(tbl_model[[#This Row],[ProductID]],tbl_product[ProductID],tbl_product[ProductNumber],"UNMAPPED_PRODUCT")</f>
        <v>SE-T762</v>
      </c>
      <c r="E886" t="str">
        <f>_xlfn.XLOOKUP(tbl_model[[#This Row],[LocationID]],tbl_location[LocationID],tbl_location[LocationName],"UNMAPPED_LOCATION")</f>
        <v>Miscellaneous Storage</v>
      </c>
      <c r="F886">
        <v>161</v>
      </c>
      <c r="G886" s="1" t="str">
        <f>tbl_model[[#This Row],[ProductID]] &amp; "-" &amp; tbl_model[[#This Row],[LocationID]]</f>
        <v>915-6</v>
      </c>
    </row>
    <row r="887" spans="1:7">
      <c r="A887">
        <v>915</v>
      </c>
      <c r="B887">
        <v>50</v>
      </c>
      <c r="C887" t="str">
        <f>_xlfn.XLOOKUP(tbl_model[[#This Row],[ProductID]],tbl_product[ProductID],tbl_product[ProductName],"UNMAPPED_PRODUCT")</f>
        <v>ML Touring Seat/Saddle</v>
      </c>
      <c r="D887" t="str">
        <f>_xlfn.XLOOKUP(tbl_model[[#This Row],[ProductID]],tbl_product[ProductID],tbl_product[ProductNumber],"UNMAPPED_PRODUCT")</f>
        <v>SE-T762</v>
      </c>
      <c r="E887" t="str">
        <f>_xlfn.XLOOKUP(tbl_model[[#This Row],[LocationID]],tbl_location[LocationID],tbl_location[LocationName],"UNMAPPED_LOCATION")</f>
        <v>Subassembly</v>
      </c>
      <c r="F887">
        <v>83</v>
      </c>
      <c r="G887" s="1" t="str">
        <f>tbl_model[[#This Row],[ProductID]] &amp; "-" &amp; tbl_model[[#This Row],[LocationID]]</f>
        <v>915-50</v>
      </c>
    </row>
    <row r="888" spans="1:7">
      <c r="A888">
        <v>915</v>
      </c>
      <c r="B888">
        <v>60</v>
      </c>
      <c r="C888" t="str">
        <f>_xlfn.XLOOKUP(tbl_model[[#This Row],[ProductID]],tbl_product[ProductID],tbl_product[ProductName],"UNMAPPED_PRODUCT")</f>
        <v>ML Touring Seat/Saddle</v>
      </c>
      <c r="D888" t="str">
        <f>_xlfn.XLOOKUP(tbl_model[[#This Row],[ProductID]],tbl_product[ProductID],tbl_product[ProductNumber],"UNMAPPED_PRODUCT")</f>
        <v>SE-T762</v>
      </c>
      <c r="E888" t="str">
        <f>_xlfn.XLOOKUP(tbl_model[[#This Row],[LocationID]],tbl_location[LocationID],tbl_location[LocationName],"UNMAPPED_LOCATION")</f>
        <v>Final Assembly</v>
      </c>
      <c r="F888">
        <v>158</v>
      </c>
      <c r="G888" s="1" t="str">
        <f>tbl_model[[#This Row],[ProductID]] &amp; "-" &amp; tbl_model[[#This Row],[LocationID]]</f>
        <v>915-60</v>
      </c>
    </row>
    <row r="889" spans="1:7">
      <c r="A889">
        <v>916</v>
      </c>
      <c r="B889">
        <v>6</v>
      </c>
      <c r="C889" t="str">
        <f>_xlfn.XLOOKUP(tbl_model[[#This Row],[ProductID]],tbl_product[ProductID],tbl_product[ProductName],"UNMAPPED_PRODUCT")</f>
        <v>HL Touring Seat/Saddle</v>
      </c>
      <c r="D889" t="str">
        <f>_xlfn.XLOOKUP(tbl_model[[#This Row],[ProductID]],tbl_product[ProductID],tbl_product[ProductNumber],"UNMAPPED_PRODUCT")</f>
        <v>SE-T924</v>
      </c>
      <c r="E889" t="str">
        <f>_xlfn.XLOOKUP(tbl_model[[#This Row],[LocationID]],tbl_location[LocationID],tbl_location[LocationName],"UNMAPPED_LOCATION")</f>
        <v>Miscellaneous Storage</v>
      </c>
      <c r="F889">
        <v>425</v>
      </c>
      <c r="G889" s="1" t="str">
        <f>tbl_model[[#This Row],[ProductID]] &amp; "-" &amp; tbl_model[[#This Row],[LocationID]]</f>
        <v>916-6</v>
      </c>
    </row>
    <row r="890" spans="1:7">
      <c r="A890">
        <v>916</v>
      </c>
      <c r="B890">
        <v>50</v>
      </c>
      <c r="C890" t="str">
        <f>_xlfn.XLOOKUP(tbl_model[[#This Row],[ProductID]],tbl_product[ProductID],tbl_product[ProductName],"UNMAPPED_PRODUCT")</f>
        <v>HL Touring Seat/Saddle</v>
      </c>
      <c r="D890" t="str">
        <f>_xlfn.XLOOKUP(tbl_model[[#This Row],[ProductID]],tbl_product[ProductID],tbl_product[ProductNumber],"UNMAPPED_PRODUCT")</f>
        <v>SE-T924</v>
      </c>
      <c r="E890" t="str">
        <f>_xlfn.XLOOKUP(tbl_model[[#This Row],[LocationID]],tbl_location[LocationID],tbl_location[LocationName],"UNMAPPED_LOCATION")</f>
        <v>Subassembly</v>
      </c>
      <c r="F890">
        <v>288</v>
      </c>
      <c r="G890" s="1" t="str">
        <f>tbl_model[[#This Row],[ProductID]] &amp; "-" &amp; tbl_model[[#This Row],[LocationID]]</f>
        <v>916-50</v>
      </c>
    </row>
    <row r="891" spans="1:7">
      <c r="A891">
        <v>916</v>
      </c>
      <c r="B891">
        <v>60</v>
      </c>
      <c r="C891" t="str">
        <f>_xlfn.XLOOKUP(tbl_model[[#This Row],[ProductID]],tbl_product[ProductID],tbl_product[ProductName],"UNMAPPED_PRODUCT")</f>
        <v>HL Touring Seat/Saddle</v>
      </c>
      <c r="D891" t="str">
        <f>_xlfn.XLOOKUP(tbl_model[[#This Row],[ProductID]],tbl_product[ProductID],tbl_product[ProductNumber],"UNMAPPED_PRODUCT")</f>
        <v>SE-T924</v>
      </c>
      <c r="E891" t="str">
        <f>_xlfn.XLOOKUP(tbl_model[[#This Row],[LocationID]],tbl_location[LocationID],tbl_location[LocationName],"UNMAPPED_LOCATION")</f>
        <v>Final Assembly</v>
      </c>
      <c r="F891">
        <v>276</v>
      </c>
      <c r="G891" s="1" t="str">
        <f>tbl_model[[#This Row],[ProductID]] &amp; "-" &amp; tbl_model[[#This Row],[LocationID]]</f>
        <v>916-60</v>
      </c>
    </row>
    <row r="892" spans="1:7">
      <c r="A892">
        <v>921</v>
      </c>
      <c r="B892">
        <v>6</v>
      </c>
      <c r="C892" t="str">
        <f>_xlfn.XLOOKUP(tbl_model[[#This Row],[ProductID]],tbl_product[ProductID],tbl_product[ProductName],"UNMAPPED_PRODUCT")</f>
        <v>Mountain Tire Tube</v>
      </c>
      <c r="D892" t="str">
        <f>_xlfn.XLOOKUP(tbl_model[[#This Row],[ProductID]],tbl_product[ProductID],tbl_product[ProductNumber],"UNMAPPED_PRODUCT")</f>
        <v>TT-M928</v>
      </c>
      <c r="E892" t="str">
        <f>_xlfn.XLOOKUP(tbl_model[[#This Row],[LocationID]],tbl_location[LocationID],tbl_location[LocationName],"UNMAPPED_LOCATION")</f>
        <v>Miscellaneous Storage</v>
      </c>
      <c r="F892">
        <v>286</v>
      </c>
      <c r="G892" s="1" t="str">
        <f>tbl_model[[#This Row],[ProductID]] &amp; "-" &amp; tbl_model[[#This Row],[LocationID]]</f>
        <v>921-6</v>
      </c>
    </row>
    <row r="893" spans="1:7">
      <c r="A893">
        <v>921</v>
      </c>
      <c r="B893">
        <v>50</v>
      </c>
      <c r="C893" t="str">
        <f>_xlfn.XLOOKUP(tbl_model[[#This Row],[ProductID]],tbl_product[ProductID],tbl_product[ProductName],"UNMAPPED_PRODUCT")</f>
        <v>Mountain Tire Tube</v>
      </c>
      <c r="D893" t="str">
        <f>_xlfn.XLOOKUP(tbl_model[[#This Row],[ProductID]],tbl_product[ProductID],tbl_product[ProductNumber],"UNMAPPED_PRODUCT")</f>
        <v>TT-M928</v>
      </c>
      <c r="E893" t="str">
        <f>_xlfn.XLOOKUP(tbl_model[[#This Row],[LocationID]],tbl_location[LocationID],tbl_location[LocationName],"UNMAPPED_LOCATION")</f>
        <v>Subassembly</v>
      </c>
      <c r="F893">
        <v>243</v>
      </c>
      <c r="G893" s="1" t="str">
        <f>tbl_model[[#This Row],[ProductID]] &amp; "-" &amp; tbl_model[[#This Row],[LocationID]]</f>
        <v>921-50</v>
      </c>
    </row>
    <row r="894" spans="1:7">
      <c r="A894">
        <v>922</v>
      </c>
      <c r="B894">
        <v>6</v>
      </c>
      <c r="C894" t="str">
        <f>_xlfn.XLOOKUP(tbl_model[[#This Row],[ProductID]],tbl_product[ProductID],tbl_product[ProductName],"UNMAPPED_PRODUCT")</f>
        <v>Road Tire Tube</v>
      </c>
      <c r="D894" t="str">
        <f>_xlfn.XLOOKUP(tbl_model[[#This Row],[ProductID]],tbl_product[ProductID],tbl_product[ProductNumber],"UNMAPPED_PRODUCT")</f>
        <v>TT-R982</v>
      </c>
      <c r="E894" t="str">
        <f>_xlfn.XLOOKUP(tbl_model[[#This Row],[LocationID]],tbl_location[LocationID],tbl_location[LocationName],"UNMAPPED_LOCATION")</f>
        <v>Miscellaneous Storage</v>
      </c>
      <c r="F894">
        <v>264</v>
      </c>
      <c r="G894" s="1" t="str">
        <f>tbl_model[[#This Row],[ProductID]] &amp; "-" &amp; tbl_model[[#This Row],[LocationID]]</f>
        <v>922-6</v>
      </c>
    </row>
    <row r="895" spans="1:7">
      <c r="A895">
        <v>922</v>
      </c>
      <c r="B895">
        <v>50</v>
      </c>
      <c r="C895" t="str">
        <f>_xlfn.XLOOKUP(tbl_model[[#This Row],[ProductID]],tbl_product[ProductID],tbl_product[ProductName],"UNMAPPED_PRODUCT")</f>
        <v>Road Tire Tube</v>
      </c>
      <c r="D895" t="str">
        <f>_xlfn.XLOOKUP(tbl_model[[#This Row],[ProductID]],tbl_product[ProductID],tbl_product[ProductNumber],"UNMAPPED_PRODUCT")</f>
        <v>TT-R982</v>
      </c>
      <c r="E895" t="str">
        <f>_xlfn.XLOOKUP(tbl_model[[#This Row],[LocationID]],tbl_location[LocationID],tbl_location[LocationName],"UNMAPPED_LOCATION")</f>
        <v>Subassembly</v>
      </c>
      <c r="F895">
        <v>241</v>
      </c>
      <c r="G895" s="1" t="str">
        <f>tbl_model[[#This Row],[ProductID]] &amp; "-" &amp; tbl_model[[#This Row],[LocationID]]</f>
        <v>922-50</v>
      </c>
    </row>
    <row r="896" spans="1:7">
      <c r="A896">
        <v>923</v>
      </c>
      <c r="B896">
        <v>6</v>
      </c>
      <c r="C896" t="str">
        <f>_xlfn.XLOOKUP(tbl_model[[#This Row],[ProductID]],tbl_product[ProductID],tbl_product[ProductName],"UNMAPPED_PRODUCT")</f>
        <v>Touring Tire Tube</v>
      </c>
      <c r="D896" t="str">
        <f>_xlfn.XLOOKUP(tbl_model[[#This Row],[ProductID]],tbl_product[ProductID],tbl_product[ProductNumber],"UNMAPPED_PRODUCT")</f>
        <v>TT-T092</v>
      </c>
      <c r="E896" t="str">
        <f>_xlfn.XLOOKUP(tbl_model[[#This Row],[LocationID]],tbl_location[LocationID],tbl_location[LocationName],"UNMAPPED_LOCATION")</f>
        <v>Miscellaneous Storage</v>
      </c>
      <c r="F896">
        <v>262</v>
      </c>
      <c r="G896" s="1" t="str">
        <f>tbl_model[[#This Row],[ProductID]] &amp; "-" &amp; tbl_model[[#This Row],[LocationID]]</f>
        <v>923-6</v>
      </c>
    </row>
    <row r="897" spans="1:7">
      <c r="A897">
        <v>923</v>
      </c>
      <c r="B897">
        <v>50</v>
      </c>
      <c r="C897" t="str">
        <f>_xlfn.XLOOKUP(tbl_model[[#This Row],[ProductID]],tbl_product[ProductID],tbl_product[ProductName],"UNMAPPED_PRODUCT")</f>
        <v>Touring Tire Tube</v>
      </c>
      <c r="D897" t="str">
        <f>_xlfn.XLOOKUP(tbl_model[[#This Row],[ProductID]],tbl_product[ProductID],tbl_product[ProductNumber],"UNMAPPED_PRODUCT")</f>
        <v>TT-T092</v>
      </c>
      <c r="E897" t="str">
        <f>_xlfn.XLOOKUP(tbl_model[[#This Row],[LocationID]],tbl_location[LocationID],tbl_location[LocationName],"UNMAPPED_LOCATION")</f>
        <v>Subassembly</v>
      </c>
      <c r="F897">
        <v>240</v>
      </c>
      <c r="G897" s="1" t="str">
        <f>tbl_model[[#This Row],[ProductID]] &amp; "-" &amp; tbl_model[[#This Row],[LocationID]]</f>
        <v>923-50</v>
      </c>
    </row>
    <row r="898" spans="1:7">
      <c r="A898">
        <v>928</v>
      </c>
      <c r="B898">
        <v>6</v>
      </c>
      <c r="C898" t="str">
        <f>_xlfn.XLOOKUP(tbl_model[[#This Row],[ProductID]],tbl_product[ProductID],tbl_product[ProductName],"UNMAPPED_PRODUCT")</f>
        <v>LL Mountain Tire</v>
      </c>
      <c r="D898" t="str">
        <f>_xlfn.XLOOKUP(tbl_model[[#This Row],[ProductID]],tbl_product[ProductID],tbl_product[ProductNumber],"UNMAPPED_PRODUCT")</f>
        <v>TI-M267</v>
      </c>
      <c r="E898" t="str">
        <f>_xlfn.XLOOKUP(tbl_model[[#This Row],[LocationID]],tbl_location[LocationID],tbl_location[LocationName],"UNMAPPED_LOCATION")</f>
        <v>Miscellaneous Storage</v>
      </c>
      <c r="F898">
        <v>240</v>
      </c>
      <c r="G898" s="1" t="str">
        <f>tbl_model[[#This Row],[ProductID]] &amp; "-" &amp; tbl_model[[#This Row],[LocationID]]</f>
        <v>928-6</v>
      </c>
    </row>
    <row r="899" spans="1:7">
      <c r="A899">
        <v>928</v>
      </c>
      <c r="B899">
        <v>50</v>
      </c>
      <c r="C899" t="str">
        <f>_xlfn.XLOOKUP(tbl_model[[#This Row],[ProductID]],tbl_product[ProductID],tbl_product[ProductName],"UNMAPPED_PRODUCT")</f>
        <v>LL Mountain Tire</v>
      </c>
      <c r="D899" t="str">
        <f>_xlfn.XLOOKUP(tbl_model[[#This Row],[ProductID]],tbl_product[ProductID],tbl_product[ProductNumber],"UNMAPPED_PRODUCT")</f>
        <v>TI-M267</v>
      </c>
      <c r="E899" t="str">
        <f>_xlfn.XLOOKUP(tbl_model[[#This Row],[LocationID]],tbl_location[LocationID],tbl_location[LocationName],"UNMAPPED_LOCATION")</f>
        <v>Subassembly</v>
      </c>
      <c r="F899">
        <v>369</v>
      </c>
      <c r="G899" s="1" t="str">
        <f>tbl_model[[#This Row],[ProductID]] &amp; "-" &amp; tbl_model[[#This Row],[LocationID]]</f>
        <v>928-50</v>
      </c>
    </row>
    <row r="900" spans="1:7">
      <c r="A900">
        <v>929</v>
      </c>
      <c r="B900">
        <v>6</v>
      </c>
      <c r="C900" t="str">
        <f>_xlfn.XLOOKUP(tbl_model[[#This Row],[ProductID]],tbl_product[ProductID],tbl_product[ProductName],"UNMAPPED_PRODUCT")</f>
        <v>ML Mountain Tire</v>
      </c>
      <c r="D900" t="str">
        <f>_xlfn.XLOOKUP(tbl_model[[#This Row],[ProductID]],tbl_product[ProductID],tbl_product[ProductNumber],"UNMAPPED_PRODUCT")</f>
        <v>TI-M602</v>
      </c>
      <c r="E900" t="str">
        <f>_xlfn.XLOOKUP(tbl_model[[#This Row],[LocationID]],tbl_location[LocationID],tbl_location[LocationName],"UNMAPPED_LOCATION")</f>
        <v>Miscellaneous Storage</v>
      </c>
      <c r="F900">
        <v>385</v>
      </c>
      <c r="G900" s="1" t="str">
        <f>tbl_model[[#This Row],[ProductID]] &amp; "-" &amp; tbl_model[[#This Row],[LocationID]]</f>
        <v>929-6</v>
      </c>
    </row>
    <row r="901" spans="1:7">
      <c r="A901">
        <v>929</v>
      </c>
      <c r="B901">
        <v>50</v>
      </c>
      <c r="C901" t="str">
        <f>_xlfn.XLOOKUP(tbl_model[[#This Row],[ProductID]],tbl_product[ProductID],tbl_product[ProductName],"UNMAPPED_PRODUCT")</f>
        <v>ML Mountain Tire</v>
      </c>
      <c r="D901" t="str">
        <f>_xlfn.XLOOKUP(tbl_model[[#This Row],[ProductID]],tbl_product[ProductID],tbl_product[ProductNumber],"UNMAPPED_PRODUCT")</f>
        <v>TI-M602</v>
      </c>
      <c r="E901" t="str">
        <f>_xlfn.XLOOKUP(tbl_model[[#This Row],[LocationID]],tbl_location[LocationID],tbl_location[LocationName],"UNMAPPED_LOCATION")</f>
        <v>Subassembly</v>
      </c>
      <c r="F901">
        <v>284</v>
      </c>
      <c r="G901" s="1" t="str">
        <f>tbl_model[[#This Row],[ProductID]] &amp; "-" &amp; tbl_model[[#This Row],[LocationID]]</f>
        <v>929-50</v>
      </c>
    </row>
    <row r="902" spans="1:7">
      <c r="A902">
        <v>930</v>
      </c>
      <c r="B902">
        <v>6</v>
      </c>
      <c r="C902" t="str">
        <f>_xlfn.XLOOKUP(tbl_model[[#This Row],[ProductID]],tbl_product[ProductID],tbl_product[ProductName],"UNMAPPED_PRODUCT")</f>
        <v>HL Mountain Tire</v>
      </c>
      <c r="D902" t="str">
        <f>_xlfn.XLOOKUP(tbl_model[[#This Row],[ProductID]],tbl_product[ProductID],tbl_product[ProductNumber],"UNMAPPED_PRODUCT")</f>
        <v>TI-M823</v>
      </c>
      <c r="E902" t="str">
        <f>_xlfn.XLOOKUP(tbl_model[[#This Row],[LocationID]],tbl_location[LocationID],tbl_location[LocationName],"UNMAPPED_LOCATION")</f>
        <v>Miscellaneous Storage</v>
      </c>
      <c r="F902">
        <v>267</v>
      </c>
      <c r="G902" s="1" t="str">
        <f>tbl_model[[#This Row],[ProductID]] &amp; "-" &amp; tbl_model[[#This Row],[LocationID]]</f>
        <v>930-6</v>
      </c>
    </row>
    <row r="903" spans="1:7">
      <c r="A903">
        <v>930</v>
      </c>
      <c r="B903">
        <v>50</v>
      </c>
      <c r="C903" t="str">
        <f>_xlfn.XLOOKUP(tbl_model[[#This Row],[ProductID]],tbl_product[ProductID],tbl_product[ProductName],"UNMAPPED_PRODUCT")</f>
        <v>HL Mountain Tire</v>
      </c>
      <c r="D903" t="str">
        <f>_xlfn.XLOOKUP(tbl_model[[#This Row],[ProductID]],tbl_product[ProductID],tbl_product[ProductNumber],"UNMAPPED_PRODUCT")</f>
        <v>TI-M823</v>
      </c>
      <c r="E903" t="str">
        <f>_xlfn.XLOOKUP(tbl_model[[#This Row],[LocationID]],tbl_location[LocationID],tbl_location[LocationName],"UNMAPPED_LOCATION")</f>
        <v>Subassembly</v>
      </c>
      <c r="F903">
        <v>232</v>
      </c>
      <c r="G903" s="1" t="str">
        <f>tbl_model[[#This Row],[ProductID]] &amp; "-" &amp; tbl_model[[#This Row],[LocationID]]</f>
        <v>930-50</v>
      </c>
    </row>
    <row r="904" spans="1:7">
      <c r="A904">
        <v>931</v>
      </c>
      <c r="B904">
        <v>6</v>
      </c>
      <c r="C904" t="str">
        <f>_xlfn.XLOOKUP(tbl_model[[#This Row],[ProductID]],tbl_product[ProductID],tbl_product[ProductName],"UNMAPPED_PRODUCT")</f>
        <v>LL Road Tire</v>
      </c>
      <c r="D904" t="str">
        <f>_xlfn.XLOOKUP(tbl_model[[#This Row],[ProductID]],tbl_product[ProductID],tbl_product[ProductNumber],"UNMAPPED_PRODUCT")</f>
        <v>TI-R092</v>
      </c>
      <c r="E904" t="str">
        <f>_xlfn.XLOOKUP(tbl_model[[#This Row],[LocationID]],tbl_location[LocationID],tbl_location[LocationName],"UNMAPPED_LOCATION")</f>
        <v>Miscellaneous Storage</v>
      </c>
      <c r="F904">
        <v>236</v>
      </c>
      <c r="G904" s="1" t="str">
        <f>tbl_model[[#This Row],[ProductID]] &amp; "-" &amp; tbl_model[[#This Row],[LocationID]]</f>
        <v>931-6</v>
      </c>
    </row>
    <row r="905" spans="1:7">
      <c r="A905">
        <v>931</v>
      </c>
      <c r="B905">
        <v>50</v>
      </c>
      <c r="C905" t="str">
        <f>_xlfn.XLOOKUP(tbl_model[[#This Row],[ProductID]],tbl_product[ProductID],tbl_product[ProductName],"UNMAPPED_PRODUCT")</f>
        <v>LL Road Tire</v>
      </c>
      <c r="D905" t="str">
        <f>_xlfn.XLOOKUP(tbl_model[[#This Row],[ProductID]],tbl_product[ProductID],tbl_product[ProductNumber],"UNMAPPED_PRODUCT")</f>
        <v>TI-R092</v>
      </c>
      <c r="E905" t="str">
        <f>_xlfn.XLOOKUP(tbl_model[[#This Row],[LocationID]],tbl_location[LocationID],tbl_location[LocationName],"UNMAPPED_LOCATION")</f>
        <v>Subassembly</v>
      </c>
      <c r="F905">
        <v>252</v>
      </c>
      <c r="G905" s="1" t="str">
        <f>tbl_model[[#This Row],[ProductID]] &amp; "-" &amp; tbl_model[[#This Row],[LocationID]]</f>
        <v>931-50</v>
      </c>
    </row>
    <row r="906" spans="1:7">
      <c r="A906">
        <v>932</v>
      </c>
      <c r="B906">
        <v>6</v>
      </c>
      <c r="C906" t="str">
        <f>_xlfn.XLOOKUP(tbl_model[[#This Row],[ProductID]],tbl_product[ProductID],tbl_product[ProductName],"UNMAPPED_PRODUCT")</f>
        <v>ML Road Tire</v>
      </c>
      <c r="D906" t="str">
        <f>_xlfn.XLOOKUP(tbl_model[[#This Row],[ProductID]],tbl_product[ProductID],tbl_product[ProductNumber],"UNMAPPED_PRODUCT")</f>
        <v>TI-R628</v>
      </c>
      <c r="E906" t="str">
        <f>_xlfn.XLOOKUP(tbl_model[[#This Row],[LocationID]],tbl_location[LocationID],tbl_location[LocationName],"UNMAPPED_LOCATION")</f>
        <v>Miscellaneous Storage</v>
      </c>
      <c r="F906">
        <v>382</v>
      </c>
      <c r="G906" s="1" t="str">
        <f>tbl_model[[#This Row],[ProductID]] &amp; "-" &amp; tbl_model[[#This Row],[LocationID]]</f>
        <v>932-6</v>
      </c>
    </row>
    <row r="907" spans="1:7">
      <c r="A907">
        <v>932</v>
      </c>
      <c r="B907">
        <v>50</v>
      </c>
      <c r="C907" t="str">
        <f>_xlfn.XLOOKUP(tbl_model[[#This Row],[ProductID]],tbl_product[ProductID],tbl_product[ProductName],"UNMAPPED_PRODUCT")</f>
        <v>ML Road Tire</v>
      </c>
      <c r="D907" t="str">
        <f>_xlfn.XLOOKUP(tbl_model[[#This Row],[ProductID]],tbl_product[ProductID],tbl_product[ProductNumber],"UNMAPPED_PRODUCT")</f>
        <v>TI-R628</v>
      </c>
      <c r="E907" t="str">
        <f>_xlfn.XLOOKUP(tbl_model[[#This Row],[LocationID]],tbl_location[LocationID],tbl_location[LocationName],"UNMAPPED_LOCATION")</f>
        <v>Subassembly</v>
      </c>
      <c r="F907">
        <v>192</v>
      </c>
      <c r="G907" s="1" t="str">
        <f>tbl_model[[#This Row],[ProductID]] &amp; "-" &amp; tbl_model[[#This Row],[LocationID]]</f>
        <v>932-50</v>
      </c>
    </row>
    <row r="908" spans="1:7">
      <c r="A908">
        <v>933</v>
      </c>
      <c r="B908">
        <v>6</v>
      </c>
      <c r="C908" t="str">
        <f>_xlfn.XLOOKUP(tbl_model[[#This Row],[ProductID]],tbl_product[ProductID],tbl_product[ProductName],"UNMAPPED_PRODUCT")</f>
        <v>HL Road Tire</v>
      </c>
      <c r="D908" t="str">
        <f>_xlfn.XLOOKUP(tbl_model[[#This Row],[ProductID]],tbl_product[ProductID],tbl_product[ProductNumber],"UNMAPPED_PRODUCT")</f>
        <v>TI-R982</v>
      </c>
      <c r="E908" t="str">
        <f>_xlfn.XLOOKUP(tbl_model[[#This Row],[LocationID]],tbl_location[LocationID],tbl_location[LocationName],"UNMAPPED_LOCATION")</f>
        <v>Miscellaneous Storage</v>
      </c>
      <c r="F908">
        <v>299</v>
      </c>
      <c r="G908" s="1" t="str">
        <f>tbl_model[[#This Row],[ProductID]] &amp; "-" &amp; tbl_model[[#This Row],[LocationID]]</f>
        <v>933-6</v>
      </c>
    </row>
    <row r="909" spans="1:7">
      <c r="A909">
        <v>933</v>
      </c>
      <c r="B909">
        <v>50</v>
      </c>
      <c r="C909" t="str">
        <f>_xlfn.XLOOKUP(tbl_model[[#This Row],[ProductID]],tbl_product[ProductID],tbl_product[ProductName],"UNMAPPED_PRODUCT")</f>
        <v>HL Road Tire</v>
      </c>
      <c r="D909" t="str">
        <f>_xlfn.XLOOKUP(tbl_model[[#This Row],[ProductID]],tbl_product[ProductID],tbl_product[ProductNumber],"UNMAPPED_PRODUCT")</f>
        <v>TI-R982</v>
      </c>
      <c r="E909" t="str">
        <f>_xlfn.XLOOKUP(tbl_model[[#This Row],[LocationID]],tbl_location[LocationID],tbl_location[LocationName],"UNMAPPED_LOCATION")</f>
        <v>Subassembly</v>
      </c>
      <c r="F909">
        <v>228</v>
      </c>
      <c r="G909" s="1" t="str">
        <f>tbl_model[[#This Row],[ProductID]] &amp; "-" &amp; tbl_model[[#This Row],[LocationID]]</f>
        <v>933-50</v>
      </c>
    </row>
    <row r="910" spans="1:7">
      <c r="A910">
        <v>934</v>
      </c>
      <c r="B910">
        <v>6</v>
      </c>
      <c r="C910" t="str">
        <f>_xlfn.XLOOKUP(tbl_model[[#This Row],[ProductID]],tbl_product[ProductID],tbl_product[ProductName],"UNMAPPED_PRODUCT")</f>
        <v>Touring Tire</v>
      </c>
      <c r="D910" t="str">
        <f>_xlfn.XLOOKUP(tbl_model[[#This Row],[ProductID]],tbl_product[ProductID],tbl_product[ProductNumber],"UNMAPPED_PRODUCT")</f>
        <v>TI-T723</v>
      </c>
      <c r="E910" t="str">
        <f>_xlfn.XLOOKUP(tbl_model[[#This Row],[LocationID]],tbl_location[LocationID],tbl_location[LocationName],"UNMAPPED_LOCATION")</f>
        <v>Miscellaneous Storage</v>
      </c>
      <c r="F910">
        <v>233</v>
      </c>
      <c r="G910" s="1" t="str">
        <f>tbl_model[[#This Row],[ProductID]] &amp; "-" &amp; tbl_model[[#This Row],[LocationID]]</f>
        <v>934-6</v>
      </c>
    </row>
    <row r="911" spans="1:7">
      <c r="A911">
        <v>934</v>
      </c>
      <c r="B911">
        <v>50</v>
      </c>
      <c r="C911" t="str">
        <f>_xlfn.XLOOKUP(tbl_model[[#This Row],[ProductID]],tbl_product[ProductID],tbl_product[ProductName],"UNMAPPED_PRODUCT")</f>
        <v>Touring Tire</v>
      </c>
      <c r="D911" t="str">
        <f>_xlfn.XLOOKUP(tbl_model[[#This Row],[ProductID]],tbl_product[ProductID],tbl_product[ProductNumber],"UNMAPPED_PRODUCT")</f>
        <v>TI-T723</v>
      </c>
      <c r="E911" t="str">
        <f>_xlfn.XLOOKUP(tbl_model[[#This Row],[LocationID]],tbl_location[LocationID],tbl_location[LocationName],"UNMAPPED_LOCATION")</f>
        <v>Subassembly</v>
      </c>
      <c r="F911">
        <v>249</v>
      </c>
      <c r="G911" s="1" t="str">
        <f>tbl_model[[#This Row],[ProductID]] &amp; "-" &amp; tbl_model[[#This Row],[LocationID]]</f>
        <v>934-50</v>
      </c>
    </row>
    <row r="912" spans="1:7">
      <c r="A912">
        <v>935</v>
      </c>
      <c r="B912">
        <v>1</v>
      </c>
      <c r="C912" t="str">
        <f>_xlfn.XLOOKUP(tbl_model[[#This Row],[ProductID]],tbl_product[ProductID],tbl_product[ProductName],"UNMAPPED_PRODUCT")</f>
        <v>LL Mountain Pedal</v>
      </c>
      <c r="D912" t="str">
        <f>_xlfn.XLOOKUP(tbl_model[[#This Row],[ProductID]],tbl_product[ProductID],tbl_product[ProductNumber],"UNMAPPED_PRODUCT")</f>
        <v>PD-M282</v>
      </c>
      <c r="E912" t="str">
        <f>_xlfn.XLOOKUP(tbl_model[[#This Row],[LocationID]],tbl_location[LocationID],tbl_location[LocationName],"UNMAPPED_LOCATION")</f>
        <v>Tool Crib</v>
      </c>
      <c r="F912">
        <v>174</v>
      </c>
      <c r="G912" s="1" t="str">
        <f>tbl_model[[#This Row],[ProductID]] &amp; "-" &amp; tbl_model[[#This Row],[LocationID]]</f>
        <v>935-1</v>
      </c>
    </row>
    <row r="913" spans="1:7">
      <c r="A913">
        <v>935</v>
      </c>
      <c r="B913">
        <v>6</v>
      </c>
      <c r="C913" t="str">
        <f>_xlfn.XLOOKUP(tbl_model[[#This Row],[ProductID]],tbl_product[ProductID],tbl_product[ProductName],"UNMAPPED_PRODUCT")</f>
        <v>LL Mountain Pedal</v>
      </c>
      <c r="D913" t="str">
        <f>_xlfn.XLOOKUP(tbl_model[[#This Row],[ProductID]],tbl_product[ProductID],tbl_product[ProductNumber],"UNMAPPED_PRODUCT")</f>
        <v>PD-M282</v>
      </c>
      <c r="E913" t="str">
        <f>_xlfn.XLOOKUP(tbl_model[[#This Row],[LocationID]],tbl_location[LocationID],tbl_location[LocationName],"UNMAPPED_LOCATION")</f>
        <v>Miscellaneous Storage</v>
      </c>
      <c r="F913">
        <v>182</v>
      </c>
      <c r="G913" s="1" t="str">
        <f>tbl_model[[#This Row],[ProductID]] &amp; "-" &amp; tbl_model[[#This Row],[LocationID]]</f>
        <v>935-6</v>
      </c>
    </row>
    <row r="914" spans="1:7">
      <c r="A914">
        <v>935</v>
      </c>
      <c r="B914">
        <v>50</v>
      </c>
      <c r="C914" t="str">
        <f>_xlfn.XLOOKUP(tbl_model[[#This Row],[ProductID]],tbl_product[ProductID],tbl_product[ProductName],"UNMAPPED_PRODUCT")</f>
        <v>LL Mountain Pedal</v>
      </c>
      <c r="D914" t="str">
        <f>_xlfn.XLOOKUP(tbl_model[[#This Row],[ProductID]],tbl_product[ProductID],tbl_product[ProductNumber],"UNMAPPED_PRODUCT")</f>
        <v>PD-M282</v>
      </c>
      <c r="E914" t="str">
        <f>_xlfn.XLOOKUP(tbl_model[[#This Row],[LocationID]],tbl_location[LocationID],tbl_location[LocationName],"UNMAPPED_LOCATION")</f>
        <v>Subassembly</v>
      </c>
      <c r="F914">
        <v>156</v>
      </c>
      <c r="G914" s="1" t="str">
        <f>tbl_model[[#This Row],[ProductID]] &amp; "-" &amp; tbl_model[[#This Row],[LocationID]]</f>
        <v>935-50</v>
      </c>
    </row>
    <row r="915" spans="1:7">
      <c r="A915">
        <v>936</v>
      </c>
      <c r="B915">
        <v>1</v>
      </c>
      <c r="C915" t="str">
        <f>_xlfn.XLOOKUP(tbl_model[[#This Row],[ProductID]],tbl_product[ProductID],tbl_product[ProductName],"UNMAPPED_PRODUCT")</f>
        <v>ML Mountain Pedal</v>
      </c>
      <c r="D915" t="str">
        <f>_xlfn.XLOOKUP(tbl_model[[#This Row],[ProductID]],tbl_product[ProductID],tbl_product[ProductNumber],"UNMAPPED_PRODUCT")</f>
        <v>PD-M340</v>
      </c>
      <c r="E915" t="str">
        <f>_xlfn.XLOOKUP(tbl_model[[#This Row],[LocationID]],tbl_location[LocationID],tbl_location[LocationName],"UNMAPPED_LOCATION")</f>
        <v>Tool Crib</v>
      </c>
      <c r="F915">
        <v>172</v>
      </c>
      <c r="G915" s="1" t="str">
        <f>tbl_model[[#This Row],[ProductID]] &amp; "-" &amp; tbl_model[[#This Row],[LocationID]]</f>
        <v>936-1</v>
      </c>
    </row>
    <row r="916" spans="1:7">
      <c r="A916">
        <v>936</v>
      </c>
      <c r="B916">
        <v>6</v>
      </c>
      <c r="C916" t="str">
        <f>_xlfn.XLOOKUP(tbl_model[[#This Row],[ProductID]],tbl_product[ProductID],tbl_product[ProductName],"UNMAPPED_PRODUCT")</f>
        <v>ML Mountain Pedal</v>
      </c>
      <c r="D916" t="str">
        <f>_xlfn.XLOOKUP(tbl_model[[#This Row],[ProductID]],tbl_product[ProductID],tbl_product[ProductNumber],"UNMAPPED_PRODUCT")</f>
        <v>PD-M340</v>
      </c>
      <c r="E916" t="str">
        <f>_xlfn.XLOOKUP(tbl_model[[#This Row],[LocationID]],tbl_location[LocationID],tbl_location[LocationName],"UNMAPPED_LOCATION")</f>
        <v>Miscellaneous Storage</v>
      </c>
      <c r="F916">
        <v>180</v>
      </c>
      <c r="G916" s="1" t="str">
        <f>tbl_model[[#This Row],[ProductID]] &amp; "-" &amp; tbl_model[[#This Row],[LocationID]]</f>
        <v>936-6</v>
      </c>
    </row>
    <row r="917" spans="1:7">
      <c r="A917">
        <v>936</v>
      </c>
      <c r="B917">
        <v>50</v>
      </c>
      <c r="C917" t="str">
        <f>_xlfn.XLOOKUP(tbl_model[[#This Row],[ProductID]],tbl_product[ProductID],tbl_product[ProductName],"UNMAPPED_PRODUCT")</f>
        <v>ML Mountain Pedal</v>
      </c>
      <c r="D917" t="str">
        <f>_xlfn.XLOOKUP(tbl_model[[#This Row],[ProductID]],tbl_product[ProductID],tbl_product[ProductNumber],"UNMAPPED_PRODUCT")</f>
        <v>PD-M340</v>
      </c>
      <c r="E917" t="str">
        <f>_xlfn.XLOOKUP(tbl_model[[#This Row],[LocationID]],tbl_location[LocationID],tbl_location[LocationName],"UNMAPPED_LOCATION")</f>
        <v>Subassembly</v>
      </c>
      <c r="F917">
        <v>155</v>
      </c>
      <c r="G917" s="1" t="str">
        <f>tbl_model[[#This Row],[ProductID]] &amp; "-" &amp; tbl_model[[#This Row],[LocationID]]</f>
        <v>936-50</v>
      </c>
    </row>
    <row r="918" spans="1:7">
      <c r="A918">
        <v>937</v>
      </c>
      <c r="B918">
        <v>1</v>
      </c>
      <c r="C918" t="str">
        <f>_xlfn.XLOOKUP(tbl_model[[#This Row],[ProductID]],tbl_product[ProductID],tbl_product[ProductName],"UNMAPPED_PRODUCT")</f>
        <v>HL Mountain Pedal</v>
      </c>
      <c r="D918" t="str">
        <f>_xlfn.XLOOKUP(tbl_model[[#This Row],[ProductID]],tbl_product[ProductID],tbl_product[ProductNumber],"UNMAPPED_PRODUCT")</f>
        <v>PD-M562</v>
      </c>
      <c r="E918" t="str">
        <f>_xlfn.XLOOKUP(tbl_model[[#This Row],[LocationID]],tbl_location[LocationID],tbl_location[LocationName],"UNMAPPED_LOCATION")</f>
        <v>Tool Crib</v>
      </c>
      <c r="F918">
        <v>171</v>
      </c>
      <c r="G918" s="1" t="str">
        <f>tbl_model[[#This Row],[ProductID]] &amp; "-" &amp; tbl_model[[#This Row],[LocationID]]</f>
        <v>937-1</v>
      </c>
    </row>
    <row r="919" spans="1:7">
      <c r="A919">
        <v>937</v>
      </c>
      <c r="B919">
        <v>6</v>
      </c>
      <c r="C919" t="str">
        <f>_xlfn.XLOOKUP(tbl_model[[#This Row],[ProductID]],tbl_product[ProductID],tbl_product[ProductName],"UNMAPPED_PRODUCT")</f>
        <v>HL Mountain Pedal</v>
      </c>
      <c r="D919" t="str">
        <f>_xlfn.XLOOKUP(tbl_model[[#This Row],[ProductID]],tbl_product[ProductID],tbl_product[ProductNumber],"UNMAPPED_PRODUCT")</f>
        <v>PD-M562</v>
      </c>
      <c r="E919" t="str">
        <f>_xlfn.XLOOKUP(tbl_model[[#This Row],[LocationID]],tbl_location[LocationID],tbl_location[LocationName],"UNMAPPED_LOCATION")</f>
        <v>Miscellaneous Storage</v>
      </c>
      <c r="F919">
        <v>179</v>
      </c>
      <c r="G919" s="1" t="str">
        <f>tbl_model[[#This Row],[ProductID]] &amp; "-" &amp; tbl_model[[#This Row],[LocationID]]</f>
        <v>937-6</v>
      </c>
    </row>
    <row r="920" spans="1:7">
      <c r="A920">
        <v>937</v>
      </c>
      <c r="B920">
        <v>50</v>
      </c>
      <c r="C920" t="str">
        <f>_xlfn.XLOOKUP(tbl_model[[#This Row],[ProductID]],tbl_product[ProductID],tbl_product[ProductName],"UNMAPPED_PRODUCT")</f>
        <v>HL Mountain Pedal</v>
      </c>
      <c r="D920" t="str">
        <f>_xlfn.XLOOKUP(tbl_model[[#This Row],[ProductID]],tbl_product[ProductID],tbl_product[ProductNumber],"UNMAPPED_PRODUCT")</f>
        <v>PD-M562</v>
      </c>
      <c r="E920" t="str">
        <f>_xlfn.XLOOKUP(tbl_model[[#This Row],[LocationID]],tbl_location[LocationID],tbl_location[LocationName],"UNMAPPED_LOCATION")</f>
        <v>Subassembly</v>
      </c>
      <c r="F920">
        <v>153</v>
      </c>
      <c r="G920" s="1" t="str">
        <f>tbl_model[[#This Row],[ProductID]] &amp; "-" &amp; tbl_model[[#This Row],[LocationID]]</f>
        <v>937-50</v>
      </c>
    </row>
    <row r="921" spans="1:7">
      <c r="A921">
        <v>938</v>
      </c>
      <c r="B921">
        <v>1</v>
      </c>
      <c r="C921" t="str">
        <f>_xlfn.XLOOKUP(tbl_model[[#This Row],[ProductID]],tbl_product[ProductID],tbl_product[ProductName],"UNMAPPED_PRODUCT")</f>
        <v>LL Road Pedal</v>
      </c>
      <c r="D921" t="str">
        <f>_xlfn.XLOOKUP(tbl_model[[#This Row],[ProductID]],tbl_product[ProductID],tbl_product[ProductNumber],"UNMAPPED_PRODUCT")</f>
        <v>PD-R347</v>
      </c>
      <c r="E921" t="str">
        <f>_xlfn.XLOOKUP(tbl_model[[#This Row],[LocationID]],tbl_location[LocationID],tbl_location[LocationName],"UNMAPPED_LOCATION")</f>
        <v>Tool Crib</v>
      </c>
      <c r="F921">
        <v>169</v>
      </c>
      <c r="G921" s="1" t="str">
        <f>tbl_model[[#This Row],[ProductID]] &amp; "-" &amp; tbl_model[[#This Row],[LocationID]]</f>
        <v>938-1</v>
      </c>
    </row>
    <row r="922" spans="1:7">
      <c r="A922">
        <v>938</v>
      </c>
      <c r="B922">
        <v>6</v>
      </c>
      <c r="C922" t="str">
        <f>_xlfn.XLOOKUP(tbl_model[[#This Row],[ProductID]],tbl_product[ProductID],tbl_product[ProductName],"UNMAPPED_PRODUCT")</f>
        <v>LL Road Pedal</v>
      </c>
      <c r="D922" t="str">
        <f>_xlfn.XLOOKUP(tbl_model[[#This Row],[ProductID]],tbl_product[ProductID],tbl_product[ProductNumber],"UNMAPPED_PRODUCT")</f>
        <v>PD-R347</v>
      </c>
      <c r="E922" t="str">
        <f>_xlfn.XLOOKUP(tbl_model[[#This Row],[LocationID]],tbl_location[LocationID],tbl_location[LocationName],"UNMAPPED_LOCATION")</f>
        <v>Miscellaneous Storage</v>
      </c>
      <c r="F922">
        <v>177</v>
      </c>
      <c r="G922" s="1" t="str">
        <f>tbl_model[[#This Row],[ProductID]] &amp; "-" &amp; tbl_model[[#This Row],[LocationID]]</f>
        <v>938-6</v>
      </c>
    </row>
    <row r="923" spans="1:7">
      <c r="A923">
        <v>938</v>
      </c>
      <c r="B923">
        <v>50</v>
      </c>
      <c r="C923" t="str">
        <f>_xlfn.XLOOKUP(tbl_model[[#This Row],[ProductID]],tbl_product[ProductID],tbl_product[ProductName],"UNMAPPED_PRODUCT")</f>
        <v>LL Road Pedal</v>
      </c>
      <c r="D923" t="str">
        <f>_xlfn.XLOOKUP(tbl_model[[#This Row],[ProductID]],tbl_product[ProductID],tbl_product[ProductNumber],"UNMAPPED_PRODUCT")</f>
        <v>PD-R347</v>
      </c>
      <c r="E923" t="str">
        <f>_xlfn.XLOOKUP(tbl_model[[#This Row],[LocationID]],tbl_location[LocationID],tbl_location[LocationName],"UNMAPPED_LOCATION")</f>
        <v>Subassembly</v>
      </c>
      <c r="F923">
        <v>152</v>
      </c>
      <c r="G923" s="1" t="str">
        <f>tbl_model[[#This Row],[ProductID]] &amp; "-" &amp; tbl_model[[#This Row],[LocationID]]</f>
        <v>938-50</v>
      </c>
    </row>
    <row r="924" spans="1:7">
      <c r="A924">
        <v>939</v>
      </c>
      <c r="B924">
        <v>1</v>
      </c>
      <c r="C924" t="str">
        <f>_xlfn.XLOOKUP(tbl_model[[#This Row],[ProductID]],tbl_product[ProductID],tbl_product[ProductName],"UNMAPPED_PRODUCT")</f>
        <v>ML Road Pedal</v>
      </c>
      <c r="D924" t="str">
        <f>_xlfn.XLOOKUP(tbl_model[[#This Row],[ProductID]],tbl_product[ProductID],tbl_product[ProductNumber],"UNMAPPED_PRODUCT")</f>
        <v>PD-R563</v>
      </c>
      <c r="E924" t="str">
        <f>_xlfn.XLOOKUP(tbl_model[[#This Row],[LocationID]],tbl_location[LocationID],tbl_location[LocationName],"UNMAPPED_LOCATION")</f>
        <v>Tool Crib</v>
      </c>
      <c r="F924">
        <v>168</v>
      </c>
      <c r="G924" s="1" t="str">
        <f>tbl_model[[#This Row],[ProductID]] &amp; "-" &amp; tbl_model[[#This Row],[LocationID]]</f>
        <v>939-1</v>
      </c>
    </row>
    <row r="925" spans="1:7">
      <c r="A925">
        <v>939</v>
      </c>
      <c r="B925">
        <v>6</v>
      </c>
      <c r="C925" t="str">
        <f>_xlfn.XLOOKUP(tbl_model[[#This Row],[ProductID]],tbl_product[ProductID],tbl_product[ProductName],"UNMAPPED_PRODUCT")</f>
        <v>ML Road Pedal</v>
      </c>
      <c r="D925" t="str">
        <f>_xlfn.XLOOKUP(tbl_model[[#This Row],[ProductID]],tbl_product[ProductID],tbl_product[ProductNumber],"UNMAPPED_PRODUCT")</f>
        <v>PD-R563</v>
      </c>
      <c r="E925" t="str">
        <f>_xlfn.XLOOKUP(tbl_model[[#This Row],[LocationID]],tbl_location[LocationID],tbl_location[LocationName],"UNMAPPED_LOCATION")</f>
        <v>Miscellaneous Storage</v>
      </c>
      <c r="F925">
        <v>176</v>
      </c>
      <c r="G925" s="1" t="str">
        <f>tbl_model[[#This Row],[ProductID]] &amp; "-" &amp; tbl_model[[#This Row],[LocationID]]</f>
        <v>939-6</v>
      </c>
    </row>
    <row r="926" spans="1:7">
      <c r="A926">
        <v>939</v>
      </c>
      <c r="B926">
        <v>50</v>
      </c>
      <c r="C926" t="str">
        <f>_xlfn.XLOOKUP(tbl_model[[#This Row],[ProductID]],tbl_product[ProductID],tbl_product[ProductName],"UNMAPPED_PRODUCT")</f>
        <v>ML Road Pedal</v>
      </c>
      <c r="D926" t="str">
        <f>_xlfn.XLOOKUP(tbl_model[[#This Row],[ProductID]],tbl_product[ProductID],tbl_product[ProductNumber],"UNMAPPED_PRODUCT")</f>
        <v>PD-R563</v>
      </c>
      <c r="E926" t="str">
        <f>_xlfn.XLOOKUP(tbl_model[[#This Row],[LocationID]],tbl_location[LocationID],tbl_location[LocationName],"UNMAPPED_LOCATION")</f>
        <v>Subassembly</v>
      </c>
      <c r="F926">
        <v>150</v>
      </c>
      <c r="G926" s="1" t="str">
        <f>tbl_model[[#This Row],[ProductID]] &amp; "-" &amp; tbl_model[[#This Row],[LocationID]]</f>
        <v>939-50</v>
      </c>
    </row>
    <row r="927" spans="1:7">
      <c r="A927">
        <v>940</v>
      </c>
      <c r="B927">
        <v>1</v>
      </c>
      <c r="C927" t="str">
        <f>_xlfn.XLOOKUP(tbl_model[[#This Row],[ProductID]],tbl_product[ProductID],tbl_product[ProductName],"UNMAPPED_PRODUCT")</f>
        <v>HL Road Pedal</v>
      </c>
      <c r="D927" t="str">
        <f>_xlfn.XLOOKUP(tbl_model[[#This Row],[ProductID]],tbl_product[ProductID],tbl_product[ProductNumber],"UNMAPPED_PRODUCT")</f>
        <v>PD-R853</v>
      </c>
      <c r="E927" t="str">
        <f>_xlfn.XLOOKUP(tbl_model[[#This Row],[LocationID]],tbl_location[LocationID],tbl_location[LocationName],"UNMAPPED_LOCATION")</f>
        <v>Tool Crib</v>
      </c>
      <c r="F927">
        <v>316</v>
      </c>
      <c r="G927" s="1" t="str">
        <f>tbl_model[[#This Row],[ProductID]] &amp; "-" &amp; tbl_model[[#This Row],[LocationID]]</f>
        <v>940-1</v>
      </c>
    </row>
    <row r="928" spans="1:7">
      <c r="A928">
        <v>940</v>
      </c>
      <c r="B928">
        <v>6</v>
      </c>
      <c r="C928" t="str">
        <f>_xlfn.XLOOKUP(tbl_model[[#This Row],[ProductID]],tbl_product[ProductID],tbl_product[ProductName],"UNMAPPED_PRODUCT")</f>
        <v>HL Road Pedal</v>
      </c>
      <c r="D928" t="str">
        <f>_xlfn.XLOOKUP(tbl_model[[#This Row],[ProductID]],tbl_product[ProductID],tbl_product[ProductNumber],"UNMAPPED_PRODUCT")</f>
        <v>PD-R853</v>
      </c>
      <c r="E928" t="str">
        <f>_xlfn.XLOOKUP(tbl_model[[#This Row],[LocationID]],tbl_location[LocationID],tbl_location[LocationName],"UNMAPPED_LOCATION")</f>
        <v>Miscellaneous Storage</v>
      </c>
      <c r="F928">
        <v>267</v>
      </c>
      <c r="G928" s="1" t="str">
        <f>tbl_model[[#This Row],[ProductID]] &amp; "-" &amp; tbl_model[[#This Row],[LocationID]]</f>
        <v>940-6</v>
      </c>
    </row>
    <row r="929" spans="1:7">
      <c r="A929">
        <v>940</v>
      </c>
      <c r="B929">
        <v>50</v>
      </c>
      <c r="C929" t="str">
        <f>_xlfn.XLOOKUP(tbl_model[[#This Row],[ProductID]],tbl_product[ProductID],tbl_product[ProductName],"UNMAPPED_PRODUCT")</f>
        <v>HL Road Pedal</v>
      </c>
      <c r="D929" t="str">
        <f>_xlfn.XLOOKUP(tbl_model[[#This Row],[ProductID]],tbl_product[ProductID],tbl_product[ProductNumber],"UNMAPPED_PRODUCT")</f>
        <v>PD-R853</v>
      </c>
      <c r="E929" t="str">
        <f>_xlfn.XLOOKUP(tbl_model[[#This Row],[LocationID]],tbl_location[LocationID],tbl_location[LocationName],"UNMAPPED_LOCATION")</f>
        <v>Subassembly</v>
      </c>
      <c r="F929">
        <v>323</v>
      </c>
      <c r="G929" s="1" t="str">
        <f>tbl_model[[#This Row],[ProductID]] &amp; "-" &amp; tbl_model[[#This Row],[LocationID]]</f>
        <v>940-50</v>
      </c>
    </row>
    <row r="930" spans="1:7">
      <c r="A930">
        <v>941</v>
      </c>
      <c r="B930">
        <v>1</v>
      </c>
      <c r="C930" t="str">
        <f>_xlfn.XLOOKUP(tbl_model[[#This Row],[ProductID]],tbl_product[ProductID],tbl_product[ProductName],"UNMAPPED_PRODUCT")</f>
        <v>Touring Pedal</v>
      </c>
      <c r="D930" t="str">
        <f>_xlfn.XLOOKUP(tbl_model[[#This Row],[ProductID]],tbl_product[ProductID],tbl_product[ProductNumber],"UNMAPPED_PRODUCT")</f>
        <v>PD-T852</v>
      </c>
      <c r="E930" t="str">
        <f>_xlfn.XLOOKUP(tbl_model[[#This Row],[LocationID]],tbl_location[LocationID],tbl_location[LocationName],"UNMAPPED_LOCATION")</f>
        <v>Tool Crib</v>
      </c>
      <c r="F930">
        <v>235</v>
      </c>
      <c r="G930" s="1" t="str">
        <f>tbl_model[[#This Row],[ProductID]] &amp; "-" &amp; tbl_model[[#This Row],[LocationID]]</f>
        <v>941-1</v>
      </c>
    </row>
    <row r="931" spans="1:7">
      <c r="A931">
        <v>941</v>
      </c>
      <c r="B931">
        <v>6</v>
      </c>
      <c r="C931" t="str">
        <f>_xlfn.XLOOKUP(tbl_model[[#This Row],[ProductID]],tbl_product[ProductID],tbl_product[ProductName],"UNMAPPED_PRODUCT")</f>
        <v>Touring Pedal</v>
      </c>
      <c r="D931" t="str">
        <f>_xlfn.XLOOKUP(tbl_model[[#This Row],[ProductID]],tbl_product[ProductID],tbl_product[ProductNumber],"UNMAPPED_PRODUCT")</f>
        <v>PD-T852</v>
      </c>
      <c r="E931" t="str">
        <f>_xlfn.XLOOKUP(tbl_model[[#This Row],[LocationID]],tbl_location[LocationID],tbl_location[LocationName],"UNMAPPED_LOCATION")</f>
        <v>Miscellaneous Storage</v>
      </c>
      <c r="F931">
        <v>262</v>
      </c>
      <c r="G931" s="1" t="str">
        <f>tbl_model[[#This Row],[ProductID]] &amp; "-" &amp; tbl_model[[#This Row],[LocationID]]</f>
        <v>941-6</v>
      </c>
    </row>
    <row r="932" spans="1:7">
      <c r="A932">
        <v>941</v>
      </c>
      <c r="B932">
        <v>50</v>
      </c>
      <c r="C932" t="str">
        <f>_xlfn.XLOOKUP(tbl_model[[#This Row],[ProductID]],tbl_product[ProductID],tbl_product[ProductName],"UNMAPPED_PRODUCT")</f>
        <v>Touring Pedal</v>
      </c>
      <c r="D932" t="str">
        <f>_xlfn.XLOOKUP(tbl_model[[#This Row],[ProductID]],tbl_product[ProductID],tbl_product[ProductNumber],"UNMAPPED_PRODUCT")</f>
        <v>PD-T852</v>
      </c>
      <c r="E932" t="str">
        <f>_xlfn.XLOOKUP(tbl_model[[#This Row],[LocationID]],tbl_location[LocationID],tbl_location[LocationName],"UNMAPPED_LOCATION")</f>
        <v>Subassembly</v>
      </c>
      <c r="F932">
        <v>388</v>
      </c>
      <c r="G932" s="1" t="str">
        <f>tbl_model[[#This Row],[ProductID]] &amp; "-" &amp; tbl_model[[#This Row],[LocationID]]</f>
        <v>941-50</v>
      </c>
    </row>
    <row r="933" spans="1:7">
      <c r="A933">
        <v>942</v>
      </c>
      <c r="B933">
        <v>10</v>
      </c>
      <c r="C933" t="str">
        <f>_xlfn.XLOOKUP(tbl_model[[#This Row],[ProductID]],tbl_product[ProductID],tbl_product[ProductName],"UNMAPPED_PRODUCT")</f>
        <v>ML Mountain Frame-W - Silver, 38</v>
      </c>
      <c r="D933" t="str">
        <f>_xlfn.XLOOKUP(tbl_model[[#This Row],[ProductID]],tbl_product[ProductID],tbl_product[ProductNumber],"UNMAPPED_PRODUCT")</f>
        <v>FR-M63S-38</v>
      </c>
      <c r="E933" t="str">
        <f>_xlfn.XLOOKUP(tbl_model[[#This Row],[LocationID]],tbl_location[LocationID],tbl_location[LocationName],"UNMAPPED_LOCATION")</f>
        <v>Frame Forming</v>
      </c>
      <c r="F933">
        <v>120</v>
      </c>
      <c r="G933" s="1" t="str">
        <f>tbl_model[[#This Row],[ProductID]] &amp; "-" &amp; tbl_model[[#This Row],[LocationID]]</f>
        <v>942-10</v>
      </c>
    </row>
    <row r="934" spans="1:7">
      <c r="A934">
        <v>942</v>
      </c>
      <c r="B934">
        <v>20</v>
      </c>
      <c r="C934" t="str">
        <f>_xlfn.XLOOKUP(tbl_model[[#This Row],[ProductID]],tbl_product[ProductID],tbl_product[ProductName],"UNMAPPED_PRODUCT")</f>
        <v>ML Mountain Frame-W - Silver, 38</v>
      </c>
      <c r="D934" t="str">
        <f>_xlfn.XLOOKUP(tbl_model[[#This Row],[ProductID]],tbl_product[ProductID],tbl_product[ProductNumber],"UNMAPPED_PRODUCT")</f>
        <v>FR-M63S-38</v>
      </c>
      <c r="E934" t="str">
        <f>_xlfn.XLOOKUP(tbl_model[[#This Row],[LocationID]],tbl_location[LocationID],tbl_location[LocationName],"UNMAPPED_LOCATION")</f>
        <v>Frame Welding</v>
      </c>
      <c r="F934">
        <v>160</v>
      </c>
      <c r="G934" s="1" t="str">
        <f>tbl_model[[#This Row],[ProductID]] &amp; "-" &amp; tbl_model[[#This Row],[LocationID]]</f>
        <v>942-20</v>
      </c>
    </row>
    <row r="935" spans="1:7">
      <c r="A935">
        <v>942</v>
      </c>
      <c r="B935">
        <v>30</v>
      </c>
      <c r="C935" t="str">
        <f>_xlfn.XLOOKUP(tbl_model[[#This Row],[ProductID]],tbl_product[ProductID],tbl_product[ProductName],"UNMAPPED_PRODUCT")</f>
        <v>ML Mountain Frame-W - Silver, 38</v>
      </c>
      <c r="D935" t="str">
        <f>_xlfn.XLOOKUP(tbl_model[[#This Row],[ProductID]],tbl_product[ProductID],tbl_product[ProductNumber],"UNMAPPED_PRODUCT")</f>
        <v>FR-M63S-38</v>
      </c>
      <c r="E935" t="str">
        <f>_xlfn.XLOOKUP(tbl_model[[#This Row],[LocationID]],tbl_location[LocationID],tbl_location[LocationName],"UNMAPPED_LOCATION")</f>
        <v>Debur and Polish</v>
      </c>
      <c r="F935">
        <v>147</v>
      </c>
      <c r="G935" s="1" t="str">
        <f>tbl_model[[#This Row],[ProductID]] &amp; "-" &amp; tbl_model[[#This Row],[LocationID]]</f>
        <v>942-30</v>
      </c>
    </row>
    <row r="936" spans="1:7">
      <c r="A936">
        <v>942</v>
      </c>
      <c r="B936">
        <v>45</v>
      </c>
      <c r="C936" t="str">
        <f>_xlfn.XLOOKUP(tbl_model[[#This Row],[ProductID]],tbl_product[ProductID],tbl_product[ProductName],"UNMAPPED_PRODUCT")</f>
        <v>ML Mountain Frame-W - Silver, 38</v>
      </c>
      <c r="D936" t="str">
        <f>_xlfn.XLOOKUP(tbl_model[[#This Row],[ProductID]],tbl_product[ProductID],tbl_product[ProductNumber],"UNMAPPED_PRODUCT")</f>
        <v>FR-M63S-38</v>
      </c>
      <c r="E936" t="str">
        <f>_xlfn.XLOOKUP(tbl_model[[#This Row],[LocationID]],tbl_location[LocationID],tbl_location[LocationName],"UNMAPPED_LOCATION")</f>
        <v>Specialized Paint</v>
      </c>
      <c r="F936">
        <v>105</v>
      </c>
      <c r="G936" s="1" t="str">
        <f>tbl_model[[#This Row],[ProductID]] &amp; "-" &amp; tbl_model[[#This Row],[LocationID]]</f>
        <v>942-45</v>
      </c>
    </row>
    <row r="937" spans="1:7">
      <c r="A937">
        <v>942</v>
      </c>
      <c r="B937">
        <v>50</v>
      </c>
      <c r="C937" t="str">
        <f>_xlfn.XLOOKUP(tbl_model[[#This Row],[ProductID]],tbl_product[ProductID],tbl_product[ProductName],"UNMAPPED_PRODUCT")</f>
        <v>ML Mountain Frame-W - Silver, 38</v>
      </c>
      <c r="D937" t="str">
        <f>_xlfn.XLOOKUP(tbl_model[[#This Row],[ProductID]],tbl_product[ProductID],tbl_product[ProductNumber],"UNMAPPED_PRODUCT")</f>
        <v>FR-M63S-38</v>
      </c>
      <c r="E937" t="str">
        <f>_xlfn.XLOOKUP(tbl_model[[#This Row],[LocationID]],tbl_location[LocationID],tbl_location[LocationName],"UNMAPPED_LOCATION")</f>
        <v>Subassembly</v>
      </c>
      <c r="F937">
        <v>158</v>
      </c>
      <c r="G937" s="1" t="str">
        <f>tbl_model[[#This Row],[ProductID]] &amp; "-" &amp; tbl_model[[#This Row],[LocationID]]</f>
        <v>942-50</v>
      </c>
    </row>
    <row r="938" spans="1:7">
      <c r="A938">
        <v>942</v>
      </c>
      <c r="B938">
        <v>60</v>
      </c>
      <c r="C938" t="str">
        <f>_xlfn.XLOOKUP(tbl_model[[#This Row],[ProductID]],tbl_product[ProductID],tbl_product[ProductName],"UNMAPPED_PRODUCT")</f>
        <v>ML Mountain Frame-W - Silver, 38</v>
      </c>
      <c r="D938" t="str">
        <f>_xlfn.XLOOKUP(tbl_model[[#This Row],[ProductID]],tbl_product[ProductID],tbl_product[ProductNumber],"UNMAPPED_PRODUCT")</f>
        <v>FR-M63S-38</v>
      </c>
      <c r="E938" t="str">
        <f>_xlfn.XLOOKUP(tbl_model[[#This Row],[LocationID]],tbl_location[LocationID],tbl_location[LocationName],"UNMAPPED_LOCATION")</f>
        <v>Final Assembly</v>
      </c>
      <c r="F938">
        <v>136</v>
      </c>
      <c r="G938" s="1" t="str">
        <f>tbl_model[[#This Row],[ProductID]] &amp; "-" &amp; tbl_model[[#This Row],[LocationID]]</f>
        <v>942-60</v>
      </c>
    </row>
    <row r="939" spans="1:7">
      <c r="A939">
        <v>943</v>
      </c>
      <c r="B939">
        <v>10</v>
      </c>
      <c r="C939" t="str">
        <f>_xlfn.XLOOKUP(tbl_model[[#This Row],[ProductID]],tbl_product[ProductID],tbl_product[ProductName],"UNMAPPED_PRODUCT")</f>
        <v>LL Mountain Frame - Black, 40</v>
      </c>
      <c r="D939" t="str">
        <f>_xlfn.XLOOKUP(tbl_model[[#This Row],[ProductID]],tbl_product[ProductID],tbl_product[ProductNumber],"UNMAPPED_PRODUCT")</f>
        <v>FR-M21B-40</v>
      </c>
      <c r="E939" t="str">
        <f>_xlfn.XLOOKUP(tbl_model[[#This Row],[LocationID]],tbl_location[LocationID],tbl_location[LocationName],"UNMAPPED_LOCATION")</f>
        <v>Frame Forming</v>
      </c>
      <c r="F939">
        <v>102</v>
      </c>
      <c r="G939" s="1" t="str">
        <f>tbl_model[[#This Row],[ProductID]] &amp; "-" &amp; tbl_model[[#This Row],[LocationID]]</f>
        <v>943-10</v>
      </c>
    </row>
    <row r="940" spans="1:7">
      <c r="A940">
        <v>943</v>
      </c>
      <c r="B940">
        <v>20</v>
      </c>
      <c r="C940" t="str">
        <f>_xlfn.XLOOKUP(tbl_model[[#This Row],[ProductID]],tbl_product[ProductID],tbl_product[ProductName],"UNMAPPED_PRODUCT")</f>
        <v>LL Mountain Frame - Black, 40</v>
      </c>
      <c r="D940" t="str">
        <f>_xlfn.XLOOKUP(tbl_model[[#This Row],[ProductID]],tbl_product[ProductID],tbl_product[ProductNumber],"UNMAPPED_PRODUCT")</f>
        <v>FR-M21B-40</v>
      </c>
      <c r="E940" t="str">
        <f>_xlfn.XLOOKUP(tbl_model[[#This Row],[LocationID]],tbl_location[LocationID],tbl_location[LocationName],"UNMAPPED_LOCATION")</f>
        <v>Frame Welding</v>
      </c>
      <c r="F940">
        <v>142</v>
      </c>
      <c r="G940" s="1" t="str">
        <f>tbl_model[[#This Row],[ProductID]] &amp; "-" &amp; tbl_model[[#This Row],[LocationID]]</f>
        <v>943-20</v>
      </c>
    </row>
    <row r="941" spans="1:7">
      <c r="A941">
        <v>943</v>
      </c>
      <c r="B941">
        <v>30</v>
      </c>
      <c r="C941" t="str">
        <f>_xlfn.XLOOKUP(tbl_model[[#This Row],[ProductID]],tbl_product[ProductID],tbl_product[ProductName],"UNMAPPED_PRODUCT")</f>
        <v>LL Mountain Frame - Black, 40</v>
      </c>
      <c r="D941" t="str">
        <f>_xlfn.XLOOKUP(tbl_model[[#This Row],[ProductID]],tbl_product[ProductID],tbl_product[ProductNumber],"UNMAPPED_PRODUCT")</f>
        <v>FR-M21B-40</v>
      </c>
      <c r="E941" t="str">
        <f>_xlfn.XLOOKUP(tbl_model[[#This Row],[LocationID]],tbl_location[LocationID],tbl_location[LocationName],"UNMAPPED_LOCATION")</f>
        <v>Debur and Polish</v>
      </c>
      <c r="F941">
        <v>129</v>
      </c>
      <c r="G941" s="1" t="str">
        <f>tbl_model[[#This Row],[ProductID]] &amp; "-" &amp; tbl_model[[#This Row],[LocationID]]</f>
        <v>943-30</v>
      </c>
    </row>
    <row r="942" spans="1:7">
      <c r="A942">
        <v>943</v>
      </c>
      <c r="B942">
        <v>40</v>
      </c>
      <c r="C942" t="str">
        <f>_xlfn.XLOOKUP(tbl_model[[#This Row],[ProductID]],tbl_product[ProductID],tbl_product[ProductName],"UNMAPPED_PRODUCT")</f>
        <v>LL Mountain Frame - Black, 40</v>
      </c>
      <c r="D942" t="str">
        <f>_xlfn.XLOOKUP(tbl_model[[#This Row],[ProductID]],tbl_product[ProductID],tbl_product[ProductNumber],"UNMAPPED_PRODUCT")</f>
        <v>FR-M21B-40</v>
      </c>
      <c r="E942" t="str">
        <f>_xlfn.XLOOKUP(tbl_model[[#This Row],[LocationID]],tbl_location[LocationID],tbl_location[LocationName],"UNMAPPED_LOCATION")</f>
        <v>Paint</v>
      </c>
      <c r="F942">
        <v>88</v>
      </c>
      <c r="G942" s="1" t="str">
        <f>tbl_model[[#This Row],[ProductID]] &amp; "-" &amp; tbl_model[[#This Row],[LocationID]]</f>
        <v>943-40</v>
      </c>
    </row>
    <row r="943" spans="1:7">
      <c r="A943">
        <v>943</v>
      </c>
      <c r="B943">
        <v>50</v>
      </c>
      <c r="C943" t="str">
        <f>_xlfn.XLOOKUP(tbl_model[[#This Row],[ProductID]],tbl_product[ProductID],tbl_product[ProductName],"UNMAPPED_PRODUCT")</f>
        <v>LL Mountain Frame - Black, 40</v>
      </c>
      <c r="D943" t="str">
        <f>_xlfn.XLOOKUP(tbl_model[[#This Row],[ProductID]],tbl_product[ProductID],tbl_product[ProductNumber],"UNMAPPED_PRODUCT")</f>
        <v>FR-M21B-40</v>
      </c>
      <c r="E943" t="str">
        <f>_xlfn.XLOOKUP(tbl_model[[#This Row],[LocationID]],tbl_location[LocationID],tbl_location[LocationName],"UNMAPPED_LOCATION")</f>
        <v>Subassembly</v>
      </c>
      <c r="F943">
        <v>140</v>
      </c>
      <c r="G943" s="1" t="str">
        <f>tbl_model[[#This Row],[ProductID]] &amp; "-" &amp; tbl_model[[#This Row],[LocationID]]</f>
        <v>943-50</v>
      </c>
    </row>
    <row r="944" spans="1:7">
      <c r="A944">
        <v>943</v>
      </c>
      <c r="B944">
        <v>60</v>
      </c>
      <c r="C944" t="str">
        <f>_xlfn.XLOOKUP(tbl_model[[#This Row],[ProductID]],tbl_product[ProductID],tbl_product[ProductName],"UNMAPPED_PRODUCT")</f>
        <v>LL Mountain Frame - Black, 40</v>
      </c>
      <c r="D944" t="str">
        <f>_xlfn.XLOOKUP(tbl_model[[#This Row],[ProductID]],tbl_product[ProductID],tbl_product[ProductNumber],"UNMAPPED_PRODUCT")</f>
        <v>FR-M21B-40</v>
      </c>
      <c r="E944" t="str">
        <f>_xlfn.XLOOKUP(tbl_model[[#This Row],[LocationID]],tbl_location[LocationID],tbl_location[LocationName],"UNMAPPED_LOCATION")</f>
        <v>Final Assembly</v>
      </c>
      <c r="F944">
        <v>118</v>
      </c>
      <c r="G944" s="1" t="str">
        <f>tbl_model[[#This Row],[ProductID]] &amp; "-" &amp; tbl_model[[#This Row],[LocationID]]</f>
        <v>943-60</v>
      </c>
    </row>
    <row r="945" spans="1:7">
      <c r="A945">
        <v>944</v>
      </c>
      <c r="B945">
        <v>10</v>
      </c>
      <c r="C945" t="str">
        <f>_xlfn.XLOOKUP(tbl_model[[#This Row],[ProductID]],tbl_product[ProductID],tbl_product[ProductName],"UNMAPPED_PRODUCT")</f>
        <v>LL Mountain Frame - Silver, 40</v>
      </c>
      <c r="D945" t="str">
        <f>_xlfn.XLOOKUP(tbl_model[[#This Row],[ProductID]],tbl_product[ProductID],tbl_product[ProductNumber],"UNMAPPED_PRODUCT")</f>
        <v>FR-M21S-40</v>
      </c>
      <c r="E945" t="str">
        <f>_xlfn.XLOOKUP(tbl_model[[#This Row],[LocationID]],tbl_location[LocationID],tbl_location[LocationName],"UNMAPPED_LOCATION")</f>
        <v>Frame Forming</v>
      </c>
      <c r="F945">
        <v>112</v>
      </c>
      <c r="G945" s="1" t="str">
        <f>tbl_model[[#This Row],[ProductID]] &amp; "-" &amp; tbl_model[[#This Row],[LocationID]]</f>
        <v>944-10</v>
      </c>
    </row>
    <row r="946" spans="1:7">
      <c r="A946">
        <v>944</v>
      </c>
      <c r="B946">
        <v>20</v>
      </c>
      <c r="C946" t="str">
        <f>_xlfn.XLOOKUP(tbl_model[[#This Row],[ProductID]],tbl_product[ProductID],tbl_product[ProductName],"UNMAPPED_PRODUCT")</f>
        <v>LL Mountain Frame - Silver, 40</v>
      </c>
      <c r="D946" t="str">
        <f>_xlfn.XLOOKUP(tbl_model[[#This Row],[ProductID]],tbl_product[ProductID],tbl_product[ProductNumber],"UNMAPPED_PRODUCT")</f>
        <v>FR-M21S-40</v>
      </c>
      <c r="E946" t="str">
        <f>_xlfn.XLOOKUP(tbl_model[[#This Row],[LocationID]],tbl_location[LocationID],tbl_location[LocationName],"UNMAPPED_LOCATION")</f>
        <v>Frame Welding</v>
      </c>
      <c r="F946">
        <v>96</v>
      </c>
      <c r="G946" s="1" t="str">
        <f>tbl_model[[#This Row],[ProductID]] &amp; "-" &amp; tbl_model[[#This Row],[LocationID]]</f>
        <v>944-20</v>
      </c>
    </row>
    <row r="947" spans="1:7">
      <c r="A947">
        <v>944</v>
      </c>
      <c r="B947">
        <v>30</v>
      </c>
      <c r="C947" t="str">
        <f>_xlfn.XLOOKUP(tbl_model[[#This Row],[ProductID]],tbl_product[ProductID],tbl_product[ProductName],"UNMAPPED_PRODUCT")</f>
        <v>LL Mountain Frame - Silver, 40</v>
      </c>
      <c r="D947" t="str">
        <f>_xlfn.XLOOKUP(tbl_model[[#This Row],[ProductID]],tbl_product[ProductID],tbl_product[ProductNumber],"UNMAPPED_PRODUCT")</f>
        <v>FR-M21S-40</v>
      </c>
      <c r="E947" t="str">
        <f>_xlfn.XLOOKUP(tbl_model[[#This Row],[LocationID]],tbl_location[LocationID],tbl_location[LocationName],"UNMAPPED_LOCATION")</f>
        <v>Debur and Polish</v>
      </c>
      <c r="F947">
        <v>123</v>
      </c>
      <c r="G947" s="1" t="str">
        <f>tbl_model[[#This Row],[ProductID]] &amp; "-" &amp; tbl_model[[#This Row],[LocationID]]</f>
        <v>944-30</v>
      </c>
    </row>
    <row r="948" spans="1:7">
      <c r="A948">
        <v>944</v>
      </c>
      <c r="B948">
        <v>45</v>
      </c>
      <c r="C948" t="str">
        <f>_xlfn.XLOOKUP(tbl_model[[#This Row],[ProductID]],tbl_product[ProductID],tbl_product[ProductName],"UNMAPPED_PRODUCT")</f>
        <v>LL Mountain Frame - Silver, 40</v>
      </c>
      <c r="D948" t="str">
        <f>_xlfn.XLOOKUP(tbl_model[[#This Row],[ProductID]],tbl_product[ProductID],tbl_product[ProductNumber],"UNMAPPED_PRODUCT")</f>
        <v>FR-M21S-40</v>
      </c>
      <c r="E948" t="str">
        <f>_xlfn.XLOOKUP(tbl_model[[#This Row],[LocationID]],tbl_location[LocationID],tbl_location[LocationName],"UNMAPPED_LOCATION")</f>
        <v>Specialized Paint</v>
      </c>
      <c r="F948">
        <v>136</v>
      </c>
      <c r="G948" s="1" t="str">
        <f>tbl_model[[#This Row],[ProductID]] &amp; "-" &amp; tbl_model[[#This Row],[LocationID]]</f>
        <v>944-45</v>
      </c>
    </row>
    <row r="949" spans="1:7">
      <c r="A949">
        <v>944</v>
      </c>
      <c r="B949">
        <v>50</v>
      </c>
      <c r="C949" t="str">
        <f>_xlfn.XLOOKUP(tbl_model[[#This Row],[ProductID]],tbl_product[ProductID],tbl_product[ProductName],"UNMAPPED_PRODUCT")</f>
        <v>LL Mountain Frame - Silver, 40</v>
      </c>
      <c r="D949" t="str">
        <f>_xlfn.XLOOKUP(tbl_model[[#This Row],[ProductID]],tbl_product[ProductID],tbl_product[ProductNumber],"UNMAPPED_PRODUCT")</f>
        <v>FR-M21S-40</v>
      </c>
      <c r="E949" t="str">
        <f>_xlfn.XLOOKUP(tbl_model[[#This Row],[LocationID]],tbl_location[LocationID],tbl_location[LocationName],"UNMAPPED_LOCATION")</f>
        <v>Subassembly</v>
      </c>
      <c r="F949">
        <v>81</v>
      </c>
      <c r="G949" s="1" t="str">
        <f>tbl_model[[#This Row],[ProductID]] &amp; "-" &amp; tbl_model[[#This Row],[LocationID]]</f>
        <v>944-50</v>
      </c>
    </row>
    <row r="950" spans="1:7">
      <c r="A950">
        <v>944</v>
      </c>
      <c r="B950">
        <v>60</v>
      </c>
      <c r="C950" t="str">
        <f>_xlfn.XLOOKUP(tbl_model[[#This Row],[ProductID]],tbl_product[ProductID],tbl_product[ProductName],"UNMAPPED_PRODUCT")</f>
        <v>LL Mountain Frame - Silver, 40</v>
      </c>
      <c r="D950" t="str">
        <f>_xlfn.XLOOKUP(tbl_model[[#This Row],[ProductID]],tbl_product[ProductID],tbl_product[ProductNumber],"UNMAPPED_PRODUCT")</f>
        <v>FR-M21S-40</v>
      </c>
      <c r="E950" t="str">
        <f>_xlfn.XLOOKUP(tbl_model[[#This Row],[LocationID]],tbl_location[LocationID],tbl_location[LocationName],"UNMAPPED_LOCATION")</f>
        <v>Final Assembly</v>
      </c>
      <c r="F950">
        <v>134</v>
      </c>
      <c r="G950" s="1" t="str">
        <f>tbl_model[[#This Row],[ProductID]] &amp; "-" &amp; tbl_model[[#This Row],[LocationID]]</f>
        <v>944-60</v>
      </c>
    </row>
    <row r="951" spans="1:7">
      <c r="A951">
        <v>945</v>
      </c>
      <c r="B951">
        <v>5</v>
      </c>
      <c r="C951" t="str">
        <f>_xlfn.XLOOKUP(tbl_model[[#This Row],[ProductID]],tbl_product[ProductID],tbl_product[ProductName],"UNMAPPED_PRODUCT")</f>
        <v>Front Derailleur</v>
      </c>
      <c r="D951" t="str">
        <f>_xlfn.XLOOKUP(tbl_model[[#This Row],[ProductID]],tbl_product[ProductID],tbl_product[ProductNumber],"UNMAPPED_PRODUCT")</f>
        <v>FD-2342</v>
      </c>
      <c r="E951" t="str">
        <f>_xlfn.XLOOKUP(tbl_model[[#This Row],[LocationID]],tbl_location[LocationID],tbl_location[LocationName],"UNMAPPED_LOCATION")</f>
        <v>Metal Storage</v>
      </c>
      <c r="F951">
        <v>347</v>
      </c>
      <c r="G951" s="1" t="str">
        <f>tbl_model[[#This Row],[ProductID]] &amp; "-" &amp; tbl_model[[#This Row],[LocationID]]</f>
        <v>945-5</v>
      </c>
    </row>
    <row r="952" spans="1:7">
      <c r="A952">
        <v>945</v>
      </c>
      <c r="B952">
        <v>10</v>
      </c>
      <c r="C952" t="str">
        <f>_xlfn.XLOOKUP(tbl_model[[#This Row],[ProductID]],tbl_product[ProductID],tbl_product[ProductName],"UNMAPPED_PRODUCT")</f>
        <v>Front Derailleur</v>
      </c>
      <c r="D952" t="str">
        <f>_xlfn.XLOOKUP(tbl_model[[#This Row],[ProductID]],tbl_product[ProductID],tbl_product[ProductNumber],"UNMAPPED_PRODUCT")</f>
        <v>FD-2342</v>
      </c>
      <c r="E952" t="str">
        <f>_xlfn.XLOOKUP(tbl_model[[#This Row],[LocationID]],tbl_location[LocationID],tbl_location[LocationName],"UNMAPPED_LOCATION")</f>
        <v>Frame Forming</v>
      </c>
      <c r="F952">
        <v>236</v>
      </c>
      <c r="G952" s="1" t="str">
        <f>tbl_model[[#This Row],[ProductID]] &amp; "-" &amp; tbl_model[[#This Row],[LocationID]]</f>
        <v>945-10</v>
      </c>
    </row>
    <row r="953" spans="1:7">
      <c r="A953">
        <v>945</v>
      </c>
      <c r="B953">
        <v>50</v>
      </c>
      <c r="C953" t="str">
        <f>_xlfn.XLOOKUP(tbl_model[[#This Row],[ProductID]],tbl_product[ProductID],tbl_product[ProductName],"UNMAPPED_PRODUCT")</f>
        <v>Front Derailleur</v>
      </c>
      <c r="D953" t="str">
        <f>_xlfn.XLOOKUP(tbl_model[[#This Row],[ProductID]],tbl_product[ProductID],tbl_product[ProductNumber],"UNMAPPED_PRODUCT")</f>
        <v>FD-2342</v>
      </c>
      <c r="E953" t="str">
        <f>_xlfn.XLOOKUP(tbl_model[[#This Row],[LocationID]],tbl_location[LocationID],tbl_location[LocationName],"UNMAPPED_LOCATION")</f>
        <v>Subassembly</v>
      </c>
      <c r="F953">
        <v>270</v>
      </c>
      <c r="G953" s="1" t="str">
        <f>tbl_model[[#This Row],[ProductID]] &amp; "-" &amp; tbl_model[[#This Row],[LocationID]]</f>
        <v>945-50</v>
      </c>
    </row>
    <row r="954" spans="1:7">
      <c r="A954">
        <v>946</v>
      </c>
      <c r="B954">
        <v>10</v>
      </c>
      <c r="C954" t="str">
        <f>_xlfn.XLOOKUP(tbl_model[[#This Row],[ProductID]],tbl_product[ProductID],tbl_product[ProductName],"UNMAPPED_PRODUCT")</f>
        <v>LL Touring Handlebars</v>
      </c>
      <c r="D954" t="str">
        <f>_xlfn.XLOOKUP(tbl_model[[#This Row],[ProductID]],tbl_product[ProductID],tbl_product[ProductNumber],"UNMAPPED_PRODUCT")</f>
        <v>HB-T721</v>
      </c>
      <c r="E954" t="str">
        <f>_xlfn.XLOOKUP(tbl_model[[#This Row],[LocationID]],tbl_location[LocationID],tbl_location[LocationName],"UNMAPPED_LOCATION")</f>
        <v>Frame Forming</v>
      </c>
      <c r="F954">
        <v>248</v>
      </c>
      <c r="G954" s="1" t="str">
        <f>tbl_model[[#This Row],[ProductID]] &amp; "-" &amp; tbl_model[[#This Row],[LocationID]]</f>
        <v>946-10</v>
      </c>
    </row>
    <row r="955" spans="1:7">
      <c r="A955">
        <v>946</v>
      </c>
      <c r="B955">
        <v>20</v>
      </c>
      <c r="C955" t="str">
        <f>_xlfn.XLOOKUP(tbl_model[[#This Row],[ProductID]],tbl_product[ProductID],tbl_product[ProductName],"UNMAPPED_PRODUCT")</f>
        <v>LL Touring Handlebars</v>
      </c>
      <c r="D955" t="str">
        <f>_xlfn.XLOOKUP(tbl_model[[#This Row],[ProductID]],tbl_product[ProductID],tbl_product[ProductNumber],"UNMAPPED_PRODUCT")</f>
        <v>HB-T721</v>
      </c>
      <c r="E955" t="str">
        <f>_xlfn.XLOOKUP(tbl_model[[#This Row],[LocationID]],tbl_location[LocationID],tbl_location[LocationName],"UNMAPPED_LOCATION")</f>
        <v>Frame Welding</v>
      </c>
      <c r="F955">
        <v>257</v>
      </c>
      <c r="G955" s="1" t="str">
        <f>tbl_model[[#This Row],[ProductID]] &amp; "-" &amp; tbl_model[[#This Row],[LocationID]]</f>
        <v>946-20</v>
      </c>
    </row>
    <row r="956" spans="1:7">
      <c r="A956">
        <v>946</v>
      </c>
      <c r="B956">
        <v>50</v>
      </c>
      <c r="C956" t="str">
        <f>_xlfn.XLOOKUP(tbl_model[[#This Row],[ProductID]],tbl_product[ProductID],tbl_product[ProductName],"UNMAPPED_PRODUCT")</f>
        <v>LL Touring Handlebars</v>
      </c>
      <c r="D956" t="str">
        <f>_xlfn.XLOOKUP(tbl_model[[#This Row],[ProductID]],tbl_product[ProductID],tbl_product[ProductNumber],"UNMAPPED_PRODUCT")</f>
        <v>HB-T721</v>
      </c>
      <c r="E956" t="str">
        <f>_xlfn.XLOOKUP(tbl_model[[#This Row],[LocationID]],tbl_location[LocationID],tbl_location[LocationName],"UNMAPPED_LOCATION")</f>
        <v>Subassembly</v>
      </c>
      <c r="F956">
        <v>297</v>
      </c>
      <c r="G956" s="1" t="str">
        <f>tbl_model[[#This Row],[ProductID]] &amp; "-" &amp; tbl_model[[#This Row],[LocationID]]</f>
        <v>946-50</v>
      </c>
    </row>
    <row r="957" spans="1:7">
      <c r="A957">
        <v>947</v>
      </c>
      <c r="B957">
        <v>10</v>
      </c>
      <c r="C957" t="str">
        <f>_xlfn.XLOOKUP(tbl_model[[#This Row],[ProductID]],tbl_product[ProductID],tbl_product[ProductName],"UNMAPPED_PRODUCT")</f>
        <v>HL Touring Handlebars</v>
      </c>
      <c r="D957" t="str">
        <f>_xlfn.XLOOKUP(tbl_model[[#This Row],[ProductID]],tbl_product[ProductID],tbl_product[ProductNumber],"UNMAPPED_PRODUCT")</f>
        <v>HB-T928</v>
      </c>
      <c r="E957" t="str">
        <f>_xlfn.XLOOKUP(tbl_model[[#This Row],[LocationID]],tbl_location[LocationID],tbl_location[LocationName],"UNMAPPED_LOCATION")</f>
        <v>Frame Forming</v>
      </c>
      <c r="F957">
        <v>244</v>
      </c>
      <c r="G957" s="1" t="str">
        <f>tbl_model[[#This Row],[ProductID]] &amp; "-" &amp; tbl_model[[#This Row],[LocationID]]</f>
        <v>947-10</v>
      </c>
    </row>
    <row r="958" spans="1:7">
      <c r="A958">
        <v>947</v>
      </c>
      <c r="B958">
        <v>20</v>
      </c>
      <c r="C958" t="str">
        <f>_xlfn.XLOOKUP(tbl_model[[#This Row],[ProductID]],tbl_product[ProductID],tbl_product[ProductName],"UNMAPPED_PRODUCT")</f>
        <v>HL Touring Handlebars</v>
      </c>
      <c r="D958" t="str">
        <f>_xlfn.XLOOKUP(tbl_model[[#This Row],[ProductID]],tbl_product[ProductID],tbl_product[ProductNumber],"UNMAPPED_PRODUCT")</f>
        <v>HB-T928</v>
      </c>
      <c r="E958" t="str">
        <f>_xlfn.XLOOKUP(tbl_model[[#This Row],[LocationID]],tbl_location[LocationID],tbl_location[LocationName],"UNMAPPED_LOCATION")</f>
        <v>Frame Welding</v>
      </c>
      <c r="F958">
        <v>254</v>
      </c>
      <c r="G958" s="1" t="str">
        <f>tbl_model[[#This Row],[ProductID]] &amp; "-" &amp; tbl_model[[#This Row],[LocationID]]</f>
        <v>947-20</v>
      </c>
    </row>
    <row r="959" spans="1:7">
      <c r="A959">
        <v>947</v>
      </c>
      <c r="B959">
        <v>50</v>
      </c>
      <c r="C959" t="str">
        <f>_xlfn.XLOOKUP(tbl_model[[#This Row],[ProductID]],tbl_product[ProductID],tbl_product[ProductName],"UNMAPPED_PRODUCT")</f>
        <v>HL Touring Handlebars</v>
      </c>
      <c r="D959" t="str">
        <f>_xlfn.XLOOKUP(tbl_model[[#This Row],[ProductID]],tbl_product[ProductID],tbl_product[ProductNumber],"UNMAPPED_PRODUCT")</f>
        <v>HB-T928</v>
      </c>
      <c r="E959" t="str">
        <f>_xlfn.XLOOKUP(tbl_model[[#This Row],[LocationID]],tbl_location[LocationID],tbl_location[LocationName],"UNMAPPED_LOCATION")</f>
        <v>Subassembly</v>
      </c>
      <c r="F959">
        <v>294</v>
      </c>
      <c r="G959" s="1" t="str">
        <f>tbl_model[[#This Row],[ProductID]] &amp; "-" &amp; tbl_model[[#This Row],[LocationID]]</f>
        <v>947-50</v>
      </c>
    </row>
    <row r="960" spans="1:7">
      <c r="A960">
        <v>948</v>
      </c>
      <c r="B960">
        <v>5</v>
      </c>
      <c r="C960" t="str">
        <f>_xlfn.XLOOKUP(tbl_model[[#This Row],[ProductID]],tbl_product[ProductID],tbl_product[ProductName],"UNMAPPED_PRODUCT")</f>
        <v>Front Brakes</v>
      </c>
      <c r="D960" t="str">
        <f>_xlfn.XLOOKUP(tbl_model[[#This Row],[ProductID]],tbl_product[ProductID],tbl_product[ProductNumber],"UNMAPPED_PRODUCT")</f>
        <v>FB-9873</v>
      </c>
      <c r="E960" t="str">
        <f>_xlfn.XLOOKUP(tbl_model[[#This Row],[LocationID]],tbl_location[LocationID],tbl_location[LocationName],"UNMAPPED_LOCATION")</f>
        <v>Metal Storage</v>
      </c>
      <c r="F960">
        <v>347</v>
      </c>
      <c r="G960" s="1" t="str">
        <f>tbl_model[[#This Row],[ProductID]] &amp; "-" &amp; tbl_model[[#This Row],[LocationID]]</f>
        <v>948-5</v>
      </c>
    </row>
    <row r="961" spans="1:7">
      <c r="A961">
        <v>948</v>
      </c>
      <c r="B961">
        <v>50</v>
      </c>
      <c r="C961" t="str">
        <f>_xlfn.XLOOKUP(tbl_model[[#This Row],[ProductID]],tbl_product[ProductID],tbl_product[ProductName],"UNMAPPED_PRODUCT")</f>
        <v>Front Brakes</v>
      </c>
      <c r="D961" t="str">
        <f>_xlfn.XLOOKUP(tbl_model[[#This Row],[ProductID]],tbl_product[ProductID],tbl_product[ProductNumber],"UNMAPPED_PRODUCT")</f>
        <v>FB-9873</v>
      </c>
      <c r="E961" t="str">
        <f>_xlfn.XLOOKUP(tbl_model[[#This Row],[LocationID]],tbl_location[LocationID],tbl_location[LocationName],"UNMAPPED_LOCATION")</f>
        <v>Subassembly</v>
      </c>
      <c r="F961">
        <v>420</v>
      </c>
      <c r="G961" s="1" t="str">
        <f>tbl_model[[#This Row],[ProductID]] &amp; "-" &amp; tbl_model[[#This Row],[LocationID]]</f>
        <v>948-50</v>
      </c>
    </row>
    <row r="962" spans="1:7">
      <c r="A962">
        <v>949</v>
      </c>
      <c r="B962">
        <v>1</v>
      </c>
      <c r="C962" t="str">
        <f>_xlfn.XLOOKUP(tbl_model[[#This Row],[ProductID]],tbl_product[ProductID],tbl_product[ProductName],"UNMAPPED_PRODUCT")</f>
        <v>LL Crankset</v>
      </c>
      <c r="D962" t="str">
        <f>_xlfn.XLOOKUP(tbl_model[[#This Row],[ProductID]],tbl_product[ProductID],tbl_product[ProductNumber],"UNMAPPED_PRODUCT")</f>
        <v>CS-4759</v>
      </c>
      <c r="E962" t="str">
        <f>_xlfn.XLOOKUP(tbl_model[[#This Row],[LocationID]],tbl_location[LocationID],tbl_location[LocationName],"UNMAPPED_LOCATION")</f>
        <v>Tool Crib</v>
      </c>
      <c r="F962">
        <v>265</v>
      </c>
      <c r="G962" s="1" t="str">
        <f>tbl_model[[#This Row],[ProductID]] &amp; "-" &amp; tbl_model[[#This Row],[LocationID]]</f>
        <v>949-1</v>
      </c>
    </row>
    <row r="963" spans="1:7">
      <c r="A963">
        <v>949</v>
      </c>
      <c r="B963">
        <v>5</v>
      </c>
      <c r="C963" t="str">
        <f>_xlfn.XLOOKUP(tbl_model[[#This Row],[ProductID]],tbl_product[ProductID],tbl_product[ProductName],"UNMAPPED_PRODUCT")</f>
        <v>LL Crankset</v>
      </c>
      <c r="D963" t="str">
        <f>_xlfn.XLOOKUP(tbl_model[[#This Row],[ProductID]],tbl_product[ProductID],tbl_product[ProductNumber],"UNMAPPED_PRODUCT")</f>
        <v>CS-4759</v>
      </c>
      <c r="E963" t="str">
        <f>_xlfn.XLOOKUP(tbl_model[[#This Row],[LocationID]],tbl_location[LocationID],tbl_location[LocationName],"UNMAPPED_LOCATION")</f>
        <v>Metal Storage</v>
      </c>
      <c r="F963">
        <v>336</v>
      </c>
      <c r="G963" s="1" t="str">
        <f>tbl_model[[#This Row],[ProductID]] &amp; "-" &amp; tbl_model[[#This Row],[LocationID]]</f>
        <v>949-5</v>
      </c>
    </row>
    <row r="964" spans="1:7">
      <c r="A964">
        <v>949</v>
      </c>
      <c r="B964">
        <v>50</v>
      </c>
      <c r="C964" t="str">
        <f>_xlfn.XLOOKUP(tbl_model[[#This Row],[ProductID]],tbl_product[ProductID],tbl_product[ProductName],"UNMAPPED_PRODUCT")</f>
        <v>LL Crankset</v>
      </c>
      <c r="D964" t="str">
        <f>_xlfn.XLOOKUP(tbl_model[[#This Row],[ProductID]],tbl_product[ProductID],tbl_product[ProductNumber],"UNMAPPED_PRODUCT")</f>
        <v>CS-4759</v>
      </c>
      <c r="E964" t="str">
        <f>_xlfn.XLOOKUP(tbl_model[[#This Row],[LocationID]],tbl_location[LocationID],tbl_location[LocationName],"UNMAPPED_LOCATION")</f>
        <v>Subassembly</v>
      </c>
      <c r="F964">
        <v>284</v>
      </c>
      <c r="G964" s="1" t="str">
        <f>tbl_model[[#This Row],[ProductID]] &amp; "-" &amp; tbl_model[[#This Row],[LocationID]]</f>
        <v>949-50</v>
      </c>
    </row>
    <row r="965" spans="1:7">
      <c r="A965">
        <v>950</v>
      </c>
      <c r="B965">
        <v>1</v>
      </c>
      <c r="C965" t="str">
        <f>_xlfn.XLOOKUP(tbl_model[[#This Row],[ProductID]],tbl_product[ProductID],tbl_product[ProductName],"UNMAPPED_PRODUCT")</f>
        <v>ML Crankset</v>
      </c>
      <c r="D965" t="str">
        <f>_xlfn.XLOOKUP(tbl_model[[#This Row],[ProductID]],tbl_product[ProductID],tbl_product[ProductNumber],"UNMAPPED_PRODUCT")</f>
        <v>CS-6583</v>
      </c>
      <c r="E965" t="str">
        <f>_xlfn.XLOOKUP(tbl_model[[#This Row],[LocationID]],tbl_location[LocationID],tbl_location[LocationName],"UNMAPPED_LOCATION")</f>
        <v>Tool Crib</v>
      </c>
      <c r="F965">
        <v>272</v>
      </c>
      <c r="G965" s="1" t="str">
        <f>tbl_model[[#This Row],[ProductID]] &amp; "-" &amp; tbl_model[[#This Row],[LocationID]]</f>
        <v>950-1</v>
      </c>
    </row>
    <row r="966" spans="1:7">
      <c r="A966">
        <v>950</v>
      </c>
      <c r="B966">
        <v>5</v>
      </c>
      <c r="C966" t="str">
        <f>_xlfn.XLOOKUP(tbl_model[[#This Row],[ProductID]],tbl_product[ProductID],tbl_product[ProductName],"UNMAPPED_PRODUCT")</f>
        <v>ML Crankset</v>
      </c>
      <c r="D966" t="str">
        <f>_xlfn.XLOOKUP(tbl_model[[#This Row],[ProductID]],tbl_product[ProductID],tbl_product[ProductNumber],"UNMAPPED_PRODUCT")</f>
        <v>CS-6583</v>
      </c>
      <c r="E966" t="str">
        <f>_xlfn.XLOOKUP(tbl_model[[#This Row],[LocationID]],tbl_location[LocationID],tbl_location[LocationName],"UNMAPPED_LOCATION")</f>
        <v>Metal Storage</v>
      </c>
      <c r="F966">
        <v>342</v>
      </c>
      <c r="G966" s="1" t="str">
        <f>tbl_model[[#This Row],[ProductID]] &amp; "-" &amp; tbl_model[[#This Row],[LocationID]]</f>
        <v>950-5</v>
      </c>
    </row>
    <row r="967" spans="1:7">
      <c r="A967">
        <v>950</v>
      </c>
      <c r="B967">
        <v>50</v>
      </c>
      <c r="C967" t="str">
        <f>_xlfn.XLOOKUP(tbl_model[[#This Row],[ProductID]],tbl_product[ProductID],tbl_product[ProductName],"UNMAPPED_PRODUCT")</f>
        <v>ML Crankset</v>
      </c>
      <c r="D967" t="str">
        <f>_xlfn.XLOOKUP(tbl_model[[#This Row],[ProductID]],tbl_product[ProductID],tbl_product[ProductNumber],"UNMAPPED_PRODUCT")</f>
        <v>CS-6583</v>
      </c>
      <c r="E967" t="str">
        <f>_xlfn.XLOOKUP(tbl_model[[#This Row],[LocationID]],tbl_location[LocationID],tbl_location[LocationName],"UNMAPPED_LOCATION")</f>
        <v>Subassembly</v>
      </c>
      <c r="F967">
        <v>291</v>
      </c>
      <c r="G967" s="1" t="str">
        <f>tbl_model[[#This Row],[ProductID]] &amp; "-" &amp; tbl_model[[#This Row],[LocationID]]</f>
        <v>950-50</v>
      </c>
    </row>
    <row r="968" spans="1:7">
      <c r="A968">
        <v>951</v>
      </c>
      <c r="B968">
        <v>1</v>
      </c>
      <c r="C968" t="str">
        <f>_xlfn.XLOOKUP(tbl_model[[#This Row],[ProductID]],tbl_product[ProductID],tbl_product[ProductName],"UNMAPPED_PRODUCT")</f>
        <v>HL Crankset</v>
      </c>
      <c r="D968" t="str">
        <f>_xlfn.XLOOKUP(tbl_model[[#This Row],[ProductID]],tbl_product[ProductID],tbl_product[ProductNumber],"UNMAPPED_PRODUCT")</f>
        <v>CS-9183</v>
      </c>
      <c r="E968" t="str">
        <f>_xlfn.XLOOKUP(tbl_model[[#This Row],[LocationID]],tbl_location[LocationID],tbl_location[LocationName],"UNMAPPED_LOCATION")</f>
        <v>Tool Crib</v>
      </c>
      <c r="F968">
        <v>278</v>
      </c>
      <c r="G968" s="1" t="str">
        <f>tbl_model[[#This Row],[ProductID]] &amp; "-" &amp; tbl_model[[#This Row],[LocationID]]</f>
        <v>951-1</v>
      </c>
    </row>
    <row r="969" spans="1:7">
      <c r="A969">
        <v>951</v>
      </c>
      <c r="B969">
        <v>5</v>
      </c>
      <c r="C969" t="str">
        <f>_xlfn.XLOOKUP(tbl_model[[#This Row],[ProductID]],tbl_product[ProductID],tbl_product[ProductName],"UNMAPPED_PRODUCT")</f>
        <v>HL Crankset</v>
      </c>
      <c r="D969" t="str">
        <f>_xlfn.XLOOKUP(tbl_model[[#This Row],[ProductID]],tbl_product[ProductID],tbl_product[ProductNumber],"UNMAPPED_PRODUCT")</f>
        <v>CS-9183</v>
      </c>
      <c r="E969" t="str">
        <f>_xlfn.XLOOKUP(tbl_model[[#This Row],[LocationID]],tbl_location[LocationID],tbl_location[LocationName],"UNMAPPED_LOCATION")</f>
        <v>Metal Storage</v>
      </c>
      <c r="F969">
        <v>348</v>
      </c>
      <c r="G969" s="1" t="str">
        <f>tbl_model[[#This Row],[ProductID]] &amp; "-" &amp; tbl_model[[#This Row],[LocationID]]</f>
        <v>951-5</v>
      </c>
    </row>
    <row r="970" spans="1:7">
      <c r="A970">
        <v>951</v>
      </c>
      <c r="B970">
        <v>50</v>
      </c>
      <c r="C970" t="str">
        <f>_xlfn.XLOOKUP(tbl_model[[#This Row],[ProductID]],tbl_product[ProductID],tbl_product[ProductName],"UNMAPPED_PRODUCT")</f>
        <v>HL Crankset</v>
      </c>
      <c r="D970" t="str">
        <f>_xlfn.XLOOKUP(tbl_model[[#This Row],[ProductID]],tbl_product[ProductID],tbl_product[ProductNumber],"UNMAPPED_PRODUCT")</f>
        <v>CS-9183</v>
      </c>
      <c r="E970" t="str">
        <f>_xlfn.XLOOKUP(tbl_model[[#This Row],[LocationID]],tbl_location[LocationID],tbl_location[LocationName],"UNMAPPED_LOCATION")</f>
        <v>Subassembly</v>
      </c>
      <c r="F970">
        <v>297</v>
      </c>
      <c r="G970" s="1" t="str">
        <f>tbl_model[[#This Row],[ProductID]] &amp; "-" &amp; tbl_model[[#This Row],[LocationID]]</f>
        <v>951-50</v>
      </c>
    </row>
    <row r="971" spans="1:7">
      <c r="A971">
        <v>952</v>
      </c>
      <c r="B971">
        <v>1</v>
      </c>
      <c r="C971" t="str">
        <f>_xlfn.XLOOKUP(tbl_model[[#This Row],[ProductID]],tbl_product[ProductID],tbl_product[ProductName],"UNMAPPED_PRODUCT")</f>
        <v>Chain</v>
      </c>
      <c r="D971" t="str">
        <f>_xlfn.XLOOKUP(tbl_model[[#This Row],[ProductID]],tbl_product[ProductID],tbl_product[ProductNumber],"UNMAPPED_PRODUCT")</f>
        <v>CH-0234</v>
      </c>
      <c r="E971" t="str">
        <f>_xlfn.XLOOKUP(tbl_model[[#This Row],[LocationID]],tbl_location[LocationID],tbl_location[LocationName],"UNMAPPED_LOCATION")</f>
        <v>Tool Crib</v>
      </c>
      <c r="F971">
        <v>236</v>
      </c>
      <c r="G971" s="1" t="str">
        <f>tbl_model[[#This Row],[ProductID]] &amp; "-" &amp; tbl_model[[#This Row],[LocationID]]</f>
        <v>952-1</v>
      </c>
    </row>
    <row r="972" spans="1:7">
      <c r="A972">
        <v>952</v>
      </c>
      <c r="B972">
        <v>5</v>
      </c>
      <c r="C972" t="str">
        <f>_xlfn.XLOOKUP(tbl_model[[#This Row],[ProductID]],tbl_product[ProductID],tbl_product[ProductName],"UNMAPPED_PRODUCT")</f>
        <v>Chain</v>
      </c>
      <c r="D972" t="str">
        <f>_xlfn.XLOOKUP(tbl_model[[#This Row],[ProductID]],tbl_product[ProductID],tbl_product[ProductNumber],"UNMAPPED_PRODUCT")</f>
        <v>CH-0234</v>
      </c>
      <c r="E972" t="str">
        <f>_xlfn.XLOOKUP(tbl_model[[#This Row],[LocationID]],tbl_location[LocationID],tbl_location[LocationName],"UNMAPPED_LOCATION")</f>
        <v>Metal Storage</v>
      </c>
      <c r="F972">
        <v>192</v>
      </c>
      <c r="G972" s="1" t="str">
        <f>tbl_model[[#This Row],[ProductID]] &amp; "-" &amp; tbl_model[[#This Row],[LocationID]]</f>
        <v>952-5</v>
      </c>
    </row>
    <row r="973" spans="1:7">
      <c r="A973">
        <v>952</v>
      </c>
      <c r="B973">
        <v>50</v>
      </c>
      <c r="C973" t="str">
        <f>_xlfn.XLOOKUP(tbl_model[[#This Row],[ProductID]],tbl_product[ProductID],tbl_product[ProductName],"UNMAPPED_PRODUCT")</f>
        <v>Chain</v>
      </c>
      <c r="D973" t="str">
        <f>_xlfn.XLOOKUP(tbl_model[[#This Row],[ProductID]],tbl_product[ProductID],tbl_product[ProductNumber],"UNMAPPED_PRODUCT")</f>
        <v>CH-0234</v>
      </c>
      <c r="E973" t="str">
        <f>_xlfn.XLOOKUP(tbl_model[[#This Row],[LocationID]],tbl_location[LocationID],tbl_location[LocationName],"UNMAPPED_LOCATION")</f>
        <v>Subassembly</v>
      </c>
      <c r="F973">
        <v>161</v>
      </c>
      <c r="G973" s="1" t="str">
        <f>tbl_model[[#This Row],[ProductID]] &amp; "-" &amp; tbl_model[[#This Row],[LocationID]]</f>
        <v>952-50</v>
      </c>
    </row>
    <row r="974" spans="1:7">
      <c r="A974">
        <v>953</v>
      </c>
      <c r="B974">
        <v>7</v>
      </c>
      <c r="C974" t="str">
        <f>_xlfn.XLOOKUP(tbl_model[[#This Row],[ProductID]],tbl_product[ProductID],tbl_product[ProductName],"UNMAPPED_PRODUCT")</f>
        <v>Touring-2000 Blue, 60</v>
      </c>
      <c r="D974" t="str">
        <f>_xlfn.XLOOKUP(tbl_model[[#This Row],[ProductID]],tbl_product[ProductID],tbl_product[ProductNumber],"UNMAPPED_PRODUCT")</f>
        <v>BK-T44U-60</v>
      </c>
      <c r="E974" t="str">
        <f>_xlfn.XLOOKUP(tbl_model[[#This Row],[LocationID]],tbl_location[LocationID],tbl_location[LocationName],"UNMAPPED_LOCATION")</f>
        <v>Finished Goods Storage</v>
      </c>
      <c r="F974">
        <v>116</v>
      </c>
      <c r="G974" s="1" t="str">
        <f>tbl_model[[#This Row],[ProductID]] &amp; "-" &amp; tbl_model[[#This Row],[LocationID]]</f>
        <v>953-7</v>
      </c>
    </row>
    <row r="975" spans="1:7">
      <c r="A975">
        <v>953</v>
      </c>
      <c r="B975">
        <v>60</v>
      </c>
      <c r="C975" t="str">
        <f>_xlfn.XLOOKUP(tbl_model[[#This Row],[ProductID]],tbl_product[ProductID],tbl_product[ProductName],"UNMAPPED_PRODUCT")</f>
        <v>Touring-2000 Blue, 60</v>
      </c>
      <c r="D975" t="str">
        <f>_xlfn.XLOOKUP(tbl_model[[#This Row],[ProductID]],tbl_product[ProductID],tbl_product[ProductNumber],"UNMAPPED_PRODUCT")</f>
        <v>BK-T44U-60</v>
      </c>
      <c r="E975" t="str">
        <f>_xlfn.XLOOKUP(tbl_model[[#This Row],[LocationID]],tbl_location[LocationID],tbl_location[LocationName],"UNMAPPED_LOCATION")</f>
        <v>Final Assembly</v>
      </c>
      <c r="F975">
        <v>49</v>
      </c>
      <c r="G975" s="1" t="str">
        <f>tbl_model[[#This Row],[ProductID]] &amp; "-" &amp; tbl_model[[#This Row],[LocationID]]</f>
        <v>953-60</v>
      </c>
    </row>
    <row r="976" spans="1:7">
      <c r="A976">
        <v>954</v>
      </c>
      <c r="B976">
        <v>7</v>
      </c>
      <c r="C976" t="str">
        <f>_xlfn.XLOOKUP(tbl_model[[#This Row],[ProductID]],tbl_product[ProductID],tbl_product[ProductName],"UNMAPPED_PRODUCT")</f>
        <v>Touring-1000 Yellow, 46</v>
      </c>
      <c r="D976" t="str">
        <f>_xlfn.XLOOKUP(tbl_model[[#This Row],[ProductID]],tbl_product[ProductID],tbl_product[ProductNumber],"UNMAPPED_PRODUCT")</f>
        <v>BK-T79Y-46</v>
      </c>
      <c r="E976" t="str">
        <f>_xlfn.XLOOKUP(tbl_model[[#This Row],[LocationID]],tbl_location[LocationID],tbl_location[LocationName],"UNMAPPED_LOCATION")</f>
        <v>Finished Goods Storage</v>
      </c>
      <c r="F976">
        <v>65</v>
      </c>
      <c r="G976" s="1" t="str">
        <f>tbl_model[[#This Row],[ProductID]] &amp; "-" &amp; tbl_model[[#This Row],[LocationID]]</f>
        <v>954-7</v>
      </c>
    </row>
    <row r="977" spans="1:7">
      <c r="A977">
        <v>954</v>
      </c>
      <c r="B977">
        <v>60</v>
      </c>
      <c r="C977" t="str">
        <f>_xlfn.XLOOKUP(tbl_model[[#This Row],[ProductID]],tbl_product[ProductID],tbl_product[ProductName],"UNMAPPED_PRODUCT")</f>
        <v>Touring-1000 Yellow, 46</v>
      </c>
      <c r="D977" t="str">
        <f>_xlfn.XLOOKUP(tbl_model[[#This Row],[ProductID]],tbl_product[ProductID],tbl_product[ProductNumber],"UNMAPPED_PRODUCT")</f>
        <v>BK-T79Y-46</v>
      </c>
      <c r="E977" t="str">
        <f>_xlfn.XLOOKUP(tbl_model[[#This Row],[LocationID]],tbl_location[LocationID],tbl_location[LocationName],"UNMAPPED_LOCATION")</f>
        <v>Final Assembly</v>
      </c>
      <c r="F977">
        <v>83</v>
      </c>
      <c r="G977" s="1" t="str">
        <f>tbl_model[[#This Row],[ProductID]] &amp; "-" &amp; tbl_model[[#This Row],[LocationID]]</f>
        <v>954-60</v>
      </c>
    </row>
    <row r="978" spans="1:7">
      <c r="A978">
        <v>955</v>
      </c>
      <c r="B978">
        <v>7</v>
      </c>
      <c r="C978" t="str">
        <f>_xlfn.XLOOKUP(tbl_model[[#This Row],[ProductID]],tbl_product[ProductID],tbl_product[ProductName],"UNMAPPED_PRODUCT")</f>
        <v>Touring-1000 Yellow, 50</v>
      </c>
      <c r="D978" t="str">
        <f>_xlfn.XLOOKUP(tbl_model[[#This Row],[ProductID]],tbl_product[ProductID],tbl_product[ProductNumber],"UNMAPPED_PRODUCT")</f>
        <v>BK-T79Y-50</v>
      </c>
      <c r="E978" t="str">
        <f>_xlfn.XLOOKUP(tbl_model[[#This Row],[LocationID]],tbl_location[LocationID],tbl_location[LocationName],"UNMAPPED_LOCATION")</f>
        <v>Finished Goods Storage</v>
      </c>
      <c r="F978">
        <v>75</v>
      </c>
      <c r="G978" s="1" t="str">
        <f>tbl_model[[#This Row],[ProductID]] &amp; "-" &amp; tbl_model[[#This Row],[LocationID]]</f>
        <v>955-7</v>
      </c>
    </row>
    <row r="979" spans="1:7">
      <c r="A979">
        <v>955</v>
      </c>
      <c r="B979">
        <v>60</v>
      </c>
      <c r="C979" t="str">
        <f>_xlfn.XLOOKUP(tbl_model[[#This Row],[ProductID]],tbl_product[ProductID],tbl_product[ProductName],"UNMAPPED_PRODUCT")</f>
        <v>Touring-1000 Yellow, 50</v>
      </c>
      <c r="D979" t="str">
        <f>_xlfn.XLOOKUP(tbl_model[[#This Row],[ProductID]],tbl_product[ProductID],tbl_product[ProductNumber],"UNMAPPED_PRODUCT")</f>
        <v>BK-T79Y-50</v>
      </c>
      <c r="E979" t="str">
        <f>_xlfn.XLOOKUP(tbl_model[[#This Row],[LocationID]],tbl_location[LocationID],tbl_location[LocationName],"UNMAPPED_LOCATION")</f>
        <v>Final Assembly</v>
      </c>
      <c r="F979">
        <v>62</v>
      </c>
      <c r="G979" s="1" t="str">
        <f>tbl_model[[#This Row],[ProductID]] &amp; "-" &amp; tbl_model[[#This Row],[LocationID]]</f>
        <v>955-60</v>
      </c>
    </row>
    <row r="980" spans="1:7">
      <c r="A980">
        <v>956</v>
      </c>
      <c r="B980">
        <v>7</v>
      </c>
      <c r="C980" t="str">
        <f>_xlfn.XLOOKUP(tbl_model[[#This Row],[ProductID]],tbl_product[ProductID],tbl_product[ProductName],"UNMAPPED_PRODUCT")</f>
        <v>Touring-1000 Yellow, 54</v>
      </c>
      <c r="D980" t="str">
        <f>_xlfn.XLOOKUP(tbl_model[[#This Row],[ProductID]],tbl_product[ProductID],tbl_product[ProductNumber],"UNMAPPED_PRODUCT")</f>
        <v>BK-T79Y-54</v>
      </c>
      <c r="E980" t="str">
        <f>_xlfn.XLOOKUP(tbl_model[[#This Row],[LocationID]],tbl_location[LocationID],tbl_location[LocationName],"UNMAPPED_LOCATION")</f>
        <v>Finished Goods Storage</v>
      </c>
      <c r="F980">
        <v>35</v>
      </c>
      <c r="G980" s="1" t="str">
        <f>tbl_model[[#This Row],[ProductID]] &amp; "-" &amp; tbl_model[[#This Row],[LocationID]]</f>
        <v>956-7</v>
      </c>
    </row>
    <row r="981" spans="1:7">
      <c r="A981">
        <v>956</v>
      </c>
      <c r="B981">
        <v>60</v>
      </c>
      <c r="C981" t="str">
        <f>_xlfn.XLOOKUP(tbl_model[[#This Row],[ProductID]],tbl_product[ProductID],tbl_product[ProductName],"UNMAPPED_PRODUCT")</f>
        <v>Touring-1000 Yellow, 54</v>
      </c>
      <c r="D981" t="str">
        <f>_xlfn.XLOOKUP(tbl_model[[#This Row],[ProductID]],tbl_product[ProductID],tbl_product[ProductNumber],"UNMAPPED_PRODUCT")</f>
        <v>BK-T79Y-54</v>
      </c>
      <c r="E981" t="str">
        <f>_xlfn.XLOOKUP(tbl_model[[#This Row],[LocationID]],tbl_location[LocationID],tbl_location[LocationName],"UNMAPPED_LOCATION")</f>
        <v>Final Assembly</v>
      </c>
      <c r="F981">
        <v>40</v>
      </c>
      <c r="G981" s="1" t="str">
        <f>tbl_model[[#This Row],[ProductID]] &amp; "-" &amp; tbl_model[[#This Row],[LocationID]]</f>
        <v>956-60</v>
      </c>
    </row>
    <row r="982" spans="1:7">
      <c r="A982">
        <v>957</v>
      </c>
      <c r="B982">
        <v>7</v>
      </c>
      <c r="C982" t="str">
        <f>_xlfn.XLOOKUP(tbl_model[[#This Row],[ProductID]],tbl_product[ProductID],tbl_product[ProductName],"UNMAPPED_PRODUCT")</f>
        <v>Touring-1000 Yellow, 60</v>
      </c>
      <c r="D982" t="str">
        <f>_xlfn.XLOOKUP(tbl_model[[#This Row],[ProductID]],tbl_product[ProductID],tbl_product[ProductNumber],"UNMAPPED_PRODUCT")</f>
        <v>BK-T79Y-60</v>
      </c>
      <c r="E982" t="str">
        <f>_xlfn.XLOOKUP(tbl_model[[#This Row],[LocationID]],tbl_location[LocationID],tbl_location[LocationName],"UNMAPPED_LOCATION")</f>
        <v>Finished Goods Storage</v>
      </c>
      <c r="F982">
        <v>51</v>
      </c>
      <c r="G982" s="1" t="str">
        <f>tbl_model[[#This Row],[ProductID]] &amp; "-" &amp; tbl_model[[#This Row],[LocationID]]</f>
        <v>957-7</v>
      </c>
    </row>
    <row r="983" spans="1:7">
      <c r="A983">
        <v>957</v>
      </c>
      <c r="B983">
        <v>60</v>
      </c>
      <c r="C983" t="str">
        <f>_xlfn.XLOOKUP(tbl_model[[#This Row],[ProductID]],tbl_product[ProductID],tbl_product[ProductName],"UNMAPPED_PRODUCT")</f>
        <v>Touring-1000 Yellow, 60</v>
      </c>
      <c r="D983" t="str">
        <f>_xlfn.XLOOKUP(tbl_model[[#This Row],[ProductID]],tbl_product[ProductID],tbl_product[ProductNumber],"UNMAPPED_PRODUCT")</f>
        <v>BK-T79Y-60</v>
      </c>
      <c r="E983" t="str">
        <f>_xlfn.XLOOKUP(tbl_model[[#This Row],[LocationID]],tbl_location[LocationID],tbl_location[LocationName],"UNMAPPED_LOCATION")</f>
        <v>Final Assembly</v>
      </c>
      <c r="F983">
        <v>100</v>
      </c>
      <c r="G983" s="1" t="str">
        <f>tbl_model[[#This Row],[ProductID]] &amp; "-" &amp; tbl_model[[#This Row],[LocationID]]</f>
        <v>957-60</v>
      </c>
    </row>
    <row r="984" spans="1:7">
      <c r="A984">
        <v>958</v>
      </c>
      <c r="B984">
        <v>7</v>
      </c>
      <c r="C984" t="str">
        <f>_xlfn.XLOOKUP(tbl_model[[#This Row],[ProductID]],tbl_product[ProductID],tbl_product[ProductName],"UNMAPPED_PRODUCT")</f>
        <v>Touring-3000 Blue, 54</v>
      </c>
      <c r="D984" t="str">
        <f>_xlfn.XLOOKUP(tbl_model[[#This Row],[ProductID]],tbl_product[ProductID],tbl_product[ProductNumber],"UNMAPPED_PRODUCT")</f>
        <v>BK-T18U-54</v>
      </c>
      <c r="E984" t="str">
        <f>_xlfn.XLOOKUP(tbl_model[[#This Row],[LocationID]],tbl_location[LocationID],tbl_location[LocationName],"UNMAPPED_LOCATION")</f>
        <v>Finished Goods Storage</v>
      </c>
      <c r="F984">
        <v>128</v>
      </c>
      <c r="G984" s="1" t="str">
        <f>tbl_model[[#This Row],[ProductID]] &amp; "-" &amp; tbl_model[[#This Row],[LocationID]]</f>
        <v>958-7</v>
      </c>
    </row>
    <row r="985" spans="1:7">
      <c r="A985">
        <v>958</v>
      </c>
      <c r="B985">
        <v>60</v>
      </c>
      <c r="C985" t="str">
        <f>_xlfn.XLOOKUP(tbl_model[[#This Row],[ProductID]],tbl_product[ProductID],tbl_product[ProductName],"UNMAPPED_PRODUCT")</f>
        <v>Touring-3000 Blue, 54</v>
      </c>
      <c r="D985" t="str">
        <f>_xlfn.XLOOKUP(tbl_model[[#This Row],[ProductID]],tbl_product[ProductID],tbl_product[ProductNumber],"UNMAPPED_PRODUCT")</f>
        <v>BK-T18U-54</v>
      </c>
      <c r="E985" t="str">
        <f>_xlfn.XLOOKUP(tbl_model[[#This Row],[LocationID]],tbl_location[LocationID],tbl_location[LocationName],"UNMAPPED_LOCATION")</f>
        <v>Final Assembly</v>
      </c>
      <c r="F985">
        <v>35</v>
      </c>
      <c r="G985" s="1" t="str">
        <f>tbl_model[[#This Row],[ProductID]] &amp; "-" &amp; tbl_model[[#This Row],[LocationID]]</f>
        <v>958-60</v>
      </c>
    </row>
    <row r="986" spans="1:7">
      <c r="A986">
        <v>959</v>
      </c>
      <c r="B986">
        <v>7</v>
      </c>
      <c r="C986" t="str">
        <f>_xlfn.XLOOKUP(tbl_model[[#This Row],[ProductID]],tbl_product[ProductID],tbl_product[ProductName],"UNMAPPED_PRODUCT")</f>
        <v>Touring-3000 Blue, 58</v>
      </c>
      <c r="D986" t="str">
        <f>_xlfn.XLOOKUP(tbl_model[[#This Row],[ProductID]],tbl_product[ProductID],tbl_product[ProductNumber],"UNMAPPED_PRODUCT")</f>
        <v>BK-T18U-58</v>
      </c>
      <c r="E986" t="str">
        <f>_xlfn.XLOOKUP(tbl_model[[#This Row],[LocationID]],tbl_location[LocationID],tbl_location[LocationName],"UNMAPPED_LOCATION")</f>
        <v>Finished Goods Storage</v>
      </c>
      <c r="F986">
        <v>83</v>
      </c>
      <c r="G986" s="1" t="str">
        <f>tbl_model[[#This Row],[ProductID]] &amp; "-" &amp; tbl_model[[#This Row],[LocationID]]</f>
        <v>959-7</v>
      </c>
    </row>
    <row r="987" spans="1:7">
      <c r="A987">
        <v>959</v>
      </c>
      <c r="B987">
        <v>60</v>
      </c>
      <c r="C987" t="str">
        <f>_xlfn.XLOOKUP(tbl_model[[#This Row],[ProductID]],tbl_product[ProductID],tbl_product[ProductName],"UNMAPPED_PRODUCT")</f>
        <v>Touring-3000 Blue, 58</v>
      </c>
      <c r="D987" t="str">
        <f>_xlfn.XLOOKUP(tbl_model[[#This Row],[ProductID]],tbl_product[ProductID],tbl_product[ProductNumber],"UNMAPPED_PRODUCT")</f>
        <v>BK-T18U-58</v>
      </c>
      <c r="E987" t="str">
        <f>_xlfn.XLOOKUP(tbl_model[[#This Row],[LocationID]],tbl_location[LocationID],tbl_location[LocationName],"UNMAPPED_LOCATION")</f>
        <v>Final Assembly</v>
      </c>
      <c r="F987">
        <v>121</v>
      </c>
      <c r="G987" s="1" t="str">
        <f>tbl_model[[#This Row],[ProductID]] &amp; "-" &amp; tbl_model[[#This Row],[LocationID]]</f>
        <v>959-60</v>
      </c>
    </row>
    <row r="988" spans="1:7">
      <c r="A988">
        <v>960</v>
      </c>
      <c r="B988">
        <v>7</v>
      </c>
      <c r="C988" t="str">
        <f>_xlfn.XLOOKUP(tbl_model[[#This Row],[ProductID]],tbl_product[ProductID],tbl_product[ProductName],"UNMAPPED_PRODUCT")</f>
        <v>Touring-3000 Blue, 62</v>
      </c>
      <c r="D988" t="str">
        <f>_xlfn.XLOOKUP(tbl_model[[#This Row],[ProductID]],tbl_product[ProductID],tbl_product[ProductNumber],"UNMAPPED_PRODUCT")</f>
        <v>BK-T18U-62</v>
      </c>
      <c r="E988" t="str">
        <f>_xlfn.XLOOKUP(tbl_model[[#This Row],[LocationID]],tbl_location[LocationID],tbl_location[LocationName],"UNMAPPED_LOCATION")</f>
        <v>Finished Goods Storage</v>
      </c>
      <c r="F988">
        <v>54</v>
      </c>
      <c r="G988" s="1" t="str">
        <f>tbl_model[[#This Row],[ProductID]] &amp; "-" &amp; tbl_model[[#This Row],[LocationID]]</f>
        <v>960-7</v>
      </c>
    </row>
    <row r="989" spans="1:7">
      <c r="A989">
        <v>960</v>
      </c>
      <c r="B989">
        <v>60</v>
      </c>
      <c r="C989" t="str">
        <f>_xlfn.XLOOKUP(tbl_model[[#This Row],[ProductID]],tbl_product[ProductID],tbl_product[ProductName],"UNMAPPED_PRODUCT")</f>
        <v>Touring-3000 Blue, 62</v>
      </c>
      <c r="D989" t="str">
        <f>_xlfn.XLOOKUP(tbl_model[[#This Row],[ProductID]],tbl_product[ProductID],tbl_product[ProductNumber],"UNMAPPED_PRODUCT")</f>
        <v>BK-T18U-62</v>
      </c>
      <c r="E989" t="str">
        <f>_xlfn.XLOOKUP(tbl_model[[#This Row],[LocationID]],tbl_location[LocationID],tbl_location[LocationName],"UNMAPPED_LOCATION")</f>
        <v>Final Assembly</v>
      </c>
      <c r="F989">
        <v>105</v>
      </c>
      <c r="G989" s="1" t="str">
        <f>tbl_model[[#This Row],[ProductID]] &amp; "-" &amp; tbl_model[[#This Row],[LocationID]]</f>
        <v>960-60</v>
      </c>
    </row>
    <row r="990" spans="1:7">
      <c r="A990">
        <v>961</v>
      </c>
      <c r="B990">
        <v>7</v>
      </c>
      <c r="C990" t="str">
        <f>_xlfn.XLOOKUP(tbl_model[[#This Row],[ProductID]],tbl_product[ProductID],tbl_product[ProductName],"UNMAPPED_PRODUCT")</f>
        <v>Touring-3000 Yellow, 44</v>
      </c>
      <c r="D990" t="str">
        <f>_xlfn.XLOOKUP(tbl_model[[#This Row],[ProductID]],tbl_product[ProductID],tbl_product[ProductNumber],"UNMAPPED_PRODUCT")</f>
        <v>BK-T18Y-44</v>
      </c>
      <c r="E990" t="str">
        <f>_xlfn.XLOOKUP(tbl_model[[#This Row],[LocationID]],tbl_location[LocationID],tbl_location[LocationName],"UNMAPPED_LOCATION")</f>
        <v>Finished Goods Storage</v>
      </c>
      <c r="F990">
        <v>88</v>
      </c>
      <c r="G990" s="1" t="str">
        <f>tbl_model[[#This Row],[ProductID]] &amp; "-" &amp; tbl_model[[#This Row],[LocationID]]</f>
        <v>961-7</v>
      </c>
    </row>
    <row r="991" spans="1:7">
      <c r="A991">
        <v>961</v>
      </c>
      <c r="B991">
        <v>60</v>
      </c>
      <c r="C991" t="str">
        <f>_xlfn.XLOOKUP(tbl_model[[#This Row],[ProductID]],tbl_product[ProductID],tbl_product[ProductName],"UNMAPPED_PRODUCT")</f>
        <v>Touring-3000 Yellow, 44</v>
      </c>
      <c r="D991" t="str">
        <f>_xlfn.XLOOKUP(tbl_model[[#This Row],[ProductID]],tbl_product[ProductID],tbl_product[ProductNumber],"UNMAPPED_PRODUCT")</f>
        <v>BK-T18Y-44</v>
      </c>
      <c r="E991" t="str">
        <f>_xlfn.XLOOKUP(tbl_model[[#This Row],[LocationID]],tbl_location[LocationID],tbl_location[LocationName],"UNMAPPED_LOCATION")</f>
        <v>Final Assembly</v>
      </c>
      <c r="F991">
        <v>80</v>
      </c>
      <c r="G991" s="1" t="str">
        <f>tbl_model[[#This Row],[ProductID]] &amp; "-" &amp; tbl_model[[#This Row],[LocationID]]</f>
        <v>961-60</v>
      </c>
    </row>
    <row r="992" spans="1:7">
      <c r="A992">
        <v>962</v>
      </c>
      <c r="B992">
        <v>7</v>
      </c>
      <c r="C992" t="str">
        <f>_xlfn.XLOOKUP(tbl_model[[#This Row],[ProductID]],tbl_product[ProductID],tbl_product[ProductName],"UNMAPPED_PRODUCT")</f>
        <v>Touring-3000 Yellow, 50</v>
      </c>
      <c r="D992" t="str">
        <f>_xlfn.XLOOKUP(tbl_model[[#This Row],[ProductID]],tbl_product[ProductID],tbl_product[ProductNumber],"UNMAPPED_PRODUCT")</f>
        <v>BK-T18Y-50</v>
      </c>
      <c r="E992" t="str">
        <f>_xlfn.XLOOKUP(tbl_model[[#This Row],[LocationID]],tbl_location[LocationID],tbl_location[LocationName],"UNMAPPED_LOCATION")</f>
        <v>Finished Goods Storage</v>
      </c>
      <c r="F992">
        <v>67</v>
      </c>
      <c r="G992" s="1" t="str">
        <f>tbl_model[[#This Row],[ProductID]] &amp; "-" &amp; tbl_model[[#This Row],[LocationID]]</f>
        <v>962-7</v>
      </c>
    </row>
    <row r="993" spans="1:7">
      <c r="A993">
        <v>962</v>
      </c>
      <c r="B993">
        <v>60</v>
      </c>
      <c r="C993" t="str">
        <f>_xlfn.XLOOKUP(tbl_model[[#This Row],[ProductID]],tbl_product[ProductID],tbl_product[ProductName],"UNMAPPED_PRODUCT")</f>
        <v>Touring-3000 Yellow, 50</v>
      </c>
      <c r="D993" t="str">
        <f>_xlfn.XLOOKUP(tbl_model[[#This Row],[ProductID]],tbl_product[ProductID],tbl_product[ProductNumber],"UNMAPPED_PRODUCT")</f>
        <v>BK-T18Y-50</v>
      </c>
      <c r="E993" t="str">
        <f>_xlfn.XLOOKUP(tbl_model[[#This Row],[LocationID]],tbl_location[LocationID],tbl_location[LocationName],"UNMAPPED_LOCATION")</f>
        <v>Final Assembly</v>
      </c>
      <c r="F993">
        <v>107</v>
      </c>
      <c r="G993" s="1" t="str">
        <f>tbl_model[[#This Row],[ProductID]] &amp; "-" &amp; tbl_model[[#This Row],[LocationID]]</f>
        <v>962-60</v>
      </c>
    </row>
    <row r="994" spans="1:7">
      <c r="A994">
        <v>963</v>
      </c>
      <c r="B994">
        <v>7</v>
      </c>
      <c r="C994" t="str">
        <f>_xlfn.XLOOKUP(tbl_model[[#This Row],[ProductID]],tbl_product[ProductID],tbl_product[ProductName],"UNMAPPED_PRODUCT")</f>
        <v>Touring-3000 Yellow, 54</v>
      </c>
      <c r="D994" t="str">
        <f>_xlfn.XLOOKUP(tbl_model[[#This Row],[ProductID]],tbl_product[ProductID],tbl_product[ProductNumber],"UNMAPPED_PRODUCT")</f>
        <v>BK-T18Y-54</v>
      </c>
      <c r="E994" t="str">
        <f>_xlfn.XLOOKUP(tbl_model[[#This Row],[LocationID]],tbl_location[LocationID],tbl_location[LocationName],"UNMAPPED_LOCATION")</f>
        <v>Finished Goods Storage</v>
      </c>
      <c r="F994">
        <v>126</v>
      </c>
      <c r="G994" s="1" t="str">
        <f>tbl_model[[#This Row],[ProductID]] &amp; "-" &amp; tbl_model[[#This Row],[LocationID]]</f>
        <v>963-7</v>
      </c>
    </row>
    <row r="995" spans="1:7">
      <c r="A995">
        <v>963</v>
      </c>
      <c r="B995">
        <v>60</v>
      </c>
      <c r="C995" t="str">
        <f>_xlfn.XLOOKUP(tbl_model[[#This Row],[ProductID]],tbl_product[ProductID],tbl_product[ProductName],"UNMAPPED_PRODUCT")</f>
        <v>Touring-3000 Yellow, 54</v>
      </c>
      <c r="D995" t="str">
        <f>_xlfn.XLOOKUP(tbl_model[[#This Row],[ProductID]],tbl_product[ProductID],tbl_product[ProductNumber],"UNMAPPED_PRODUCT")</f>
        <v>BK-T18Y-54</v>
      </c>
      <c r="E995" t="str">
        <f>_xlfn.XLOOKUP(tbl_model[[#This Row],[LocationID]],tbl_location[LocationID],tbl_location[LocationName],"UNMAPPED_LOCATION")</f>
        <v>Final Assembly</v>
      </c>
      <c r="F995">
        <v>36</v>
      </c>
      <c r="G995" s="1" t="str">
        <f>tbl_model[[#This Row],[ProductID]] &amp; "-" &amp; tbl_model[[#This Row],[LocationID]]</f>
        <v>963-60</v>
      </c>
    </row>
    <row r="996" spans="1:7">
      <c r="A996">
        <v>964</v>
      </c>
      <c r="B996">
        <v>7</v>
      </c>
      <c r="C996" t="str">
        <f>_xlfn.XLOOKUP(tbl_model[[#This Row],[ProductID]],tbl_product[ProductID],tbl_product[ProductName],"UNMAPPED_PRODUCT")</f>
        <v>Touring-3000 Yellow, 58</v>
      </c>
      <c r="D996" t="str">
        <f>_xlfn.XLOOKUP(tbl_model[[#This Row],[ProductID]],tbl_product[ProductID],tbl_product[ProductNumber],"UNMAPPED_PRODUCT")</f>
        <v>BK-T18Y-58</v>
      </c>
      <c r="E996" t="str">
        <f>_xlfn.XLOOKUP(tbl_model[[#This Row],[LocationID]],tbl_location[LocationID],tbl_location[LocationName],"UNMAPPED_LOCATION")</f>
        <v>Finished Goods Storage</v>
      </c>
      <c r="F996">
        <v>81</v>
      </c>
      <c r="G996" s="1" t="str">
        <f>tbl_model[[#This Row],[ProductID]] &amp; "-" &amp; tbl_model[[#This Row],[LocationID]]</f>
        <v>964-7</v>
      </c>
    </row>
    <row r="997" spans="1:7">
      <c r="A997">
        <v>964</v>
      </c>
      <c r="B997">
        <v>60</v>
      </c>
      <c r="C997" t="str">
        <f>_xlfn.XLOOKUP(tbl_model[[#This Row],[ProductID]],tbl_product[ProductID],tbl_product[ProductName],"UNMAPPED_PRODUCT")</f>
        <v>Touring-3000 Yellow, 58</v>
      </c>
      <c r="D997" t="str">
        <f>_xlfn.XLOOKUP(tbl_model[[#This Row],[ProductID]],tbl_product[ProductID],tbl_product[ProductNumber],"UNMAPPED_PRODUCT")</f>
        <v>BK-T18Y-58</v>
      </c>
      <c r="E997" t="str">
        <f>_xlfn.XLOOKUP(tbl_model[[#This Row],[LocationID]],tbl_location[LocationID],tbl_location[LocationName],"UNMAPPED_LOCATION")</f>
        <v>Final Assembly</v>
      </c>
      <c r="F997">
        <v>116</v>
      </c>
      <c r="G997" s="1" t="str">
        <f>tbl_model[[#This Row],[ProductID]] &amp; "-" &amp; tbl_model[[#This Row],[LocationID]]</f>
        <v>964-60</v>
      </c>
    </row>
    <row r="998" spans="1:7">
      <c r="A998">
        <v>965</v>
      </c>
      <c r="B998">
        <v>7</v>
      </c>
      <c r="C998" t="str">
        <f>_xlfn.XLOOKUP(tbl_model[[#This Row],[ProductID]],tbl_product[ProductID],tbl_product[ProductName],"UNMAPPED_PRODUCT")</f>
        <v>Touring-3000 Yellow, 62</v>
      </c>
      <c r="D998" t="str">
        <f>_xlfn.XLOOKUP(tbl_model[[#This Row],[ProductID]],tbl_product[ProductID],tbl_product[ProductNumber],"UNMAPPED_PRODUCT")</f>
        <v>BK-T18Y-62</v>
      </c>
      <c r="E998" t="str">
        <f>_xlfn.XLOOKUP(tbl_model[[#This Row],[LocationID]],tbl_location[LocationID],tbl_location[LocationName],"UNMAPPED_LOCATION")</f>
        <v>Finished Goods Storage</v>
      </c>
      <c r="F998">
        <v>91</v>
      </c>
      <c r="G998" s="1" t="str">
        <f>tbl_model[[#This Row],[ProductID]] &amp; "-" &amp; tbl_model[[#This Row],[LocationID]]</f>
        <v>965-7</v>
      </c>
    </row>
    <row r="999" spans="1:7">
      <c r="A999">
        <v>965</v>
      </c>
      <c r="B999">
        <v>60</v>
      </c>
      <c r="C999" t="str">
        <f>_xlfn.XLOOKUP(tbl_model[[#This Row],[ProductID]],tbl_product[ProductID],tbl_product[ProductName],"UNMAPPED_PRODUCT")</f>
        <v>Touring-3000 Yellow, 62</v>
      </c>
      <c r="D999" t="str">
        <f>_xlfn.XLOOKUP(tbl_model[[#This Row],[ProductID]],tbl_product[ProductID],tbl_product[ProductNumber],"UNMAPPED_PRODUCT")</f>
        <v>BK-T18Y-62</v>
      </c>
      <c r="E999" t="str">
        <f>_xlfn.XLOOKUP(tbl_model[[#This Row],[LocationID]],tbl_location[LocationID],tbl_location[LocationName],"UNMAPPED_LOCATION")</f>
        <v>Final Assembly</v>
      </c>
      <c r="F999">
        <v>72</v>
      </c>
      <c r="G999" s="1" t="str">
        <f>tbl_model[[#This Row],[ProductID]] &amp; "-" &amp; tbl_model[[#This Row],[LocationID]]</f>
        <v>965-60</v>
      </c>
    </row>
    <row r="1000" spans="1:7">
      <c r="A1000">
        <v>966</v>
      </c>
      <c r="B1000">
        <v>7</v>
      </c>
      <c r="C1000" t="str">
        <f>_xlfn.XLOOKUP(tbl_model[[#This Row],[ProductID]],tbl_product[ProductID],tbl_product[ProductName],"UNMAPPED_PRODUCT")</f>
        <v>Touring-1000 Blue, 46</v>
      </c>
      <c r="D1000" t="str">
        <f>_xlfn.XLOOKUP(tbl_model[[#This Row],[ProductID]],tbl_product[ProductID],tbl_product[ProductNumber],"UNMAPPED_PRODUCT")</f>
        <v>BK-T79U-46</v>
      </c>
      <c r="E1000" t="str">
        <f>_xlfn.XLOOKUP(tbl_model[[#This Row],[LocationID]],tbl_location[LocationID],tbl_location[LocationName],"UNMAPPED_LOCATION")</f>
        <v>Finished Goods Storage</v>
      </c>
      <c r="F1000">
        <v>99</v>
      </c>
      <c r="G1000" s="1" t="str">
        <f>tbl_model[[#This Row],[ProductID]] &amp; "-" &amp; tbl_model[[#This Row],[LocationID]]</f>
        <v>966-7</v>
      </c>
    </row>
    <row r="1001" spans="1:7">
      <c r="A1001">
        <v>966</v>
      </c>
      <c r="B1001">
        <v>60</v>
      </c>
      <c r="C1001" t="str">
        <f>_xlfn.XLOOKUP(tbl_model[[#This Row],[ProductID]],tbl_product[ProductID],tbl_product[ProductName],"UNMAPPED_PRODUCT")</f>
        <v>Touring-1000 Blue, 46</v>
      </c>
      <c r="D1001" t="str">
        <f>_xlfn.XLOOKUP(tbl_model[[#This Row],[ProductID]],tbl_product[ProductID],tbl_product[ProductNumber],"UNMAPPED_PRODUCT")</f>
        <v>BK-T79U-46</v>
      </c>
      <c r="E1001" t="str">
        <f>_xlfn.XLOOKUP(tbl_model[[#This Row],[LocationID]],tbl_location[LocationID],tbl_location[LocationName],"UNMAPPED_LOCATION")</f>
        <v>Final Assembly</v>
      </c>
      <c r="F1001">
        <v>86</v>
      </c>
      <c r="G1001" s="1" t="str">
        <f>tbl_model[[#This Row],[ProductID]] &amp; "-" &amp; tbl_model[[#This Row],[LocationID]]</f>
        <v>966-60</v>
      </c>
    </row>
    <row r="1002" spans="1:7">
      <c r="A1002">
        <v>967</v>
      </c>
      <c r="B1002">
        <v>7</v>
      </c>
      <c r="C1002" t="str">
        <f>_xlfn.XLOOKUP(tbl_model[[#This Row],[ProductID]],tbl_product[ProductID],tbl_product[ProductName],"UNMAPPED_PRODUCT")</f>
        <v>Touring-1000 Blue, 50</v>
      </c>
      <c r="D1002" t="str">
        <f>_xlfn.XLOOKUP(tbl_model[[#This Row],[ProductID]],tbl_product[ProductID],tbl_product[ProductNumber],"UNMAPPED_PRODUCT")</f>
        <v>BK-T79U-50</v>
      </c>
      <c r="E1002" t="str">
        <f>_xlfn.XLOOKUP(tbl_model[[#This Row],[LocationID]],tbl_location[LocationID],tbl_location[LocationName],"UNMAPPED_LOCATION")</f>
        <v>Finished Goods Storage</v>
      </c>
      <c r="F1002">
        <v>67</v>
      </c>
      <c r="G1002" s="1" t="str">
        <f>tbl_model[[#This Row],[ProductID]] &amp; "-" &amp; tbl_model[[#This Row],[LocationID]]</f>
        <v>967-7</v>
      </c>
    </row>
    <row r="1003" spans="1:7">
      <c r="A1003">
        <v>967</v>
      </c>
      <c r="B1003">
        <v>60</v>
      </c>
      <c r="C1003" t="str">
        <f>_xlfn.XLOOKUP(tbl_model[[#This Row],[ProductID]],tbl_product[ProductID],tbl_product[ProductName],"UNMAPPED_PRODUCT")</f>
        <v>Touring-1000 Blue, 50</v>
      </c>
      <c r="D1003" t="str">
        <f>_xlfn.XLOOKUP(tbl_model[[#This Row],[ProductID]],tbl_product[ProductID],tbl_product[ProductNumber],"UNMAPPED_PRODUCT")</f>
        <v>BK-T79U-50</v>
      </c>
      <c r="E1003" t="str">
        <f>_xlfn.XLOOKUP(tbl_model[[#This Row],[LocationID]],tbl_location[LocationID],tbl_location[LocationName],"UNMAPPED_LOCATION")</f>
        <v>Final Assembly</v>
      </c>
      <c r="F1003">
        <v>81</v>
      </c>
      <c r="G1003" s="1" t="str">
        <f>tbl_model[[#This Row],[ProductID]] &amp; "-" &amp; tbl_model[[#This Row],[LocationID]]</f>
        <v>967-60</v>
      </c>
    </row>
    <row r="1004" spans="1:7">
      <c r="A1004">
        <v>968</v>
      </c>
      <c r="B1004">
        <v>7</v>
      </c>
      <c r="C1004" t="str">
        <f>_xlfn.XLOOKUP(tbl_model[[#This Row],[ProductID]],tbl_product[ProductID],tbl_product[ProductName],"UNMAPPED_PRODUCT")</f>
        <v>Touring-1000 Blue, 54</v>
      </c>
      <c r="D1004" t="str">
        <f>_xlfn.XLOOKUP(tbl_model[[#This Row],[ProductID]],tbl_product[ProductID],tbl_product[ProductNumber],"UNMAPPED_PRODUCT")</f>
        <v>BK-T79U-54</v>
      </c>
      <c r="E1004" t="str">
        <f>_xlfn.XLOOKUP(tbl_model[[#This Row],[LocationID]],tbl_location[LocationID],tbl_location[LocationName],"UNMAPPED_LOCATION")</f>
        <v>Finished Goods Storage</v>
      </c>
      <c r="F1004">
        <v>73</v>
      </c>
      <c r="G1004" s="1" t="str">
        <f>tbl_model[[#This Row],[ProductID]] &amp; "-" &amp; tbl_model[[#This Row],[LocationID]]</f>
        <v>968-7</v>
      </c>
    </row>
    <row r="1005" spans="1:7">
      <c r="A1005">
        <v>968</v>
      </c>
      <c r="B1005">
        <v>60</v>
      </c>
      <c r="C1005" t="str">
        <f>_xlfn.XLOOKUP(tbl_model[[#This Row],[ProductID]],tbl_product[ProductID],tbl_product[ProductName],"UNMAPPED_PRODUCT")</f>
        <v>Touring-1000 Blue, 54</v>
      </c>
      <c r="D1005" t="str">
        <f>_xlfn.XLOOKUP(tbl_model[[#This Row],[ProductID]],tbl_product[ProductID],tbl_product[ProductNumber],"UNMAPPED_PRODUCT")</f>
        <v>BK-T79U-54</v>
      </c>
      <c r="E1005" t="str">
        <f>_xlfn.XLOOKUP(tbl_model[[#This Row],[LocationID]],tbl_location[LocationID],tbl_location[LocationName],"UNMAPPED_LOCATION")</f>
        <v>Final Assembly</v>
      </c>
      <c r="F1005">
        <v>60</v>
      </c>
      <c r="G1005" s="1" t="str">
        <f>tbl_model[[#This Row],[ProductID]] &amp; "-" &amp; tbl_model[[#This Row],[LocationID]]</f>
        <v>968-60</v>
      </c>
    </row>
    <row r="1006" spans="1:7">
      <c r="A1006">
        <v>969</v>
      </c>
      <c r="B1006">
        <v>7</v>
      </c>
      <c r="C1006" t="str">
        <f>_xlfn.XLOOKUP(tbl_model[[#This Row],[ProductID]],tbl_product[ProductID],tbl_product[ProductName],"UNMAPPED_PRODUCT")</f>
        <v>Touring-1000 Blue, 60</v>
      </c>
      <c r="D1006" t="str">
        <f>_xlfn.XLOOKUP(tbl_model[[#This Row],[ProductID]],tbl_product[ProductID],tbl_product[ProductNumber],"UNMAPPED_PRODUCT")</f>
        <v>BK-T79U-60</v>
      </c>
      <c r="E1006" t="str">
        <f>_xlfn.XLOOKUP(tbl_model[[#This Row],[LocationID]],tbl_location[LocationID],tbl_location[LocationName],"UNMAPPED_LOCATION")</f>
        <v>Finished Goods Storage</v>
      </c>
      <c r="F1006">
        <v>30</v>
      </c>
      <c r="G1006" s="1" t="str">
        <f>tbl_model[[#This Row],[ProductID]] &amp; "-" &amp; tbl_model[[#This Row],[LocationID]]</f>
        <v>969-7</v>
      </c>
    </row>
    <row r="1007" spans="1:7">
      <c r="A1007">
        <v>969</v>
      </c>
      <c r="B1007">
        <v>60</v>
      </c>
      <c r="C1007" t="str">
        <f>_xlfn.XLOOKUP(tbl_model[[#This Row],[ProductID]],tbl_product[ProductID],tbl_product[ProductName],"UNMAPPED_PRODUCT")</f>
        <v>Touring-1000 Blue, 60</v>
      </c>
      <c r="D1007" t="str">
        <f>_xlfn.XLOOKUP(tbl_model[[#This Row],[ProductID]],tbl_product[ProductID],tbl_product[ProductNumber],"UNMAPPED_PRODUCT")</f>
        <v>BK-T79U-60</v>
      </c>
      <c r="E1007" t="str">
        <f>_xlfn.XLOOKUP(tbl_model[[#This Row],[LocationID]],tbl_location[LocationID],tbl_location[LocationName],"UNMAPPED_LOCATION")</f>
        <v>Final Assembly</v>
      </c>
      <c r="F1007">
        <v>99</v>
      </c>
      <c r="G1007" s="1" t="str">
        <f>tbl_model[[#This Row],[ProductID]] &amp; "-" &amp; tbl_model[[#This Row],[LocationID]]</f>
        <v>969-60</v>
      </c>
    </row>
    <row r="1008" spans="1:7">
      <c r="A1008">
        <v>970</v>
      </c>
      <c r="B1008">
        <v>7</v>
      </c>
      <c r="C1008" t="str">
        <f>_xlfn.XLOOKUP(tbl_model[[#This Row],[ProductID]],tbl_product[ProductID],tbl_product[ProductName],"UNMAPPED_PRODUCT")</f>
        <v>Touring-2000 Blue, 46</v>
      </c>
      <c r="D1008" t="str">
        <f>_xlfn.XLOOKUP(tbl_model[[#This Row],[ProductID]],tbl_product[ProductID],tbl_product[ProductNumber],"UNMAPPED_PRODUCT")</f>
        <v>BK-T44U-46</v>
      </c>
      <c r="E1008" t="str">
        <f>_xlfn.XLOOKUP(tbl_model[[#This Row],[LocationID]],tbl_location[LocationID],tbl_location[LocationName],"UNMAPPED_LOCATION")</f>
        <v>Finished Goods Storage</v>
      </c>
      <c r="F1008">
        <v>73</v>
      </c>
      <c r="G1008" s="1" t="str">
        <f>tbl_model[[#This Row],[ProductID]] &amp; "-" &amp; tbl_model[[#This Row],[LocationID]]</f>
        <v>970-7</v>
      </c>
    </row>
    <row r="1009" spans="1:7">
      <c r="A1009">
        <v>970</v>
      </c>
      <c r="B1009">
        <v>60</v>
      </c>
      <c r="C1009" t="str">
        <f>_xlfn.XLOOKUP(tbl_model[[#This Row],[ProductID]],tbl_product[ProductID],tbl_product[ProductName],"UNMAPPED_PRODUCT")</f>
        <v>Touring-2000 Blue, 46</v>
      </c>
      <c r="D1009" t="str">
        <f>_xlfn.XLOOKUP(tbl_model[[#This Row],[ProductID]],tbl_product[ProductID],tbl_product[ProductNumber],"UNMAPPED_PRODUCT")</f>
        <v>BK-T44U-46</v>
      </c>
      <c r="E1009" t="str">
        <f>_xlfn.XLOOKUP(tbl_model[[#This Row],[LocationID]],tbl_location[LocationID],tbl_location[LocationName],"UNMAPPED_LOCATION")</f>
        <v>Final Assembly</v>
      </c>
      <c r="F1009">
        <v>60</v>
      </c>
      <c r="G1009" s="1" t="str">
        <f>tbl_model[[#This Row],[ProductID]] &amp; "-" &amp; tbl_model[[#This Row],[LocationID]]</f>
        <v>970-60</v>
      </c>
    </row>
    <row r="1010" spans="1:7">
      <c r="A1010">
        <v>971</v>
      </c>
      <c r="B1010">
        <v>7</v>
      </c>
      <c r="C1010" t="str">
        <f>_xlfn.XLOOKUP(tbl_model[[#This Row],[ProductID]],tbl_product[ProductID],tbl_product[ProductName],"UNMAPPED_PRODUCT")</f>
        <v>Touring-2000 Blue, 50</v>
      </c>
      <c r="D1010" t="str">
        <f>_xlfn.XLOOKUP(tbl_model[[#This Row],[ProductID]],tbl_product[ProductID],tbl_product[ProductNumber],"UNMAPPED_PRODUCT")</f>
        <v>BK-T44U-50</v>
      </c>
      <c r="E1010" t="str">
        <f>_xlfn.XLOOKUP(tbl_model[[#This Row],[LocationID]],tbl_location[LocationID],tbl_location[LocationName],"UNMAPPED_LOCATION")</f>
        <v>Finished Goods Storage</v>
      </c>
      <c r="F1010">
        <v>104</v>
      </c>
      <c r="G1010" s="1" t="str">
        <f>tbl_model[[#This Row],[ProductID]] &amp; "-" &amp; tbl_model[[#This Row],[LocationID]]</f>
        <v>971-7</v>
      </c>
    </row>
    <row r="1011" spans="1:7">
      <c r="A1011">
        <v>971</v>
      </c>
      <c r="B1011">
        <v>60</v>
      </c>
      <c r="C1011" t="str">
        <f>_xlfn.XLOOKUP(tbl_model[[#This Row],[ProductID]],tbl_product[ProductID],tbl_product[ProductName],"UNMAPPED_PRODUCT")</f>
        <v>Touring-2000 Blue, 50</v>
      </c>
      <c r="D1011" t="str">
        <f>_xlfn.XLOOKUP(tbl_model[[#This Row],[ProductID]],tbl_product[ProductID],tbl_product[ProductNumber],"UNMAPPED_PRODUCT")</f>
        <v>BK-T44U-50</v>
      </c>
      <c r="E1011" t="str">
        <f>_xlfn.XLOOKUP(tbl_model[[#This Row],[LocationID]],tbl_location[LocationID],tbl_location[LocationName],"UNMAPPED_LOCATION")</f>
        <v>Final Assembly</v>
      </c>
      <c r="F1011">
        <v>123</v>
      </c>
      <c r="G1011" s="1" t="str">
        <f>tbl_model[[#This Row],[ProductID]] &amp; "-" &amp; tbl_model[[#This Row],[LocationID]]</f>
        <v>971-60</v>
      </c>
    </row>
    <row r="1012" spans="1:7">
      <c r="A1012">
        <v>972</v>
      </c>
      <c r="B1012">
        <v>7</v>
      </c>
      <c r="C1012" t="str">
        <f>_xlfn.XLOOKUP(tbl_model[[#This Row],[ProductID]],tbl_product[ProductID],tbl_product[ProductName],"UNMAPPED_PRODUCT")</f>
        <v>Touring-2000 Blue, 54</v>
      </c>
      <c r="D1012" t="str">
        <f>_xlfn.XLOOKUP(tbl_model[[#This Row],[ProductID]],tbl_product[ProductID],tbl_product[ProductNumber],"UNMAPPED_PRODUCT")</f>
        <v>BK-T44U-54</v>
      </c>
      <c r="E1012" t="str">
        <f>_xlfn.XLOOKUP(tbl_model[[#This Row],[LocationID]],tbl_location[LocationID],tbl_location[LocationName],"UNMAPPED_LOCATION")</f>
        <v>Finished Goods Storage</v>
      </c>
      <c r="F1012">
        <v>30</v>
      </c>
      <c r="G1012" s="1" t="str">
        <f>tbl_model[[#This Row],[ProductID]] &amp; "-" &amp; tbl_model[[#This Row],[LocationID]]</f>
        <v>972-7</v>
      </c>
    </row>
    <row r="1013" spans="1:7">
      <c r="A1013">
        <v>972</v>
      </c>
      <c r="B1013">
        <v>60</v>
      </c>
      <c r="C1013" t="str">
        <f>_xlfn.XLOOKUP(tbl_model[[#This Row],[ProductID]],tbl_product[ProductID],tbl_product[ProductName],"UNMAPPED_PRODUCT")</f>
        <v>Touring-2000 Blue, 54</v>
      </c>
      <c r="D1013" t="str">
        <f>_xlfn.XLOOKUP(tbl_model[[#This Row],[ProductID]],tbl_product[ProductID],tbl_product[ProductNumber],"UNMAPPED_PRODUCT")</f>
        <v>BK-T44U-54</v>
      </c>
      <c r="E1013" t="str">
        <f>_xlfn.XLOOKUP(tbl_model[[#This Row],[LocationID]],tbl_location[LocationID],tbl_location[LocationName],"UNMAPPED_LOCATION")</f>
        <v>Final Assembly</v>
      </c>
      <c r="F1013">
        <v>99</v>
      </c>
      <c r="G1013" s="1" t="str">
        <f>tbl_model[[#This Row],[ProductID]] &amp; "-" &amp; tbl_model[[#This Row],[LocationID]]</f>
        <v>972-60</v>
      </c>
    </row>
    <row r="1014" spans="1:7">
      <c r="A1014">
        <v>973</v>
      </c>
      <c r="B1014">
        <v>7</v>
      </c>
      <c r="C1014" t="str">
        <f>_xlfn.XLOOKUP(tbl_model[[#This Row],[ProductID]],tbl_product[ProductID],tbl_product[ProductName],"UNMAPPED_PRODUCT")</f>
        <v>Road-350-W Yellow, 40</v>
      </c>
      <c r="D1014" t="str">
        <f>_xlfn.XLOOKUP(tbl_model[[#This Row],[ProductID]],tbl_product[ProductID],tbl_product[ProductNumber],"UNMAPPED_PRODUCT")</f>
        <v>BK-R79Y-40</v>
      </c>
      <c r="E1014" t="str">
        <f>_xlfn.XLOOKUP(tbl_model[[#This Row],[LocationID]],tbl_location[LocationID],tbl_location[LocationName],"UNMAPPED_LOCATION")</f>
        <v>Finished Goods Storage</v>
      </c>
      <c r="F1014">
        <v>99</v>
      </c>
      <c r="G1014" s="1" t="str">
        <f>tbl_model[[#This Row],[ProductID]] &amp; "-" &amp; tbl_model[[#This Row],[LocationID]]</f>
        <v>973-7</v>
      </c>
    </row>
    <row r="1015" spans="1:7">
      <c r="A1015">
        <v>973</v>
      </c>
      <c r="B1015">
        <v>60</v>
      </c>
      <c r="C1015" t="str">
        <f>_xlfn.XLOOKUP(tbl_model[[#This Row],[ProductID]],tbl_product[ProductID],tbl_product[ProductName],"UNMAPPED_PRODUCT")</f>
        <v>Road-350-W Yellow, 40</v>
      </c>
      <c r="D1015" t="str">
        <f>_xlfn.XLOOKUP(tbl_model[[#This Row],[ProductID]],tbl_product[ProductID],tbl_product[ProductNumber],"UNMAPPED_PRODUCT")</f>
        <v>BK-R79Y-40</v>
      </c>
      <c r="E1015" t="str">
        <f>_xlfn.XLOOKUP(tbl_model[[#This Row],[LocationID]],tbl_location[LocationID],tbl_location[LocationName],"UNMAPPED_LOCATION")</f>
        <v>Final Assembly</v>
      </c>
      <c r="F1015">
        <v>86</v>
      </c>
      <c r="G1015" s="1" t="str">
        <f>tbl_model[[#This Row],[ProductID]] &amp; "-" &amp; tbl_model[[#This Row],[LocationID]]</f>
        <v>973-60</v>
      </c>
    </row>
    <row r="1016" spans="1:7">
      <c r="A1016">
        <v>974</v>
      </c>
      <c r="B1016">
        <v>7</v>
      </c>
      <c r="C1016" t="str">
        <f>_xlfn.XLOOKUP(tbl_model[[#This Row],[ProductID]],tbl_product[ProductID],tbl_product[ProductName],"UNMAPPED_PRODUCT")</f>
        <v>Road-350-W Yellow, 42</v>
      </c>
      <c r="D1016" t="str">
        <f>_xlfn.XLOOKUP(tbl_model[[#This Row],[ProductID]],tbl_product[ProductID],tbl_product[ProductNumber],"UNMAPPED_PRODUCT")</f>
        <v>BK-R79Y-42</v>
      </c>
      <c r="E1016" t="str">
        <f>_xlfn.XLOOKUP(tbl_model[[#This Row],[LocationID]],tbl_location[LocationID],tbl_location[LocationName],"UNMAPPED_LOCATION")</f>
        <v>Finished Goods Storage</v>
      </c>
      <c r="F1016">
        <v>67</v>
      </c>
      <c r="G1016" s="1" t="str">
        <f>tbl_model[[#This Row],[ProductID]] &amp; "-" &amp; tbl_model[[#This Row],[LocationID]]</f>
        <v>974-7</v>
      </c>
    </row>
    <row r="1017" spans="1:7">
      <c r="A1017">
        <v>974</v>
      </c>
      <c r="B1017">
        <v>60</v>
      </c>
      <c r="C1017" t="str">
        <f>_xlfn.XLOOKUP(tbl_model[[#This Row],[ProductID]],tbl_product[ProductID],tbl_product[ProductName],"UNMAPPED_PRODUCT")</f>
        <v>Road-350-W Yellow, 42</v>
      </c>
      <c r="D1017" t="str">
        <f>_xlfn.XLOOKUP(tbl_model[[#This Row],[ProductID]],tbl_product[ProductID],tbl_product[ProductNumber],"UNMAPPED_PRODUCT")</f>
        <v>BK-R79Y-42</v>
      </c>
      <c r="E1017" t="str">
        <f>_xlfn.XLOOKUP(tbl_model[[#This Row],[LocationID]],tbl_location[LocationID],tbl_location[LocationName],"UNMAPPED_LOCATION")</f>
        <v>Final Assembly</v>
      </c>
      <c r="F1017">
        <v>81</v>
      </c>
      <c r="G1017" s="1" t="str">
        <f>tbl_model[[#This Row],[ProductID]] &amp; "-" &amp; tbl_model[[#This Row],[LocationID]]</f>
        <v>974-60</v>
      </c>
    </row>
    <row r="1018" spans="1:7">
      <c r="A1018">
        <v>975</v>
      </c>
      <c r="B1018">
        <v>7</v>
      </c>
      <c r="C1018" t="str">
        <f>_xlfn.XLOOKUP(tbl_model[[#This Row],[ProductID]],tbl_product[ProductID],tbl_product[ProductName],"UNMAPPED_PRODUCT")</f>
        <v>Road-350-W Yellow, 44</v>
      </c>
      <c r="D1018" t="str">
        <f>_xlfn.XLOOKUP(tbl_model[[#This Row],[ProductID]],tbl_product[ProductID],tbl_product[ProductNumber],"UNMAPPED_PRODUCT")</f>
        <v>BK-R79Y-44</v>
      </c>
      <c r="E1018" t="str">
        <f>_xlfn.XLOOKUP(tbl_model[[#This Row],[LocationID]],tbl_location[LocationID],tbl_location[LocationName],"UNMAPPED_LOCATION")</f>
        <v>Finished Goods Storage</v>
      </c>
      <c r="F1018">
        <v>73</v>
      </c>
      <c r="G1018" s="1" t="str">
        <f>tbl_model[[#This Row],[ProductID]] &amp; "-" &amp; tbl_model[[#This Row],[LocationID]]</f>
        <v>975-7</v>
      </c>
    </row>
    <row r="1019" spans="1:7">
      <c r="A1019">
        <v>975</v>
      </c>
      <c r="B1019">
        <v>60</v>
      </c>
      <c r="C1019" t="str">
        <f>_xlfn.XLOOKUP(tbl_model[[#This Row],[ProductID]],tbl_product[ProductID],tbl_product[ProductName],"UNMAPPED_PRODUCT")</f>
        <v>Road-350-W Yellow, 44</v>
      </c>
      <c r="D1019" t="str">
        <f>_xlfn.XLOOKUP(tbl_model[[#This Row],[ProductID]],tbl_product[ProductID],tbl_product[ProductNumber],"UNMAPPED_PRODUCT")</f>
        <v>BK-R79Y-44</v>
      </c>
      <c r="E1019" t="str">
        <f>_xlfn.XLOOKUP(tbl_model[[#This Row],[LocationID]],tbl_location[LocationID],tbl_location[LocationName],"UNMAPPED_LOCATION")</f>
        <v>Final Assembly</v>
      </c>
      <c r="F1019">
        <v>60</v>
      </c>
      <c r="G1019" s="1" t="str">
        <f>tbl_model[[#This Row],[ProductID]] &amp; "-" &amp; tbl_model[[#This Row],[LocationID]]</f>
        <v>975-60</v>
      </c>
    </row>
    <row r="1020" spans="1:7">
      <c r="A1020">
        <v>976</v>
      </c>
      <c r="B1020">
        <v>7</v>
      </c>
      <c r="C1020" t="str">
        <f>_xlfn.XLOOKUP(tbl_model[[#This Row],[ProductID]],tbl_product[ProductID],tbl_product[ProductName],"UNMAPPED_PRODUCT")</f>
        <v>Road-350-W Yellow, 48</v>
      </c>
      <c r="D1020" t="str">
        <f>_xlfn.XLOOKUP(tbl_model[[#This Row],[ProductID]],tbl_product[ProductID],tbl_product[ProductNumber],"UNMAPPED_PRODUCT")</f>
        <v>BK-R79Y-48</v>
      </c>
      <c r="E1020" t="str">
        <f>_xlfn.XLOOKUP(tbl_model[[#This Row],[LocationID]],tbl_location[LocationID],tbl_location[LocationName],"UNMAPPED_LOCATION")</f>
        <v>Finished Goods Storage</v>
      </c>
      <c r="F1020">
        <v>104</v>
      </c>
      <c r="G1020" s="1" t="str">
        <f>tbl_model[[#This Row],[ProductID]] &amp; "-" &amp; tbl_model[[#This Row],[LocationID]]</f>
        <v>976-7</v>
      </c>
    </row>
    <row r="1021" spans="1:7">
      <c r="A1021">
        <v>976</v>
      </c>
      <c r="B1021">
        <v>60</v>
      </c>
      <c r="C1021" t="str">
        <f>_xlfn.XLOOKUP(tbl_model[[#This Row],[ProductID]],tbl_product[ProductID],tbl_product[ProductName],"UNMAPPED_PRODUCT")</f>
        <v>Road-350-W Yellow, 48</v>
      </c>
      <c r="D1021" t="str">
        <f>_xlfn.XLOOKUP(tbl_model[[#This Row],[ProductID]],tbl_product[ProductID],tbl_product[ProductNumber],"UNMAPPED_PRODUCT")</f>
        <v>BK-R79Y-48</v>
      </c>
      <c r="E1021" t="str">
        <f>_xlfn.XLOOKUP(tbl_model[[#This Row],[LocationID]],tbl_location[LocationID],tbl_location[LocationName],"UNMAPPED_LOCATION")</f>
        <v>Final Assembly</v>
      </c>
      <c r="F1021">
        <v>123</v>
      </c>
      <c r="G1021" s="1" t="str">
        <f>tbl_model[[#This Row],[ProductID]] &amp; "-" &amp; tbl_model[[#This Row],[LocationID]]</f>
        <v>976-60</v>
      </c>
    </row>
    <row r="1022" spans="1:7">
      <c r="A1022">
        <v>977</v>
      </c>
      <c r="B1022">
        <v>7</v>
      </c>
      <c r="C1022" t="str">
        <f>_xlfn.XLOOKUP(tbl_model[[#This Row],[ProductID]],tbl_product[ProductID],tbl_product[ProductName],"UNMAPPED_PRODUCT")</f>
        <v>Road-750 Black, 58</v>
      </c>
      <c r="D1022" t="str">
        <f>_xlfn.XLOOKUP(tbl_model[[#This Row],[ProductID]],tbl_product[ProductID],tbl_product[ProductNumber],"UNMAPPED_PRODUCT")</f>
        <v>BK-R19B-58</v>
      </c>
      <c r="E1022" t="str">
        <f>_xlfn.XLOOKUP(tbl_model[[#This Row],[LocationID]],tbl_location[LocationID],tbl_location[LocationName],"UNMAPPED_LOCATION")</f>
        <v>Finished Goods Storage</v>
      </c>
      <c r="F1022">
        <v>88</v>
      </c>
      <c r="G1022" s="1" t="str">
        <f>tbl_model[[#This Row],[ProductID]] &amp; "-" &amp; tbl_model[[#This Row],[LocationID]]</f>
        <v>977-7</v>
      </c>
    </row>
    <row r="1023" spans="1:7">
      <c r="A1023">
        <v>977</v>
      </c>
      <c r="B1023">
        <v>60</v>
      </c>
      <c r="C1023" t="str">
        <f>_xlfn.XLOOKUP(tbl_model[[#This Row],[ProductID]],tbl_product[ProductID],tbl_product[ProductName],"UNMAPPED_PRODUCT")</f>
        <v>Road-750 Black, 58</v>
      </c>
      <c r="D1023" t="str">
        <f>_xlfn.XLOOKUP(tbl_model[[#This Row],[ProductID]],tbl_product[ProductID],tbl_product[ProductNumber],"UNMAPPED_PRODUCT")</f>
        <v>BK-R19B-58</v>
      </c>
      <c r="E1023" t="str">
        <f>_xlfn.XLOOKUP(tbl_model[[#This Row],[LocationID]],tbl_location[LocationID],tbl_location[LocationName],"UNMAPPED_LOCATION")</f>
        <v>Final Assembly</v>
      </c>
      <c r="F1023">
        <v>65</v>
      </c>
      <c r="G1023" s="1" t="str">
        <f>tbl_model[[#This Row],[ProductID]] &amp; "-" &amp; tbl_model[[#This Row],[LocationID]]</f>
        <v>977-60</v>
      </c>
    </row>
    <row r="1024" spans="1:7">
      <c r="A1024">
        <v>978</v>
      </c>
      <c r="B1024">
        <v>7</v>
      </c>
      <c r="C1024" t="str">
        <f>_xlfn.XLOOKUP(tbl_model[[#This Row],[ProductID]],tbl_product[ProductID],tbl_product[ProductName],"UNMAPPED_PRODUCT")</f>
        <v>Touring-3000 Blue, 44</v>
      </c>
      <c r="D1024" t="str">
        <f>_xlfn.XLOOKUP(tbl_model[[#This Row],[ProductID]],tbl_product[ProductID],tbl_product[ProductNumber],"UNMAPPED_PRODUCT")</f>
        <v>BK-T18U-44</v>
      </c>
      <c r="E1024" t="str">
        <f>_xlfn.XLOOKUP(tbl_model[[#This Row],[LocationID]],tbl_location[LocationID],tbl_location[LocationName],"UNMAPPED_LOCATION")</f>
        <v>Finished Goods Storage</v>
      </c>
      <c r="F1024">
        <v>91</v>
      </c>
      <c r="G1024" s="1" t="str">
        <f>tbl_model[[#This Row],[ProductID]] &amp; "-" &amp; tbl_model[[#This Row],[LocationID]]</f>
        <v>978-7</v>
      </c>
    </row>
    <row r="1025" spans="1:7">
      <c r="A1025">
        <v>978</v>
      </c>
      <c r="B1025">
        <v>60</v>
      </c>
      <c r="C1025" t="str">
        <f>_xlfn.XLOOKUP(tbl_model[[#This Row],[ProductID]],tbl_product[ProductID],tbl_product[ProductName],"UNMAPPED_PRODUCT")</f>
        <v>Touring-3000 Blue, 44</v>
      </c>
      <c r="D1025" t="str">
        <f>_xlfn.XLOOKUP(tbl_model[[#This Row],[ProductID]],tbl_product[ProductID],tbl_product[ProductNumber],"UNMAPPED_PRODUCT")</f>
        <v>BK-T18U-44</v>
      </c>
      <c r="E1025" t="str">
        <f>_xlfn.XLOOKUP(tbl_model[[#This Row],[LocationID]],tbl_location[LocationID],tbl_location[LocationName],"UNMAPPED_LOCATION")</f>
        <v>Final Assembly</v>
      </c>
      <c r="F1025">
        <v>72</v>
      </c>
      <c r="G1025" s="1" t="str">
        <f>tbl_model[[#This Row],[ProductID]] &amp; "-" &amp; tbl_model[[#This Row],[LocationID]]</f>
        <v>978-60</v>
      </c>
    </row>
    <row r="1026" spans="1:7">
      <c r="A1026">
        <v>979</v>
      </c>
      <c r="B1026">
        <v>7</v>
      </c>
      <c r="C1026" t="str">
        <f>_xlfn.XLOOKUP(tbl_model[[#This Row],[ProductID]],tbl_product[ProductID],tbl_product[ProductName],"UNMAPPED_PRODUCT")</f>
        <v>Touring-3000 Blue, 50</v>
      </c>
      <c r="D1026" t="str">
        <f>_xlfn.XLOOKUP(tbl_model[[#This Row],[ProductID]],tbl_product[ProductID],tbl_product[ProductNumber],"UNMAPPED_PRODUCT")</f>
        <v>BK-T18U-50</v>
      </c>
      <c r="E1026" t="str">
        <f>_xlfn.XLOOKUP(tbl_model[[#This Row],[LocationID]],tbl_location[LocationID],tbl_location[LocationName],"UNMAPPED_LOCATION")</f>
        <v>Finished Goods Storage</v>
      </c>
      <c r="F1026">
        <v>86</v>
      </c>
      <c r="G1026" s="1" t="str">
        <f>tbl_model[[#This Row],[ProductID]] &amp; "-" &amp; tbl_model[[#This Row],[LocationID]]</f>
        <v>979-7</v>
      </c>
    </row>
    <row r="1027" spans="1:7">
      <c r="A1027">
        <v>979</v>
      </c>
      <c r="B1027">
        <v>60</v>
      </c>
      <c r="C1027" t="str">
        <f>_xlfn.XLOOKUP(tbl_model[[#This Row],[ProductID]],tbl_product[ProductID],tbl_product[ProductName],"UNMAPPED_PRODUCT")</f>
        <v>Touring-3000 Blue, 50</v>
      </c>
      <c r="D1027" t="str">
        <f>_xlfn.XLOOKUP(tbl_model[[#This Row],[ProductID]],tbl_product[ProductID],tbl_product[ProductNumber],"UNMAPPED_PRODUCT")</f>
        <v>BK-T18U-50</v>
      </c>
      <c r="E1027" t="str">
        <f>_xlfn.XLOOKUP(tbl_model[[#This Row],[LocationID]],tbl_location[LocationID],tbl_location[LocationName],"UNMAPPED_LOCATION")</f>
        <v>Final Assembly</v>
      </c>
      <c r="F1027">
        <v>78</v>
      </c>
      <c r="G1027" s="1" t="str">
        <f>tbl_model[[#This Row],[ProductID]] &amp; "-" &amp; tbl_model[[#This Row],[LocationID]]</f>
        <v>979-60</v>
      </c>
    </row>
    <row r="1028" spans="1:7">
      <c r="A1028">
        <v>980</v>
      </c>
      <c r="B1028">
        <v>7</v>
      </c>
      <c r="C1028" t="str">
        <f>_xlfn.XLOOKUP(tbl_model[[#This Row],[ProductID]],tbl_product[ProductID],tbl_product[ProductName],"UNMAPPED_PRODUCT")</f>
        <v>Mountain-400-W Silver, 38</v>
      </c>
      <c r="D1028" t="str">
        <f>_xlfn.XLOOKUP(tbl_model[[#This Row],[ProductID]],tbl_product[ProductID],tbl_product[ProductNumber],"UNMAPPED_PRODUCT")</f>
        <v>BK-M38S-38</v>
      </c>
      <c r="E1028" t="str">
        <f>_xlfn.XLOOKUP(tbl_model[[#This Row],[LocationID]],tbl_location[LocationID],tbl_location[LocationName],"UNMAPPED_LOCATION")</f>
        <v>Finished Goods Storage</v>
      </c>
      <c r="F1028">
        <v>51</v>
      </c>
      <c r="G1028" s="1" t="str">
        <f>tbl_model[[#This Row],[ProductID]] &amp; "-" &amp; tbl_model[[#This Row],[LocationID]]</f>
        <v>980-7</v>
      </c>
    </row>
    <row r="1029" spans="1:7">
      <c r="A1029">
        <v>980</v>
      </c>
      <c r="B1029">
        <v>60</v>
      </c>
      <c r="C1029" t="str">
        <f>_xlfn.XLOOKUP(tbl_model[[#This Row],[ProductID]],tbl_product[ProductID],tbl_product[ProductName],"UNMAPPED_PRODUCT")</f>
        <v>Mountain-400-W Silver, 38</v>
      </c>
      <c r="D1029" t="str">
        <f>_xlfn.XLOOKUP(tbl_model[[#This Row],[ProductID]],tbl_product[ProductID],tbl_product[ProductNumber],"UNMAPPED_PRODUCT")</f>
        <v>BK-M38S-38</v>
      </c>
      <c r="E1029" t="str">
        <f>_xlfn.XLOOKUP(tbl_model[[#This Row],[LocationID]],tbl_location[LocationID],tbl_location[LocationName],"UNMAPPED_LOCATION")</f>
        <v>Final Assembly</v>
      </c>
      <c r="F1029">
        <v>99</v>
      </c>
      <c r="G1029" s="1" t="str">
        <f>tbl_model[[#This Row],[ProductID]] &amp; "-" &amp; tbl_model[[#This Row],[LocationID]]</f>
        <v>980-60</v>
      </c>
    </row>
    <row r="1030" spans="1:7">
      <c r="A1030">
        <v>981</v>
      </c>
      <c r="B1030">
        <v>7</v>
      </c>
      <c r="C1030" t="str">
        <f>_xlfn.XLOOKUP(tbl_model[[#This Row],[ProductID]],tbl_product[ProductID],tbl_product[ProductName],"UNMAPPED_PRODUCT")</f>
        <v>Mountain-400-W Silver, 40</v>
      </c>
      <c r="D1030" t="str">
        <f>_xlfn.XLOOKUP(tbl_model[[#This Row],[ProductID]],tbl_product[ProductID],tbl_product[ProductNumber],"UNMAPPED_PRODUCT")</f>
        <v>BK-M38S-40</v>
      </c>
      <c r="E1030" t="str">
        <f>_xlfn.XLOOKUP(tbl_model[[#This Row],[LocationID]],tbl_location[LocationID],tbl_location[LocationName],"UNMAPPED_LOCATION")</f>
        <v>Finished Goods Storage</v>
      </c>
      <c r="F1030">
        <v>86</v>
      </c>
      <c r="G1030" s="1" t="str">
        <f>tbl_model[[#This Row],[ProductID]] &amp; "-" &amp; tbl_model[[#This Row],[LocationID]]</f>
        <v>981-7</v>
      </c>
    </row>
    <row r="1031" spans="1:7">
      <c r="A1031">
        <v>981</v>
      </c>
      <c r="B1031">
        <v>60</v>
      </c>
      <c r="C1031" t="str">
        <f>_xlfn.XLOOKUP(tbl_model[[#This Row],[ProductID]],tbl_product[ProductID],tbl_product[ProductName],"UNMAPPED_PRODUCT")</f>
        <v>Mountain-400-W Silver, 40</v>
      </c>
      <c r="D1031" t="str">
        <f>_xlfn.XLOOKUP(tbl_model[[#This Row],[ProductID]],tbl_product[ProductID],tbl_product[ProductNumber],"UNMAPPED_PRODUCT")</f>
        <v>BK-M38S-40</v>
      </c>
      <c r="E1031" t="str">
        <f>_xlfn.XLOOKUP(tbl_model[[#This Row],[LocationID]],tbl_location[LocationID],tbl_location[LocationName],"UNMAPPED_LOCATION")</f>
        <v>Final Assembly</v>
      </c>
      <c r="F1031">
        <v>67</v>
      </c>
      <c r="G1031" s="1" t="str">
        <f>tbl_model[[#This Row],[ProductID]] &amp; "-" &amp; tbl_model[[#This Row],[LocationID]]</f>
        <v>981-60</v>
      </c>
    </row>
    <row r="1032" spans="1:7">
      <c r="A1032">
        <v>982</v>
      </c>
      <c r="B1032">
        <v>7</v>
      </c>
      <c r="C1032" t="str">
        <f>_xlfn.XLOOKUP(tbl_model[[#This Row],[ProductID]],tbl_product[ProductID],tbl_product[ProductName],"UNMAPPED_PRODUCT")</f>
        <v>Mountain-400-W Silver, 42</v>
      </c>
      <c r="D1032" t="str">
        <f>_xlfn.XLOOKUP(tbl_model[[#This Row],[ProductID]],tbl_product[ProductID],tbl_product[ProductNumber],"UNMAPPED_PRODUCT")</f>
        <v>BK-M38S-42</v>
      </c>
      <c r="E1032" t="str">
        <f>_xlfn.XLOOKUP(tbl_model[[#This Row],[LocationID]],tbl_location[LocationID],tbl_location[LocationName],"UNMAPPED_LOCATION")</f>
        <v>Finished Goods Storage</v>
      </c>
      <c r="F1032">
        <v>81</v>
      </c>
      <c r="G1032" s="1" t="str">
        <f>tbl_model[[#This Row],[ProductID]] &amp; "-" &amp; tbl_model[[#This Row],[LocationID]]</f>
        <v>982-7</v>
      </c>
    </row>
    <row r="1033" spans="1:7">
      <c r="A1033">
        <v>982</v>
      </c>
      <c r="B1033">
        <v>60</v>
      </c>
      <c r="C1033" t="str">
        <f>_xlfn.XLOOKUP(tbl_model[[#This Row],[ProductID]],tbl_product[ProductID],tbl_product[ProductName],"UNMAPPED_PRODUCT")</f>
        <v>Mountain-400-W Silver, 42</v>
      </c>
      <c r="D1033" t="str">
        <f>_xlfn.XLOOKUP(tbl_model[[#This Row],[ProductID]],tbl_product[ProductID],tbl_product[ProductNumber],"UNMAPPED_PRODUCT")</f>
        <v>BK-M38S-42</v>
      </c>
      <c r="E1033" t="str">
        <f>_xlfn.XLOOKUP(tbl_model[[#This Row],[LocationID]],tbl_location[LocationID],tbl_location[LocationName],"UNMAPPED_LOCATION")</f>
        <v>Final Assembly</v>
      </c>
      <c r="F1033">
        <v>73</v>
      </c>
      <c r="G1033" s="1" t="str">
        <f>tbl_model[[#This Row],[ProductID]] &amp; "-" &amp; tbl_model[[#This Row],[LocationID]]</f>
        <v>982-60</v>
      </c>
    </row>
    <row r="1034" spans="1:7">
      <c r="A1034">
        <v>983</v>
      </c>
      <c r="B1034">
        <v>7</v>
      </c>
      <c r="C1034" t="str">
        <f>_xlfn.XLOOKUP(tbl_model[[#This Row],[ProductID]],tbl_product[ProductID],tbl_product[ProductName],"UNMAPPED_PRODUCT")</f>
        <v>Mountain-400-W Silver, 46</v>
      </c>
      <c r="D1034" t="str">
        <f>_xlfn.XLOOKUP(tbl_model[[#This Row],[ProductID]],tbl_product[ProductID],tbl_product[ProductNumber],"UNMAPPED_PRODUCT")</f>
        <v>BK-M38S-46</v>
      </c>
      <c r="E1034" t="str">
        <f>_xlfn.XLOOKUP(tbl_model[[#This Row],[LocationID]],tbl_location[LocationID],tbl_location[LocationName],"UNMAPPED_LOCATION")</f>
        <v>Finished Goods Storage</v>
      </c>
      <c r="F1034">
        <v>60</v>
      </c>
      <c r="G1034" s="1" t="str">
        <f>tbl_model[[#This Row],[ProductID]] &amp; "-" &amp; tbl_model[[#This Row],[LocationID]]</f>
        <v>983-7</v>
      </c>
    </row>
    <row r="1035" spans="1:7">
      <c r="A1035">
        <v>983</v>
      </c>
      <c r="B1035">
        <v>60</v>
      </c>
      <c r="C1035" t="str">
        <f>_xlfn.XLOOKUP(tbl_model[[#This Row],[ProductID]],tbl_product[ProductID],tbl_product[ProductName],"UNMAPPED_PRODUCT")</f>
        <v>Mountain-400-W Silver, 46</v>
      </c>
      <c r="D1035" t="str">
        <f>_xlfn.XLOOKUP(tbl_model[[#This Row],[ProductID]],tbl_product[ProductID],tbl_product[ProductNumber],"UNMAPPED_PRODUCT")</f>
        <v>BK-M38S-46</v>
      </c>
      <c r="E1035" t="str">
        <f>_xlfn.XLOOKUP(tbl_model[[#This Row],[LocationID]],tbl_location[LocationID],tbl_location[LocationName],"UNMAPPED_LOCATION")</f>
        <v>Final Assembly</v>
      </c>
      <c r="F1035">
        <v>104</v>
      </c>
      <c r="G1035" s="1" t="str">
        <f>tbl_model[[#This Row],[ProductID]] &amp; "-" &amp; tbl_model[[#This Row],[LocationID]]</f>
        <v>983-60</v>
      </c>
    </row>
    <row r="1036" spans="1:7">
      <c r="A1036">
        <v>984</v>
      </c>
      <c r="B1036">
        <v>7</v>
      </c>
      <c r="C1036" t="str">
        <f>_xlfn.XLOOKUP(tbl_model[[#This Row],[ProductID]],tbl_product[ProductID],tbl_product[ProductName],"UNMAPPED_PRODUCT")</f>
        <v>Mountain-500 Silver, 40</v>
      </c>
      <c r="D1036" t="str">
        <f>_xlfn.XLOOKUP(tbl_model[[#This Row],[ProductID]],tbl_product[ProductID],tbl_product[ProductNumber],"UNMAPPED_PRODUCT")</f>
        <v>BK-M18S-40</v>
      </c>
      <c r="E1036" t="str">
        <f>_xlfn.XLOOKUP(tbl_model[[#This Row],[LocationID]],tbl_location[LocationID],tbl_location[LocationName],"UNMAPPED_LOCATION")</f>
        <v>Finished Goods Storage</v>
      </c>
      <c r="F1036">
        <v>81</v>
      </c>
      <c r="G1036" s="1" t="str">
        <f>tbl_model[[#This Row],[ProductID]] &amp; "-" &amp; tbl_model[[#This Row],[LocationID]]</f>
        <v>984-7</v>
      </c>
    </row>
    <row r="1037" spans="1:7">
      <c r="A1037">
        <v>984</v>
      </c>
      <c r="B1037">
        <v>60</v>
      </c>
      <c r="C1037" t="str">
        <f>_xlfn.XLOOKUP(tbl_model[[#This Row],[ProductID]],tbl_product[ProductID],tbl_product[ProductName],"UNMAPPED_PRODUCT")</f>
        <v>Mountain-500 Silver, 40</v>
      </c>
      <c r="D1037" t="str">
        <f>_xlfn.XLOOKUP(tbl_model[[#This Row],[ProductID]],tbl_product[ProductID],tbl_product[ProductNumber],"UNMAPPED_PRODUCT")</f>
        <v>BK-M18S-40</v>
      </c>
      <c r="E1037" t="str">
        <f>_xlfn.XLOOKUP(tbl_model[[#This Row],[LocationID]],tbl_location[LocationID],tbl_location[LocationName],"UNMAPPED_LOCATION")</f>
        <v>Final Assembly</v>
      </c>
      <c r="F1037">
        <v>73</v>
      </c>
      <c r="G1037" s="1" t="str">
        <f>tbl_model[[#This Row],[ProductID]] &amp; "-" &amp; tbl_model[[#This Row],[LocationID]]</f>
        <v>984-60</v>
      </c>
    </row>
    <row r="1038" spans="1:7">
      <c r="A1038">
        <v>985</v>
      </c>
      <c r="B1038">
        <v>7</v>
      </c>
      <c r="C1038" t="str">
        <f>_xlfn.XLOOKUP(tbl_model[[#This Row],[ProductID]],tbl_product[ProductID],tbl_product[ProductName],"UNMAPPED_PRODUCT")</f>
        <v>Mountain-500 Silver, 42</v>
      </c>
      <c r="D1038" t="str">
        <f>_xlfn.XLOOKUP(tbl_model[[#This Row],[ProductID]],tbl_product[ProductID],tbl_product[ProductNumber],"UNMAPPED_PRODUCT")</f>
        <v>BK-M18S-42</v>
      </c>
      <c r="E1038" t="str">
        <f>_xlfn.XLOOKUP(tbl_model[[#This Row],[LocationID]],tbl_location[LocationID],tbl_location[LocationName],"UNMAPPED_LOCATION")</f>
        <v>Finished Goods Storage</v>
      </c>
      <c r="F1038">
        <v>60</v>
      </c>
      <c r="G1038" s="1" t="str">
        <f>tbl_model[[#This Row],[ProductID]] &amp; "-" &amp; tbl_model[[#This Row],[LocationID]]</f>
        <v>985-7</v>
      </c>
    </row>
    <row r="1039" spans="1:7">
      <c r="A1039">
        <v>985</v>
      </c>
      <c r="B1039">
        <v>60</v>
      </c>
      <c r="C1039" t="str">
        <f>_xlfn.XLOOKUP(tbl_model[[#This Row],[ProductID]],tbl_product[ProductID],tbl_product[ProductName],"UNMAPPED_PRODUCT")</f>
        <v>Mountain-500 Silver, 42</v>
      </c>
      <c r="D1039" t="str">
        <f>_xlfn.XLOOKUP(tbl_model[[#This Row],[ProductID]],tbl_product[ProductID],tbl_product[ProductNumber],"UNMAPPED_PRODUCT")</f>
        <v>BK-M18S-42</v>
      </c>
      <c r="E1039" t="str">
        <f>_xlfn.XLOOKUP(tbl_model[[#This Row],[LocationID]],tbl_location[LocationID],tbl_location[LocationName],"UNMAPPED_LOCATION")</f>
        <v>Final Assembly</v>
      </c>
      <c r="F1039">
        <v>104</v>
      </c>
      <c r="G1039" s="1" t="str">
        <f>tbl_model[[#This Row],[ProductID]] &amp; "-" &amp; tbl_model[[#This Row],[LocationID]]</f>
        <v>985-60</v>
      </c>
    </row>
    <row r="1040" spans="1:7">
      <c r="A1040">
        <v>986</v>
      </c>
      <c r="B1040">
        <v>7</v>
      </c>
      <c r="C1040" t="str">
        <f>_xlfn.XLOOKUP(tbl_model[[#This Row],[ProductID]],tbl_product[ProductID],tbl_product[ProductName],"UNMAPPED_PRODUCT")</f>
        <v>Mountain-500 Silver, 44</v>
      </c>
      <c r="D1040" t="str">
        <f>_xlfn.XLOOKUP(tbl_model[[#This Row],[ProductID]],tbl_product[ProductID],tbl_product[ProductNumber],"UNMAPPED_PRODUCT")</f>
        <v>BK-M18S-44</v>
      </c>
      <c r="E1040" t="str">
        <f>_xlfn.XLOOKUP(tbl_model[[#This Row],[LocationID]],tbl_location[LocationID],tbl_location[LocationName],"UNMAPPED_LOCATION")</f>
        <v>Finished Goods Storage</v>
      </c>
      <c r="F1040">
        <v>123</v>
      </c>
      <c r="G1040" s="1" t="str">
        <f>tbl_model[[#This Row],[ProductID]] &amp; "-" &amp; tbl_model[[#This Row],[LocationID]]</f>
        <v>986-7</v>
      </c>
    </row>
    <row r="1041" spans="1:7">
      <c r="A1041">
        <v>986</v>
      </c>
      <c r="B1041">
        <v>60</v>
      </c>
      <c r="C1041" t="str">
        <f>_xlfn.XLOOKUP(tbl_model[[#This Row],[ProductID]],tbl_product[ProductID],tbl_product[ProductName],"UNMAPPED_PRODUCT")</f>
        <v>Mountain-500 Silver, 44</v>
      </c>
      <c r="D1041" t="str">
        <f>_xlfn.XLOOKUP(tbl_model[[#This Row],[ProductID]],tbl_product[ProductID],tbl_product[ProductNumber],"UNMAPPED_PRODUCT")</f>
        <v>BK-M18S-44</v>
      </c>
      <c r="E1041" t="str">
        <f>_xlfn.XLOOKUP(tbl_model[[#This Row],[LocationID]],tbl_location[LocationID],tbl_location[LocationName],"UNMAPPED_LOCATION")</f>
        <v>Final Assembly</v>
      </c>
      <c r="F1041">
        <v>30</v>
      </c>
      <c r="G1041" s="1" t="str">
        <f>tbl_model[[#This Row],[ProductID]] &amp; "-" &amp; tbl_model[[#This Row],[LocationID]]</f>
        <v>986-60</v>
      </c>
    </row>
    <row r="1042" spans="1:7">
      <c r="A1042">
        <v>987</v>
      </c>
      <c r="B1042">
        <v>7</v>
      </c>
      <c r="C1042" t="str">
        <f>_xlfn.XLOOKUP(tbl_model[[#This Row],[ProductID]],tbl_product[ProductID],tbl_product[ProductName],"UNMAPPED_PRODUCT")</f>
        <v>Mountain-500 Silver, 48</v>
      </c>
      <c r="D1042" t="str">
        <f>_xlfn.XLOOKUP(tbl_model[[#This Row],[ProductID]],tbl_product[ProductID],tbl_product[ProductNumber],"UNMAPPED_PRODUCT")</f>
        <v>BK-M18S-48</v>
      </c>
      <c r="E1042" t="str">
        <f>_xlfn.XLOOKUP(tbl_model[[#This Row],[LocationID]],tbl_location[LocationID],tbl_location[LocationName],"UNMAPPED_LOCATION")</f>
        <v>Finished Goods Storage</v>
      </c>
      <c r="F1042">
        <v>99</v>
      </c>
      <c r="G1042" s="1" t="str">
        <f>tbl_model[[#This Row],[ProductID]] &amp; "-" &amp; tbl_model[[#This Row],[LocationID]]</f>
        <v>987-7</v>
      </c>
    </row>
    <row r="1043" spans="1:7">
      <c r="A1043">
        <v>987</v>
      </c>
      <c r="B1043">
        <v>60</v>
      </c>
      <c r="C1043" t="str">
        <f>_xlfn.XLOOKUP(tbl_model[[#This Row],[ProductID]],tbl_product[ProductID],tbl_product[ProductName],"UNMAPPED_PRODUCT")</f>
        <v>Mountain-500 Silver, 48</v>
      </c>
      <c r="D1043" t="str">
        <f>_xlfn.XLOOKUP(tbl_model[[#This Row],[ProductID]],tbl_product[ProductID],tbl_product[ProductNumber],"UNMAPPED_PRODUCT")</f>
        <v>BK-M18S-48</v>
      </c>
      <c r="E1043" t="str">
        <f>_xlfn.XLOOKUP(tbl_model[[#This Row],[LocationID]],tbl_location[LocationID],tbl_location[LocationName],"UNMAPPED_LOCATION")</f>
        <v>Final Assembly</v>
      </c>
      <c r="F1043">
        <v>56</v>
      </c>
      <c r="G1043" s="1" t="str">
        <f>tbl_model[[#This Row],[ProductID]] &amp; "-" &amp; tbl_model[[#This Row],[LocationID]]</f>
        <v>987-60</v>
      </c>
    </row>
    <row r="1044" spans="1:7">
      <c r="A1044">
        <v>988</v>
      </c>
      <c r="B1044">
        <v>7</v>
      </c>
      <c r="C1044" t="str">
        <f>_xlfn.XLOOKUP(tbl_model[[#This Row],[ProductID]],tbl_product[ProductID],tbl_product[ProductName],"UNMAPPED_PRODUCT")</f>
        <v>Mountain-500 Silver, 52</v>
      </c>
      <c r="D1044" t="str">
        <f>_xlfn.XLOOKUP(tbl_model[[#This Row],[ProductID]],tbl_product[ProductID],tbl_product[ProductNumber],"UNMAPPED_PRODUCT")</f>
        <v>BK-M18S-52</v>
      </c>
      <c r="E1044" t="str">
        <f>_xlfn.XLOOKUP(tbl_model[[#This Row],[LocationID]],tbl_location[LocationID],tbl_location[LocationName],"UNMAPPED_LOCATION")</f>
        <v>Finished Goods Storage</v>
      </c>
      <c r="F1044">
        <v>78</v>
      </c>
      <c r="G1044" s="1" t="str">
        <f>tbl_model[[#This Row],[ProductID]] &amp; "-" &amp; tbl_model[[#This Row],[LocationID]]</f>
        <v>988-7</v>
      </c>
    </row>
    <row r="1045" spans="1:7">
      <c r="A1045">
        <v>988</v>
      </c>
      <c r="B1045">
        <v>60</v>
      </c>
      <c r="C1045" t="str">
        <f>_xlfn.XLOOKUP(tbl_model[[#This Row],[ProductID]],tbl_product[ProductID],tbl_product[ProductName],"UNMAPPED_PRODUCT")</f>
        <v>Mountain-500 Silver, 52</v>
      </c>
      <c r="D1045" t="str">
        <f>_xlfn.XLOOKUP(tbl_model[[#This Row],[ProductID]],tbl_product[ProductID],tbl_product[ProductNumber],"UNMAPPED_PRODUCT")</f>
        <v>BK-M18S-52</v>
      </c>
      <c r="E1045" t="str">
        <f>_xlfn.XLOOKUP(tbl_model[[#This Row],[LocationID]],tbl_location[LocationID],tbl_location[LocationName],"UNMAPPED_LOCATION")</f>
        <v>Final Assembly</v>
      </c>
      <c r="F1045">
        <v>116</v>
      </c>
      <c r="G1045" s="1" t="str">
        <f>tbl_model[[#This Row],[ProductID]] &amp; "-" &amp; tbl_model[[#This Row],[LocationID]]</f>
        <v>988-60</v>
      </c>
    </row>
    <row r="1046" spans="1:7">
      <c r="A1046">
        <v>989</v>
      </c>
      <c r="B1046">
        <v>7</v>
      </c>
      <c r="C1046" t="str">
        <f>_xlfn.XLOOKUP(tbl_model[[#This Row],[ProductID]],tbl_product[ProductID],tbl_product[ProductName],"UNMAPPED_PRODUCT")</f>
        <v>Mountain-500 Black, 40</v>
      </c>
      <c r="D1046" t="str">
        <f>_xlfn.XLOOKUP(tbl_model[[#This Row],[ProductID]],tbl_product[ProductID],tbl_product[ProductNumber],"UNMAPPED_PRODUCT")</f>
        <v>BK-M18B-40</v>
      </c>
      <c r="E1046" t="str">
        <f>_xlfn.XLOOKUP(tbl_model[[#This Row],[LocationID]],tbl_location[LocationID],tbl_location[LocationName],"UNMAPPED_LOCATION")</f>
        <v>Finished Goods Storage</v>
      </c>
      <c r="F1046">
        <v>51</v>
      </c>
      <c r="G1046" s="1" t="str">
        <f>tbl_model[[#This Row],[ProductID]] &amp; "-" &amp; tbl_model[[#This Row],[LocationID]]</f>
        <v>989-7</v>
      </c>
    </row>
    <row r="1047" spans="1:7">
      <c r="A1047">
        <v>989</v>
      </c>
      <c r="B1047">
        <v>60</v>
      </c>
      <c r="C1047" t="str">
        <f>_xlfn.XLOOKUP(tbl_model[[#This Row],[ProductID]],tbl_product[ProductID],tbl_product[ProductName],"UNMAPPED_PRODUCT")</f>
        <v>Mountain-500 Black, 40</v>
      </c>
      <c r="D1047" t="str">
        <f>_xlfn.XLOOKUP(tbl_model[[#This Row],[ProductID]],tbl_product[ProductID],tbl_product[ProductNumber],"UNMAPPED_PRODUCT")</f>
        <v>BK-M18B-40</v>
      </c>
      <c r="E1047" t="str">
        <f>_xlfn.XLOOKUP(tbl_model[[#This Row],[LocationID]],tbl_location[LocationID],tbl_location[LocationName],"UNMAPPED_LOCATION")</f>
        <v>Final Assembly</v>
      </c>
      <c r="F1047">
        <v>99</v>
      </c>
      <c r="G1047" s="1" t="str">
        <f>tbl_model[[#This Row],[ProductID]] &amp; "-" &amp; tbl_model[[#This Row],[LocationID]]</f>
        <v>989-60</v>
      </c>
    </row>
    <row r="1048" spans="1:7">
      <c r="A1048">
        <v>990</v>
      </c>
      <c r="B1048">
        <v>7</v>
      </c>
      <c r="C1048" t="str">
        <f>_xlfn.XLOOKUP(tbl_model[[#This Row],[ProductID]],tbl_product[ProductID],tbl_product[ProductName],"UNMAPPED_PRODUCT")</f>
        <v>Mountain-500 Black, 42</v>
      </c>
      <c r="D1048" t="str">
        <f>_xlfn.XLOOKUP(tbl_model[[#This Row],[ProductID]],tbl_product[ProductID],tbl_product[ProductNumber],"UNMAPPED_PRODUCT")</f>
        <v>BK-M18B-42</v>
      </c>
      <c r="E1048" t="str">
        <f>_xlfn.XLOOKUP(tbl_model[[#This Row],[LocationID]],tbl_location[LocationID],tbl_location[LocationName],"UNMAPPED_LOCATION")</f>
        <v>Finished Goods Storage</v>
      </c>
      <c r="F1048">
        <v>86</v>
      </c>
      <c r="G1048" s="1" t="str">
        <f>tbl_model[[#This Row],[ProductID]] &amp; "-" &amp; tbl_model[[#This Row],[LocationID]]</f>
        <v>990-7</v>
      </c>
    </row>
    <row r="1049" spans="1:7">
      <c r="A1049">
        <v>990</v>
      </c>
      <c r="B1049">
        <v>60</v>
      </c>
      <c r="C1049" t="str">
        <f>_xlfn.XLOOKUP(tbl_model[[#This Row],[ProductID]],tbl_product[ProductID],tbl_product[ProductName],"UNMAPPED_PRODUCT")</f>
        <v>Mountain-500 Black, 42</v>
      </c>
      <c r="D1049" t="str">
        <f>_xlfn.XLOOKUP(tbl_model[[#This Row],[ProductID]],tbl_product[ProductID],tbl_product[ProductNumber],"UNMAPPED_PRODUCT")</f>
        <v>BK-M18B-42</v>
      </c>
      <c r="E1049" t="str">
        <f>_xlfn.XLOOKUP(tbl_model[[#This Row],[LocationID]],tbl_location[LocationID],tbl_location[LocationName],"UNMAPPED_LOCATION")</f>
        <v>Final Assembly</v>
      </c>
      <c r="F1049">
        <v>67</v>
      </c>
      <c r="G1049" s="1" t="str">
        <f>tbl_model[[#This Row],[ProductID]] &amp; "-" &amp; tbl_model[[#This Row],[LocationID]]</f>
        <v>990-60</v>
      </c>
    </row>
    <row r="1050" spans="1:7">
      <c r="A1050">
        <v>991</v>
      </c>
      <c r="B1050">
        <v>7</v>
      </c>
      <c r="C1050" t="str">
        <f>_xlfn.XLOOKUP(tbl_model[[#This Row],[ProductID]],tbl_product[ProductID],tbl_product[ProductName],"UNMAPPED_PRODUCT")</f>
        <v>Mountain-500 Black, 44</v>
      </c>
      <c r="D1050" t="str">
        <f>_xlfn.XLOOKUP(tbl_model[[#This Row],[ProductID]],tbl_product[ProductID],tbl_product[ProductNumber],"UNMAPPED_PRODUCT")</f>
        <v>BK-M18B-44</v>
      </c>
      <c r="E1050" t="str">
        <f>_xlfn.XLOOKUP(tbl_model[[#This Row],[LocationID]],tbl_location[LocationID],tbl_location[LocationName],"UNMAPPED_LOCATION")</f>
        <v>Finished Goods Storage</v>
      </c>
      <c r="F1050">
        <v>81</v>
      </c>
      <c r="G1050" s="1" t="str">
        <f>tbl_model[[#This Row],[ProductID]] &amp; "-" &amp; tbl_model[[#This Row],[LocationID]]</f>
        <v>991-7</v>
      </c>
    </row>
    <row r="1051" spans="1:7">
      <c r="A1051">
        <v>991</v>
      </c>
      <c r="B1051">
        <v>60</v>
      </c>
      <c r="C1051" t="str">
        <f>_xlfn.XLOOKUP(tbl_model[[#This Row],[ProductID]],tbl_product[ProductID],tbl_product[ProductName],"UNMAPPED_PRODUCT")</f>
        <v>Mountain-500 Black, 44</v>
      </c>
      <c r="D1051" t="str">
        <f>_xlfn.XLOOKUP(tbl_model[[#This Row],[ProductID]],tbl_product[ProductID],tbl_product[ProductNumber],"UNMAPPED_PRODUCT")</f>
        <v>BK-M18B-44</v>
      </c>
      <c r="E1051" t="str">
        <f>_xlfn.XLOOKUP(tbl_model[[#This Row],[LocationID]],tbl_location[LocationID],tbl_location[LocationName],"UNMAPPED_LOCATION")</f>
        <v>Final Assembly</v>
      </c>
      <c r="F1051">
        <v>73</v>
      </c>
      <c r="G1051" s="1" t="str">
        <f>tbl_model[[#This Row],[ProductID]] &amp; "-" &amp; tbl_model[[#This Row],[LocationID]]</f>
        <v>991-60</v>
      </c>
    </row>
    <row r="1052" spans="1:7">
      <c r="A1052">
        <v>992</v>
      </c>
      <c r="B1052">
        <v>7</v>
      </c>
      <c r="C1052" t="str">
        <f>_xlfn.XLOOKUP(tbl_model[[#This Row],[ProductID]],tbl_product[ProductID],tbl_product[ProductName],"UNMAPPED_PRODUCT")</f>
        <v>Mountain-500 Black, 48</v>
      </c>
      <c r="D1052" t="str">
        <f>_xlfn.XLOOKUP(tbl_model[[#This Row],[ProductID]],tbl_product[ProductID],tbl_product[ProductNumber],"UNMAPPED_PRODUCT")</f>
        <v>BK-M18B-48</v>
      </c>
      <c r="E1052" t="str">
        <f>_xlfn.XLOOKUP(tbl_model[[#This Row],[LocationID]],tbl_location[LocationID],tbl_location[LocationName],"UNMAPPED_LOCATION")</f>
        <v>Finished Goods Storage</v>
      </c>
      <c r="F1052">
        <v>60</v>
      </c>
      <c r="G1052" s="1" t="str">
        <f>tbl_model[[#This Row],[ProductID]] &amp; "-" &amp; tbl_model[[#This Row],[LocationID]]</f>
        <v>992-7</v>
      </c>
    </row>
    <row r="1053" spans="1:7">
      <c r="A1053">
        <v>992</v>
      </c>
      <c r="B1053">
        <v>60</v>
      </c>
      <c r="C1053" t="str">
        <f>_xlfn.XLOOKUP(tbl_model[[#This Row],[ProductID]],tbl_product[ProductID],tbl_product[ProductName],"UNMAPPED_PRODUCT")</f>
        <v>Mountain-500 Black, 48</v>
      </c>
      <c r="D1053" t="str">
        <f>_xlfn.XLOOKUP(tbl_model[[#This Row],[ProductID]],tbl_product[ProductID],tbl_product[ProductNumber],"UNMAPPED_PRODUCT")</f>
        <v>BK-M18B-48</v>
      </c>
      <c r="E1053" t="str">
        <f>_xlfn.XLOOKUP(tbl_model[[#This Row],[LocationID]],tbl_location[LocationID],tbl_location[LocationName],"UNMAPPED_LOCATION")</f>
        <v>Final Assembly</v>
      </c>
      <c r="F1053">
        <v>104</v>
      </c>
      <c r="G1053" s="1" t="str">
        <f>tbl_model[[#This Row],[ProductID]] &amp; "-" &amp; tbl_model[[#This Row],[LocationID]]</f>
        <v>992-60</v>
      </c>
    </row>
    <row r="1054" spans="1:7">
      <c r="A1054">
        <v>993</v>
      </c>
      <c r="B1054">
        <v>7</v>
      </c>
      <c r="C1054" t="str">
        <f>_xlfn.XLOOKUP(tbl_model[[#This Row],[ProductID]],tbl_product[ProductID],tbl_product[ProductName],"UNMAPPED_PRODUCT")</f>
        <v>Mountain-500 Black, 52</v>
      </c>
      <c r="D1054" t="str">
        <f>_xlfn.XLOOKUP(tbl_model[[#This Row],[ProductID]],tbl_product[ProductID],tbl_product[ProductNumber],"UNMAPPED_PRODUCT")</f>
        <v>BK-M18B-52</v>
      </c>
      <c r="E1054" t="str">
        <f>_xlfn.XLOOKUP(tbl_model[[#This Row],[LocationID]],tbl_location[LocationID],tbl_location[LocationName],"UNMAPPED_LOCATION")</f>
        <v>Finished Goods Storage</v>
      </c>
      <c r="F1054">
        <v>123</v>
      </c>
      <c r="G1054" s="1" t="str">
        <f>tbl_model[[#This Row],[ProductID]] &amp; "-" &amp; tbl_model[[#This Row],[LocationID]]</f>
        <v>993-7</v>
      </c>
    </row>
    <row r="1055" spans="1:7">
      <c r="A1055">
        <v>993</v>
      </c>
      <c r="B1055">
        <v>60</v>
      </c>
      <c r="C1055" t="str">
        <f>_xlfn.XLOOKUP(tbl_model[[#This Row],[ProductID]],tbl_product[ProductID],tbl_product[ProductName],"UNMAPPED_PRODUCT")</f>
        <v>Mountain-500 Black, 52</v>
      </c>
      <c r="D1055" t="str">
        <f>_xlfn.XLOOKUP(tbl_model[[#This Row],[ProductID]],tbl_product[ProductID],tbl_product[ProductNumber],"UNMAPPED_PRODUCT")</f>
        <v>BK-M18B-52</v>
      </c>
      <c r="E1055" t="str">
        <f>_xlfn.XLOOKUP(tbl_model[[#This Row],[LocationID]],tbl_location[LocationID],tbl_location[LocationName],"UNMAPPED_LOCATION")</f>
        <v>Final Assembly</v>
      </c>
      <c r="F1055">
        <v>30</v>
      </c>
      <c r="G1055" s="1" t="str">
        <f>tbl_model[[#This Row],[ProductID]] &amp; "-" &amp; tbl_model[[#This Row],[LocationID]]</f>
        <v>993-60</v>
      </c>
    </row>
    <row r="1056" spans="1:7">
      <c r="A1056">
        <v>994</v>
      </c>
      <c r="B1056">
        <v>1</v>
      </c>
      <c r="C1056" t="str">
        <f>_xlfn.XLOOKUP(tbl_model[[#This Row],[ProductID]],tbl_product[ProductID],tbl_product[ProductName],"UNMAPPED_PRODUCT")</f>
        <v>LL Bottom Bracket</v>
      </c>
      <c r="D1056" t="str">
        <f>_xlfn.XLOOKUP(tbl_model[[#This Row],[ProductID]],tbl_product[ProductID],tbl_product[ProductNumber],"UNMAPPED_PRODUCT")</f>
        <v>BB-7421</v>
      </c>
      <c r="E1056" t="str">
        <f>_xlfn.XLOOKUP(tbl_model[[#This Row],[LocationID]],tbl_location[LocationID],tbl_location[LocationName],"UNMAPPED_LOCATION")</f>
        <v>Tool Crib</v>
      </c>
      <c r="F1056">
        <v>244</v>
      </c>
      <c r="G1056" s="1" t="str">
        <f>tbl_model[[#This Row],[ProductID]] &amp; "-" &amp; tbl_model[[#This Row],[LocationID]]</f>
        <v>994-1</v>
      </c>
    </row>
    <row r="1057" spans="1:7">
      <c r="A1057">
        <v>994</v>
      </c>
      <c r="B1057">
        <v>6</v>
      </c>
      <c r="C1057" t="str">
        <f>_xlfn.XLOOKUP(tbl_model[[#This Row],[ProductID]],tbl_product[ProductID],tbl_product[ProductName],"UNMAPPED_PRODUCT")</f>
        <v>LL Bottom Bracket</v>
      </c>
      <c r="D1057" t="str">
        <f>_xlfn.XLOOKUP(tbl_model[[#This Row],[ProductID]],tbl_product[ProductID],tbl_product[ProductNumber],"UNMAPPED_PRODUCT")</f>
        <v>BB-7421</v>
      </c>
      <c r="E1057" t="str">
        <f>_xlfn.XLOOKUP(tbl_model[[#This Row],[LocationID]],tbl_location[LocationID],tbl_location[LocationName],"UNMAPPED_LOCATION")</f>
        <v>Miscellaneous Storage</v>
      </c>
      <c r="F1057">
        <v>358</v>
      </c>
      <c r="G1057" s="1" t="str">
        <f>tbl_model[[#This Row],[ProductID]] &amp; "-" &amp; tbl_model[[#This Row],[LocationID]]</f>
        <v>994-6</v>
      </c>
    </row>
    <row r="1058" spans="1:7">
      <c r="A1058">
        <v>994</v>
      </c>
      <c r="B1058">
        <v>50</v>
      </c>
      <c r="C1058" t="str">
        <f>_xlfn.XLOOKUP(tbl_model[[#This Row],[ProductID]],tbl_product[ProductID],tbl_product[ProductName],"UNMAPPED_PRODUCT")</f>
        <v>LL Bottom Bracket</v>
      </c>
      <c r="D1058" t="str">
        <f>_xlfn.XLOOKUP(tbl_model[[#This Row],[ProductID]],tbl_product[ProductID],tbl_product[ProductNumber],"UNMAPPED_PRODUCT")</f>
        <v>BB-7421</v>
      </c>
      <c r="E1058" t="str">
        <f>_xlfn.XLOOKUP(tbl_model[[#This Row],[LocationID]],tbl_location[LocationID],tbl_location[LocationName],"UNMAPPED_LOCATION")</f>
        <v>Subassembly</v>
      </c>
      <c r="F1058">
        <v>212</v>
      </c>
      <c r="G1058" s="1" t="str">
        <f>tbl_model[[#This Row],[ProductID]] &amp; "-" &amp; tbl_model[[#This Row],[LocationID]]</f>
        <v>994-50</v>
      </c>
    </row>
    <row r="1059" spans="1:7">
      <c r="A1059">
        <v>995</v>
      </c>
      <c r="B1059">
        <v>1</v>
      </c>
      <c r="C1059" t="str">
        <f>_xlfn.XLOOKUP(tbl_model[[#This Row],[ProductID]],tbl_product[ProductID],tbl_product[ProductName],"UNMAPPED_PRODUCT")</f>
        <v>ML Bottom Bracket</v>
      </c>
      <c r="D1059" t="str">
        <f>_xlfn.XLOOKUP(tbl_model[[#This Row],[ProductID]],tbl_product[ProductID],tbl_product[ProductNumber],"UNMAPPED_PRODUCT")</f>
        <v>BB-8107</v>
      </c>
      <c r="E1059" t="str">
        <f>_xlfn.XLOOKUP(tbl_model[[#This Row],[LocationID]],tbl_location[LocationID],tbl_location[LocationName],"UNMAPPED_LOCATION")</f>
        <v>Tool Crib</v>
      </c>
      <c r="F1059">
        <v>230</v>
      </c>
      <c r="G1059" s="1" t="str">
        <f>tbl_model[[#This Row],[ProductID]] &amp; "-" &amp; tbl_model[[#This Row],[LocationID]]</f>
        <v>995-1</v>
      </c>
    </row>
    <row r="1060" spans="1:7">
      <c r="A1060">
        <v>995</v>
      </c>
      <c r="B1060">
        <v>6</v>
      </c>
      <c r="C1060" t="str">
        <f>_xlfn.XLOOKUP(tbl_model[[#This Row],[ProductID]],tbl_product[ProductID],tbl_product[ProductName],"UNMAPPED_PRODUCT")</f>
        <v>ML Bottom Bracket</v>
      </c>
      <c r="D1060" t="str">
        <f>_xlfn.XLOOKUP(tbl_model[[#This Row],[ProductID]],tbl_product[ProductID],tbl_product[ProductNumber],"UNMAPPED_PRODUCT")</f>
        <v>BB-8107</v>
      </c>
      <c r="E1060" t="str">
        <f>_xlfn.XLOOKUP(tbl_model[[#This Row],[LocationID]],tbl_location[LocationID],tbl_location[LocationName],"UNMAPPED_LOCATION")</f>
        <v>Miscellaneous Storage</v>
      </c>
      <c r="F1060">
        <v>321</v>
      </c>
      <c r="G1060" s="1" t="str">
        <f>tbl_model[[#This Row],[ProductID]] &amp; "-" &amp; tbl_model[[#This Row],[LocationID]]</f>
        <v>995-6</v>
      </c>
    </row>
    <row r="1061" spans="1:7">
      <c r="A1061">
        <v>995</v>
      </c>
      <c r="B1061">
        <v>50</v>
      </c>
      <c r="C1061" t="str">
        <f>_xlfn.XLOOKUP(tbl_model[[#This Row],[ProductID]],tbl_product[ProductID],tbl_product[ProductName],"UNMAPPED_PRODUCT")</f>
        <v>ML Bottom Bracket</v>
      </c>
      <c r="D1061" t="str">
        <f>_xlfn.XLOOKUP(tbl_model[[#This Row],[ProductID]],tbl_product[ProductID],tbl_product[ProductNumber],"UNMAPPED_PRODUCT")</f>
        <v>BB-8107</v>
      </c>
      <c r="E1061" t="str">
        <f>_xlfn.XLOOKUP(tbl_model[[#This Row],[LocationID]],tbl_location[LocationID],tbl_location[LocationName],"UNMAPPED_LOCATION")</f>
        <v>Subassembly</v>
      </c>
      <c r="F1061">
        <v>265</v>
      </c>
      <c r="G1061" s="1" t="str">
        <f>tbl_model[[#This Row],[ProductID]] &amp; "-" &amp; tbl_model[[#This Row],[LocationID]]</f>
        <v>995-50</v>
      </c>
    </row>
    <row r="1062" spans="1:7">
      <c r="A1062">
        <v>996</v>
      </c>
      <c r="B1062">
        <v>1</v>
      </c>
      <c r="C1062" t="str">
        <f>_xlfn.XLOOKUP(tbl_model[[#This Row],[ProductID]],tbl_product[ProductID],tbl_product[ProductName],"UNMAPPED_PRODUCT")</f>
        <v>HL Bottom Bracket</v>
      </c>
      <c r="D1062" t="str">
        <f>_xlfn.XLOOKUP(tbl_model[[#This Row],[ProductID]],tbl_product[ProductID],tbl_product[ProductNumber],"UNMAPPED_PRODUCT")</f>
        <v>BB-9108</v>
      </c>
      <c r="E1062" t="str">
        <f>_xlfn.XLOOKUP(tbl_model[[#This Row],[LocationID]],tbl_location[LocationID],tbl_location[LocationName],"UNMAPPED_LOCATION")</f>
        <v>Tool Crib</v>
      </c>
      <c r="F1062">
        <v>321</v>
      </c>
      <c r="G1062" s="1" t="str">
        <f>tbl_model[[#This Row],[ProductID]] &amp; "-" &amp; tbl_model[[#This Row],[LocationID]]</f>
        <v>996-1</v>
      </c>
    </row>
    <row r="1063" spans="1:7">
      <c r="A1063">
        <v>996</v>
      </c>
      <c r="B1063">
        <v>6</v>
      </c>
      <c r="C1063" t="str">
        <f>_xlfn.XLOOKUP(tbl_model[[#This Row],[ProductID]],tbl_product[ProductID],tbl_product[ProductName],"UNMAPPED_PRODUCT")</f>
        <v>HL Bottom Bracket</v>
      </c>
      <c r="D1063" t="str">
        <f>_xlfn.XLOOKUP(tbl_model[[#This Row],[ProductID]],tbl_product[ProductID],tbl_product[ProductNumber],"UNMAPPED_PRODUCT")</f>
        <v>BB-9108</v>
      </c>
      <c r="E1063" t="str">
        <f>_xlfn.XLOOKUP(tbl_model[[#This Row],[LocationID]],tbl_location[LocationID],tbl_location[LocationName],"UNMAPPED_LOCATION")</f>
        <v>Miscellaneous Storage</v>
      </c>
      <c r="F1063">
        <v>475</v>
      </c>
      <c r="G1063" s="1" t="str">
        <f>tbl_model[[#This Row],[ProductID]] &amp; "-" &amp; tbl_model[[#This Row],[LocationID]]</f>
        <v>996-6</v>
      </c>
    </row>
    <row r="1064" spans="1:7">
      <c r="A1064">
        <v>996</v>
      </c>
      <c r="B1064">
        <v>50</v>
      </c>
      <c r="C1064" t="str">
        <f>_xlfn.XLOOKUP(tbl_model[[#This Row],[ProductID]],tbl_product[ProductID],tbl_product[ProductName],"UNMAPPED_PRODUCT")</f>
        <v>HL Bottom Bracket</v>
      </c>
      <c r="D1064" t="str">
        <f>_xlfn.XLOOKUP(tbl_model[[#This Row],[ProductID]],tbl_product[ProductID],tbl_product[ProductNumber],"UNMAPPED_PRODUCT")</f>
        <v>BB-9108</v>
      </c>
      <c r="E1064" t="str">
        <f>_xlfn.XLOOKUP(tbl_model[[#This Row],[LocationID]],tbl_location[LocationID],tbl_location[LocationName],"UNMAPPED_LOCATION")</f>
        <v>Subassembly</v>
      </c>
      <c r="F1064">
        <v>174</v>
      </c>
      <c r="G1064" s="1" t="str">
        <f>tbl_model[[#This Row],[ProductID]] &amp; "-" &amp; tbl_model[[#This Row],[LocationID]]</f>
        <v>996-50</v>
      </c>
    </row>
    <row r="1065" spans="1:7">
      <c r="A1065">
        <v>997</v>
      </c>
      <c r="B1065">
        <v>7</v>
      </c>
      <c r="C1065" t="str">
        <f>_xlfn.XLOOKUP(tbl_model[[#This Row],[ProductID]],tbl_product[ProductID],tbl_product[ProductName],"UNMAPPED_PRODUCT")</f>
        <v>Road-750 Black, 44</v>
      </c>
      <c r="D1065" t="str">
        <f>_xlfn.XLOOKUP(tbl_model[[#This Row],[ProductID]],tbl_product[ProductID],tbl_product[ProductNumber],"UNMAPPED_PRODUCT")</f>
        <v>BK-R19B-44</v>
      </c>
      <c r="E1065" t="str">
        <f>_xlfn.XLOOKUP(tbl_model[[#This Row],[LocationID]],tbl_location[LocationID],tbl_location[LocationName],"UNMAPPED_LOCATION")</f>
        <v>Finished Goods Storage</v>
      </c>
      <c r="F1065">
        <v>123</v>
      </c>
      <c r="G1065" s="1" t="str">
        <f>tbl_model[[#This Row],[ProductID]] &amp; "-" &amp; tbl_model[[#This Row],[LocationID]]</f>
        <v>997-7</v>
      </c>
    </row>
    <row r="1066" spans="1:7">
      <c r="A1066">
        <v>997</v>
      </c>
      <c r="B1066">
        <v>60</v>
      </c>
      <c r="C1066" t="str">
        <f>_xlfn.XLOOKUP(tbl_model[[#This Row],[ProductID]],tbl_product[ProductID],tbl_product[ProductName],"UNMAPPED_PRODUCT")</f>
        <v>Road-750 Black, 44</v>
      </c>
      <c r="D1066" t="str">
        <f>_xlfn.XLOOKUP(tbl_model[[#This Row],[ProductID]],tbl_product[ProductID],tbl_product[ProductNumber],"UNMAPPED_PRODUCT")</f>
        <v>BK-R19B-44</v>
      </c>
      <c r="E1066" t="str">
        <f>_xlfn.XLOOKUP(tbl_model[[#This Row],[LocationID]],tbl_location[LocationID],tbl_location[LocationName],"UNMAPPED_LOCATION")</f>
        <v>Final Assembly</v>
      </c>
      <c r="F1066">
        <v>30</v>
      </c>
      <c r="G1066" s="1" t="str">
        <f>tbl_model[[#This Row],[ProductID]] &amp; "-" &amp; tbl_model[[#This Row],[LocationID]]</f>
        <v>997-60</v>
      </c>
    </row>
    <row r="1067" spans="1:7">
      <c r="A1067">
        <v>998</v>
      </c>
      <c r="B1067">
        <v>7</v>
      </c>
      <c r="C1067" t="str">
        <f>_xlfn.XLOOKUP(tbl_model[[#This Row],[ProductID]],tbl_product[ProductID],tbl_product[ProductName],"UNMAPPED_PRODUCT")</f>
        <v>Road-750 Black, 48</v>
      </c>
      <c r="D1067" t="str">
        <f>_xlfn.XLOOKUP(tbl_model[[#This Row],[ProductID]],tbl_product[ProductID],tbl_product[ProductNumber],"UNMAPPED_PRODUCT")</f>
        <v>BK-R19B-48</v>
      </c>
      <c r="E1067" t="str">
        <f>_xlfn.XLOOKUP(tbl_model[[#This Row],[LocationID]],tbl_location[LocationID],tbl_location[LocationName],"UNMAPPED_LOCATION")</f>
        <v>Finished Goods Storage</v>
      </c>
      <c r="F1067">
        <v>99</v>
      </c>
      <c r="G1067" s="1" t="str">
        <f>tbl_model[[#This Row],[ProductID]] &amp; "-" &amp; tbl_model[[#This Row],[LocationID]]</f>
        <v>998-7</v>
      </c>
    </row>
    <row r="1068" spans="1:7">
      <c r="A1068">
        <v>998</v>
      </c>
      <c r="B1068">
        <v>60</v>
      </c>
      <c r="C1068" t="str">
        <f>_xlfn.XLOOKUP(tbl_model[[#This Row],[ProductID]],tbl_product[ProductID],tbl_product[ProductName],"UNMAPPED_PRODUCT")</f>
        <v>Road-750 Black, 48</v>
      </c>
      <c r="D1068" t="str">
        <f>_xlfn.XLOOKUP(tbl_model[[#This Row],[ProductID]],tbl_product[ProductID],tbl_product[ProductNumber],"UNMAPPED_PRODUCT")</f>
        <v>BK-R19B-48</v>
      </c>
      <c r="E1068" t="str">
        <f>_xlfn.XLOOKUP(tbl_model[[#This Row],[LocationID]],tbl_location[LocationID],tbl_location[LocationName],"UNMAPPED_LOCATION")</f>
        <v>Final Assembly</v>
      </c>
      <c r="F1068">
        <v>56</v>
      </c>
      <c r="G1068" s="1" t="str">
        <f>tbl_model[[#This Row],[ProductID]] &amp; "-" &amp; tbl_model[[#This Row],[LocationID]]</f>
        <v>998-60</v>
      </c>
    </row>
    <row r="1069" spans="1:7">
      <c r="A1069">
        <v>999</v>
      </c>
      <c r="B1069">
        <v>7</v>
      </c>
      <c r="C1069" t="str">
        <f>_xlfn.XLOOKUP(tbl_model[[#This Row],[ProductID]],tbl_product[ProductID],tbl_product[ProductName],"UNMAPPED_PRODUCT")</f>
        <v>Road-750 Black, 52</v>
      </c>
      <c r="D1069" t="str">
        <f>_xlfn.XLOOKUP(tbl_model[[#This Row],[ProductID]],tbl_product[ProductID],tbl_product[ProductNumber],"UNMAPPED_PRODUCT")</f>
        <v>BK-R19B-52</v>
      </c>
      <c r="E1069" t="str">
        <f>_xlfn.XLOOKUP(tbl_model[[#This Row],[LocationID]],tbl_location[LocationID],tbl_location[LocationName],"UNMAPPED_LOCATION")</f>
        <v>Finished Goods Storage</v>
      </c>
      <c r="F1069">
        <v>78</v>
      </c>
      <c r="G1069" s="1" t="str">
        <f>tbl_model[[#This Row],[ProductID]] &amp; "-" &amp; tbl_model[[#This Row],[LocationID]]</f>
        <v>999-7</v>
      </c>
    </row>
    <row r="1070" spans="1:7">
      <c r="A1070">
        <v>999</v>
      </c>
      <c r="B1070">
        <v>60</v>
      </c>
      <c r="C1070" t="str">
        <f>_xlfn.XLOOKUP(tbl_model[[#This Row],[ProductID]],tbl_product[ProductID],tbl_product[ProductName],"UNMAPPED_PRODUCT")</f>
        <v>Road-750 Black, 52</v>
      </c>
      <c r="D1070" t="str">
        <f>_xlfn.XLOOKUP(tbl_model[[#This Row],[ProductID]],tbl_product[ProductID],tbl_product[ProductNumber],"UNMAPPED_PRODUCT")</f>
        <v>BK-R19B-52</v>
      </c>
      <c r="E1070" t="str">
        <f>_xlfn.XLOOKUP(tbl_model[[#This Row],[LocationID]],tbl_location[LocationID],tbl_location[LocationName],"UNMAPPED_LOCATION")</f>
        <v>Final Assembly</v>
      </c>
      <c r="F1070">
        <v>116</v>
      </c>
      <c r="G1070" s="1" t="str">
        <f>tbl_model[[#This Row],[ProductID]] &amp; "-" &amp; tbl_model[[#This Row],[LocationID]]</f>
        <v>999-60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FF4F-764C-48F0-892D-E42574DE500F}">
  <dimension ref="A3:B18"/>
  <sheetViews>
    <sheetView workbookViewId="0">
      <selection activeCell="A3" sqref="A3:B18"/>
    </sheetView>
  </sheetViews>
  <sheetFormatPr defaultRowHeight="14.5"/>
  <cols>
    <col min="1" max="1" width="21.08984375" bestFit="1" customWidth="1"/>
    <col min="2" max="2" width="20.81640625" bestFit="1" customWidth="1"/>
  </cols>
  <sheetData>
    <row r="3" spans="1:2">
      <c r="A3" s="13" t="s">
        <v>1038</v>
      </c>
      <c r="B3" t="s">
        <v>1041</v>
      </c>
    </row>
    <row r="4" spans="1:2">
      <c r="A4" s="2" t="s">
        <v>0</v>
      </c>
      <c r="B4" s="1">
        <v>0.98552888628897894</v>
      </c>
    </row>
    <row r="5" spans="1:2">
      <c r="A5" s="2" t="s">
        <v>1</v>
      </c>
      <c r="B5" s="1">
        <v>0.98552888628897894</v>
      </c>
    </row>
    <row r="6" spans="1:2">
      <c r="A6" s="2" t="s">
        <v>2</v>
      </c>
      <c r="B6" s="1">
        <v>0.98552888628897894</v>
      </c>
    </row>
    <row r="7" spans="1:2">
      <c r="A7" s="2" t="s">
        <v>3</v>
      </c>
      <c r="B7" s="1">
        <v>0.98552888628897894</v>
      </c>
    </row>
    <row r="8" spans="1:2">
      <c r="A8" s="2" t="s">
        <v>4</v>
      </c>
      <c r="B8" s="1">
        <v>0.98552888628897894</v>
      </c>
    </row>
    <row r="9" spans="1:2">
      <c r="A9" s="2" t="s">
        <v>5</v>
      </c>
      <c r="B9" s="1">
        <v>0.98552888628897894</v>
      </c>
    </row>
    <row r="10" spans="1:2">
      <c r="A10" s="2" t="s">
        <v>6</v>
      </c>
      <c r="B10" s="1">
        <v>0.98552888628897894</v>
      </c>
    </row>
    <row r="11" spans="1:2">
      <c r="A11" s="2" t="s">
        <v>7</v>
      </c>
      <c r="B11" s="1">
        <v>0.98552888628897894</v>
      </c>
    </row>
    <row r="12" spans="1:2">
      <c r="A12" s="2" t="s">
        <v>8</v>
      </c>
      <c r="B12" s="1">
        <v>0.98552888628897894</v>
      </c>
    </row>
    <row r="13" spans="1:2">
      <c r="A13" s="2" t="s">
        <v>9</v>
      </c>
      <c r="B13" s="1">
        <v>0.98552888628897894</v>
      </c>
    </row>
    <row r="14" spans="1:2">
      <c r="A14" s="2" t="s">
        <v>10</v>
      </c>
      <c r="B14" s="1">
        <v>0.98552888628897894</v>
      </c>
    </row>
    <row r="15" spans="1:2">
      <c r="A15" s="2" t="s">
        <v>11</v>
      </c>
      <c r="B15" s="1">
        <v>0.98552888628897894</v>
      </c>
    </row>
    <row r="16" spans="1:2">
      <c r="A16" s="2" t="s">
        <v>12</v>
      </c>
      <c r="B16" s="1">
        <v>0.98552888628897894</v>
      </c>
    </row>
    <row r="17" spans="1:2">
      <c r="A17" s="2" t="s">
        <v>13</v>
      </c>
      <c r="B17" s="1">
        <v>0.98552888628897894</v>
      </c>
    </row>
    <row r="18" spans="1:2">
      <c r="A18" s="2" t="s">
        <v>1039</v>
      </c>
      <c r="B18" s="1">
        <v>0.98552888628897894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281E1-4393-499D-A1D8-8FFCA4D04D43}">
  <dimension ref="A1:C18"/>
  <sheetViews>
    <sheetView workbookViewId="0"/>
  </sheetViews>
  <sheetFormatPr defaultRowHeight="14.5"/>
  <sheetData>
    <row r="1" spans="1:3">
      <c r="A1" s="4"/>
      <c r="B1" s="5"/>
      <c r="C1" s="6"/>
    </row>
    <row r="2" spans="1:3">
      <c r="A2" s="7"/>
      <c r="B2" s="8"/>
      <c r="C2" s="9"/>
    </row>
    <row r="3" spans="1:3">
      <c r="A3" s="7"/>
      <c r="B3" s="8"/>
      <c r="C3" s="9"/>
    </row>
    <row r="4" spans="1:3">
      <c r="A4" s="7"/>
      <c r="B4" s="8"/>
      <c r="C4" s="9"/>
    </row>
    <row r="5" spans="1:3">
      <c r="A5" s="7"/>
      <c r="B5" s="8"/>
      <c r="C5" s="9"/>
    </row>
    <row r="6" spans="1:3">
      <c r="A6" s="7"/>
      <c r="B6" s="8"/>
      <c r="C6" s="9"/>
    </row>
    <row r="7" spans="1:3">
      <c r="A7" s="7"/>
      <c r="B7" s="8"/>
      <c r="C7" s="9"/>
    </row>
    <row r="8" spans="1:3">
      <c r="A8" s="7"/>
      <c r="B8" s="8"/>
      <c r="C8" s="9"/>
    </row>
    <row r="9" spans="1:3">
      <c r="A9" s="7"/>
      <c r="B9" s="8"/>
      <c r="C9" s="9"/>
    </row>
    <row r="10" spans="1:3">
      <c r="A10" s="7"/>
      <c r="B10" s="8"/>
      <c r="C10" s="9"/>
    </row>
    <row r="11" spans="1:3">
      <c r="A11" s="7"/>
      <c r="B11" s="8"/>
      <c r="C11" s="9"/>
    </row>
    <row r="12" spans="1:3">
      <c r="A12" s="7"/>
      <c r="B12" s="8"/>
      <c r="C12" s="9"/>
    </row>
    <row r="13" spans="1:3">
      <c r="A13" s="7"/>
      <c r="B13" s="8"/>
      <c r="C13" s="9"/>
    </row>
    <row r="14" spans="1:3">
      <c r="A14" s="7"/>
      <c r="B14" s="8"/>
      <c r="C14" s="9"/>
    </row>
    <row r="15" spans="1:3">
      <c r="A15" s="7"/>
      <c r="B15" s="8"/>
      <c r="C15" s="9"/>
    </row>
    <row r="16" spans="1:3">
      <c r="A16" s="7"/>
      <c r="B16" s="8"/>
      <c r="C16" s="9"/>
    </row>
    <row r="17" spans="1:3">
      <c r="A17" s="7"/>
      <c r="B17" s="8"/>
      <c r="C17" s="9"/>
    </row>
    <row r="18" spans="1:3">
      <c r="A18" s="10"/>
      <c r="B18" s="11"/>
      <c r="C18" s="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F9DED-900E-4ED5-B1DF-17A3C645B55C}">
  <dimension ref="A2:G508"/>
  <sheetViews>
    <sheetView showGridLines="0" tabSelected="1" zoomScale="90" zoomScaleNormal="90" workbookViewId="0">
      <selection activeCell="F11" sqref="F11"/>
    </sheetView>
  </sheetViews>
  <sheetFormatPr defaultRowHeight="14.5"/>
  <cols>
    <col min="1" max="1" width="20.81640625" bestFit="1" customWidth="1"/>
    <col min="2" max="2" width="27.1796875" bestFit="1" customWidth="1"/>
    <col min="6" max="6" width="30" bestFit="1" customWidth="1"/>
    <col min="7" max="7" width="20.453125" bestFit="1" customWidth="1"/>
  </cols>
  <sheetData>
    <row r="2" spans="1:7">
      <c r="A2" s="13" t="s">
        <v>1038</v>
      </c>
      <c r="B2" t="s">
        <v>1044</v>
      </c>
      <c r="F2" s="13" t="s">
        <v>1033</v>
      </c>
      <c r="G2" t="s" vm="1">
        <v>1042</v>
      </c>
    </row>
    <row r="3" spans="1:7">
      <c r="A3" s="2" t="s">
        <v>0</v>
      </c>
      <c r="B3" s="1">
        <v>0.98552888628897894</v>
      </c>
    </row>
    <row r="4" spans="1:7">
      <c r="A4" s="2" t="s">
        <v>1</v>
      </c>
      <c r="B4" s="1">
        <v>0.98552888628897894</v>
      </c>
      <c r="F4" s="13" t="s">
        <v>1038</v>
      </c>
      <c r="G4" t="s">
        <v>1044</v>
      </c>
    </row>
    <row r="5" spans="1:7">
      <c r="A5" s="2" t="s">
        <v>2</v>
      </c>
      <c r="B5" s="1">
        <v>0.98552888628897894</v>
      </c>
      <c r="F5" s="2" t="s">
        <v>316</v>
      </c>
      <c r="G5" s="1">
        <v>0.97457433344375644</v>
      </c>
    </row>
    <row r="6" spans="1:7">
      <c r="A6" s="2" t="s">
        <v>3</v>
      </c>
      <c r="B6" s="1">
        <v>0.98552888628897894</v>
      </c>
      <c r="F6" s="2" t="s">
        <v>452</v>
      </c>
      <c r="G6" s="1">
        <v>0.97457433344375644</v>
      </c>
    </row>
    <row r="7" spans="1:7">
      <c r="A7" s="2" t="s">
        <v>4</v>
      </c>
      <c r="B7" s="1">
        <v>0.98552888628897894</v>
      </c>
      <c r="F7" s="2" t="s">
        <v>780</v>
      </c>
      <c r="G7" s="1">
        <v>0.97457433344375644</v>
      </c>
    </row>
    <row r="8" spans="1:7">
      <c r="A8" s="2" t="s">
        <v>5</v>
      </c>
      <c r="B8" s="1">
        <v>0.98552888628897894</v>
      </c>
      <c r="F8" s="2" t="s">
        <v>450</v>
      </c>
      <c r="G8" s="1">
        <v>0.97457433344375644</v>
      </c>
    </row>
    <row r="9" spans="1:7">
      <c r="A9" s="2" t="s">
        <v>6</v>
      </c>
      <c r="B9" s="1">
        <v>0.98552888628897894</v>
      </c>
      <c r="F9" s="2" t="s">
        <v>18</v>
      </c>
      <c r="G9" s="1">
        <v>0.97457433344375644</v>
      </c>
    </row>
    <row r="10" spans="1:7">
      <c r="A10" s="2" t="s">
        <v>7</v>
      </c>
      <c r="B10" s="1">
        <v>0.98552888628897894</v>
      </c>
      <c r="F10" s="2" t="s">
        <v>448</v>
      </c>
      <c r="G10" s="1">
        <v>0.97457433344375644</v>
      </c>
    </row>
    <row r="11" spans="1:7">
      <c r="A11" s="2" t="s">
        <v>8</v>
      </c>
      <c r="B11" s="1">
        <v>0.98552888628897894</v>
      </c>
      <c r="F11" s="2" t="s">
        <v>776</v>
      </c>
      <c r="G11" s="1">
        <v>0.97457433344375644</v>
      </c>
    </row>
    <row r="12" spans="1:7">
      <c r="A12" s="2" t="s">
        <v>9</v>
      </c>
      <c r="B12" s="1">
        <v>0.98552888628897894</v>
      </c>
      <c r="F12" s="2" t="s">
        <v>454</v>
      </c>
      <c r="G12" s="1">
        <v>0.97457433344375644</v>
      </c>
    </row>
    <row r="13" spans="1:7">
      <c r="A13" s="2" t="s">
        <v>10</v>
      </c>
      <c r="B13" s="1">
        <v>0.98552888628897894</v>
      </c>
      <c r="F13" s="2" t="s">
        <v>708</v>
      </c>
      <c r="G13" s="1">
        <v>0.97457433344375644</v>
      </c>
    </row>
    <row r="14" spans="1:7">
      <c r="A14" s="2" t="s">
        <v>11</v>
      </c>
      <c r="B14" s="1">
        <v>0.98552888628897894</v>
      </c>
      <c r="F14" s="2" t="s">
        <v>294</v>
      </c>
      <c r="G14" s="1">
        <v>0.97457433344375644</v>
      </c>
    </row>
    <row r="15" spans="1:7">
      <c r="A15" s="2" t="s">
        <v>12</v>
      </c>
      <c r="B15" s="1">
        <v>0.98552888628897894</v>
      </c>
      <c r="F15" s="2" t="s">
        <v>38</v>
      </c>
      <c r="G15" s="1">
        <v>0.97457433344375644</v>
      </c>
    </row>
    <row r="16" spans="1:7">
      <c r="A16" s="2" t="s">
        <v>13</v>
      </c>
      <c r="B16" s="1">
        <v>0.98552888628897894</v>
      </c>
      <c r="F16" s="2" t="s">
        <v>736</v>
      </c>
      <c r="G16" s="1">
        <v>0.97457433344375644</v>
      </c>
    </row>
    <row r="17" spans="1:7">
      <c r="F17" s="2" t="s">
        <v>30</v>
      </c>
      <c r="G17" s="1">
        <v>0.97457433344375644</v>
      </c>
    </row>
    <row r="18" spans="1:7">
      <c r="F18" s="2" t="s">
        <v>734</v>
      </c>
      <c r="G18" s="1">
        <v>0.97457433344375644</v>
      </c>
    </row>
    <row r="19" spans="1:7">
      <c r="A19" s="13" t="s">
        <v>1033</v>
      </c>
      <c r="B19" t="s" vm="1">
        <v>1042</v>
      </c>
      <c r="F19" s="2" t="s">
        <v>754</v>
      </c>
      <c r="G19" s="1">
        <v>0.97457433344375644</v>
      </c>
    </row>
    <row r="20" spans="1:7">
      <c r="F20" s="2" t="s">
        <v>732</v>
      </c>
      <c r="G20" s="1">
        <v>0.97457433344375644</v>
      </c>
    </row>
    <row r="21" spans="1:7">
      <c r="A21" s="13" t="s">
        <v>1038</v>
      </c>
      <c r="B21" t="s">
        <v>1045</v>
      </c>
      <c r="F21" s="2" t="s">
        <v>750</v>
      </c>
      <c r="G21" s="1">
        <v>0.97457433344375644</v>
      </c>
    </row>
    <row r="22" spans="1:7">
      <c r="A22" s="2" t="s">
        <v>12</v>
      </c>
      <c r="B22" s="1">
        <v>78</v>
      </c>
      <c r="F22" s="2" t="s">
        <v>722</v>
      </c>
      <c r="G22" s="1">
        <v>0.97457433344375644</v>
      </c>
    </row>
    <row r="23" spans="1:7">
      <c r="A23" s="2" t="s">
        <v>6</v>
      </c>
      <c r="B23" s="1">
        <v>61</v>
      </c>
      <c r="F23" s="2" t="s">
        <v>36</v>
      </c>
      <c r="G23" s="1">
        <v>0.97457433344375644</v>
      </c>
    </row>
    <row r="24" spans="1:7">
      <c r="A24" s="2" t="s">
        <v>13</v>
      </c>
      <c r="B24" s="1">
        <v>59</v>
      </c>
      <c r="F24" s="2" t="s">
        <v>720</v>
      </c>
      <c r="G24" s="1">
        <v>0.97457433344375644</v>
      </c>
    </row>
    <row r="25" spans="1:7">
      <c r="A25" s="2" t="s">
        <v>2</v>
      </c>
      <c r="B25" s="1">
        <v>49</v>
      </c>
      <c r="F25" s="2" t="s">
        <v>40</v>
      </c>
      <c r="G25" s="1">
        <v>0.97457433344375644</v>
      </c>
    </row>
    <row r="26" spans="1:7">
      <c r="A26" s="2" t="s">
        <v>1</v>
      </c>
      <c r="B26" s="1">
        <v>47</v>
      </c>
      <c r="F26" s="2" t="s">
        <v>704</v>
      </c>
      <c r="G26" s="1">
        <v>0.97457433344375644</v>
      </c>
    </row>
    <row r="27" spans="1:7">
      <c r="A27" s="2" t="s">
        <v>5</v>
      </c>
      <c r="B27" s="1">
        <v>19</v>
      </c>
      <c r="F27" s="2" t="s">
        <v>44</v>
      </c>
      <c r="G27" s="1">
        <v>0.97457433344375644</v>
      </c>
    </row>
    <row r="28" spans="1:7">
      <c r="A28" s="2" t="s">
        <v>3</v>
      </c>
      <c r="B28" s="1">
        <v>12</v>
      </c>
      <c r="F28" s="2" t="s">
        <v>724</v>
      </c>
      <c r="G28" s="1">
        <v>0.97457433344375644</v>
      </c>
    </row>
    <row r="29" spans="1:7">
      <c r="A29" s="2" t="s">
        <v>4</v>
      </c>
      <c r="B29" s="1">
        <v>8</v>
      </c>
      <c r="F29" s="2" t="s">
        <v>192</v>
      </c>
      <c r="G29" s="1">
        <v>0.97457433344375644</v>
      </c>
    </row>
    <row r="30" spans="1:7">
      <c r="A30" s="2" t="s">
        <v>10</v>
      </c>
      <c r="B30" s="1">
        <v>5</v>
      </c>
      <c r="F30" s="2" t="s">
        <v>322</v>
      </c>
      <c r="G30" s="1">
        <v>0.97457433344375644</v>
      </c>
    </row>
    <row r="31" spans="1:7">
      <c r="A31" s="2" t="s">
        <v>0</v>
      </c>
      <c r="B31" s="1">
        <v>2</v>
      </c>
      <c r="F31" s="2" t="s">
        <v>178</v>
      </c>
      <c r="G31" s="1">
        <v>0.97457433344375644</v>
      </c>
    </row>
    <row r="32" spans="1:7">
      <c r="A32" s="2" t="s">
        <v>7</v>
      </c>
      <c r="B32" s="1">
        <v>2</v>
      </c>
      <c r="F32" s="2" t="s">
        <v>324</v>
      </c>
      <c r="G32" s="1">
        <v>0.97457433344375644</v>
      </c>
    </row>
    <row r="33" spans="1:7">
      <c r="A33" s="2" t="s">
        <v>11</v>
      </c>
      <c r="B33" s="1">
        <v>1</v>
      </c>
      <c r="F33" s="2" t="s">
        <v>186</v>
      </c>
      <c r="G33" s="1">
        <v>0.97457433344375644</v>
      </c>
    </row>
    <row r="34" spans="1:7">
      <c r="A34" s="2" t="s">
        <v>8</v>
      </c>
      <c r="B34" s="1">
        <v>1</v>
      </c>
      <c r="F34" s="2" t="s">
        <v>326</v>
      </c>
      <c r="G34" s="1">
        <v>0.97457433344375644</v>
      </c>
    </row>
    <row r="35" spans="1:7">
      <c r="A35" s="2" t="s">
        <v>9</v>
      </c>
      <c r="B35" s="1">
        <v>1</v>
      </c>
      <c r="F35" s="2" t="s">
        <v>190</v>
      </c>
      <c r="G35" s="1">
        <v>0.97457433344375644</v>
      </c>
    </row>
    <row r="36" spans="1:7">
      <c r="F36" s="2" t="s">
        <v>330</v>
      </c>
      <c r="G36" s="1">
        <v>0.97457433344375644</v>
      </c>
    </row>
    <row r="37" spans="1:7">
      <c r="F37" s="2" t="s">
        <v>778</v>
      </c>
      <c r="G37" s="1">
        <v>0.97457433344375644</v>
      </c>
    </row>
    <row r="38" spans="1:7">
      <c r="F38" s="2" t="s">
        <v>328</v>
      </c>
      <c r="G38" s="1">
        <v>0.97457433344375644</v>
      </c>
    </row>
    <row r="39" spans="1:7">
      <c r="F39" s="2" t="s">
        <v>60</v>
      </c>
      <c r="G39" s="1">
        <v>0.97457433344375644</v>
      </c>
    </row>
    <row r="40" spans="1:7">
      <c r="F40" s="2" t="s">
        <v>332</v>
      </c>
      <c r="G40" s="1">
        <v>0.97457433344375644</v>
      </c>
    </row>
    <row r="41" spans="1:7">
      <c r="F41" s="2" t="s">
        <v>64</v>
      </c>
      <c r="G41" s="1">
        <v>0.97457433344375644</v>
      </c>
    </row>
    <row r="42" spans="1:7">
      <c r="F42" s="2" t="s">
        <v>346</v>
      </c>
      <c r="G42" s="1">
        <v>0.97457433344375644</v>
      </c>
    </row>
    <row r="43" spans="1:7">
      <c r="F43" s="2" t="s">
        <v>58</v>
      </c>
      <c r="G43" s="1">
        <v>0.97457433344375644</v>
      </c>
    </row>
    <row r="44" spans="1:7">
      <c r="F44" s="2" t="s">
        <v>334</v>
      </c>
      <c r="G44" s="1">
        <v>0.97457433344375644</v>
      </c>
    </row>
    <row r="45" spans="1:7">
      <c r="F45" s="2" t="s">
        <v>68</v>
      </c>
      <c r="G45" s="1">
        <v>0.97457433344375644</v>
      </c>
    </row>
    <row r="46" spans="1:7">
      <c r="F46" s="2" t="s">
        <v>336</v>
      </c>
      <c r="G46" s="1">
        <v>0.97457433344375644</v>
      </c>
    </row>
    <row r="47" spans="1:7">
      <c r="F47" s="2" t="s">
        <v>74</v>
      </c>
      <c r="G47" s="1">
        <v>0.97457433344375644</v>
      </c>
    </row>
    <row r="48" spans="1:7">
      <c r="F48" s="2" t="s">
        <v>340</v>
      </c>
      <c r="G48" s="1">
        <v>0.97457433344375644</v>
      </c>
    </row>
    <row r="49" spans="6:7">
      <c r="F49" s="2" t="s">
        <v>54</v>
      </c>
      <c r="G49" s="1">
        <v>0.97457433344375644</v>
      </c>
    </row>
    <row r="50" spans="6:7">
      <c r="F50" s="2" t="s">
        <v>342</v>
      </c>
      <c r="G50" s="1">
        <v>0.97457433344375644</v>
      </c>
    </row>
    <row r="51" spans="6:7">
      <c r="F51" s="2" t="s">
        <v>912</v>
      </c>
      <c r="G51" s="1">
        <v>0.97457433344375644</v>
      </c>
    </row>
    <row r="52" spans="6:7">
      <c r="F52" s="2" t="s">
        <v>344</v>
      </c>
      <c r="G52" s="1">
        <v>0.97457433344375644</v>
      </c>
    </row>
    <row r="53" spans="6:7">
      <c r="F53" s="2" t="s">
        <v>78</v>
      </c>
      <c r="G53" s="1">
        <v>0.97457433344375644</v>
      </c>
    </row>
    <row r="54" spans="6:7">
      <c r="F54" s="2" t="s">
        <v>338</v>
      </c>
      <c r="G54" s="1">
        <v>0.97457433344375644</v>
      </c>
    </row>
    <row r="55" spans="6:7">
      <c r="F55" s="2" t="s">
        <v>746</v>
      </c>
      <c r="G55" s="1">
        <v>0.97457433344375644</v>
      </c>
    </row>
    <row r="56" spans="6:7">
      <c r="F56" s="2" t="s">
        <v>348</v>
      </c>
      <c r="G56" s="1">
        <v>0.97457433344375644</v>
      </c>
    </row>
    <row r="57" spans="6:7">
      <c r="F57" s="2" t="s">
        <v>80</v>
      </c>
      <c r="G57" s="1">
        <v>0.97457433344375644</v>
      </c>
    </row>
    <row r="58" spans="6:7">
      <c r="F58" s="2" t="s">
        <v>710</v>
      </c>
      <c r="G58" s="1">
        <v>0.97457433344375644</v>
      </c>
    </row>
    <row r="59" spans="6:7">
      <c r="F59" s="2" t="s">
        <v>740</v>
      </c>
      <c r="G59" s="1">
        <v>0.97457433344375644</v>
      </c>
    </row>
    <row r="60" spans="6:7">
      <c r="F60" s="2" t="s">
        <v>1012</v>
      </c>
      <c r="G60" s="1">
        <v>0.97457433344375644</v>
      </c>
    </row>
    <row r="61" spans="6:7">
      <c r="F61" s="2" t="s">
        <v>166</v>
      </c>
      <c r="G61" s="1">
        <v>0.97457433344375644</v>
      </c>
    </row>
    <row r="62" spans="6:7">
      <c r="F62" s="2" t="s">
        <v>26</v>
      </c>
      <c r="G62" s="1">
        <v>0.97457433344375644</v>
      </c>
    </row>
    <row r="63" spans="6:7">
      <c r="F63" s="2" t="s">
        <v>716</v>
      </c>
      <c r="G63" s="1">
        <v>0.97457433344375644</v>
      </c>
    </row>
    <row r="64" spans="6:7">
      <c r="F64" s="2" t="s">
        <v>922</v>
      </c>
      <c r="G64" s="1">
        <v>0.97457433344375644</v>
      </c>
    </row>
    <row r="65" spans="6:7">
      <c r="F65" s="2" t="s">
        <v>20</v>
      </c>
      <c r="G65" s="1">
        <v>0.97457433344375644</v>
      </c>
    </row>
    <row r="66" spans="6:7">
      <c r="F66" s="2" t="s">
        <v>628</v>
      </c>
      <c r="G66" s="1">
        <v>0.97457433344375644</v>
      </c>
    </row>
    <row r="67" spans="6:7">
      <c r="F67" s="2" t="s">
        <v>144</v>
      </c>
      <c r="G67" s="1">
        <v>0.97457433344375644</v>
      </c>
    </row>
    <row r="68" spans="6:7">
      <c r="F68" s="2" t="s">
        <v>84</v>
      </c>
      <c r="G68" s="1">
        <v>0.97457433344375644</v>
      </c>
    </row>
    <row r="69" spans="6:7">
      <c r="F69" s="2" t="s">
        <v>138</v>
      </c>
      <c r="G69" s="1">
        <v>0.97457433344375644</v>
      </c>
    </row>
    <row r="70" spans="6:7">
      <c r="F70" s="2" t="s">
        <v>634</v>
      </c>
      <c r="G70" s="1">
        <v>0.97457433344375644</v>
      </c>
    </row>
    <row r="71" spans="6:7">
      <c r="F71" s="2" t="s">
        <v>156</v>
      </c>
      <c r="G71" s="1">
        <v>0.97457433344375644</v>
      </c>
    </row>
    <row r="72" spans="6:7">
      <c r="F72" s="2" t="s">
        <v>650</v>
      </c>
      <c r="G72" s="1">
        <v>0.97457433344375644</v>
      </c>
    </row>
    <row r="73" spans="6:7">
      <c r="F73" s="2" t="s">
        <v>124</v>
      </c>
      <c r="G73" s="1">
        <v>0.97457433344375644</v>
      </c>
    </row>
    <row r="74" spans="6:7">
      <c r="F74" s="2" t="s">
        <v>682</v>
      </c>
      <c r="G74" s="1">
        <v>0.97457433344375644</v>
      </c>
    </row>
    <row r="75" spans="6:7">
      <c r="F75" s="2" t="s">
        <v>162</v>
      </c>
      <c r="G75" s="1">
        <v>0.97457433344375644</v>
      </c>
    </row>
    <row r="76" spans="6:7">
      <c r="F76" s="2" t="s">
        <v>684</v>
      </c>
      <c r="G76" s="1">
        <v>0.97457433344375644</v>
      </c>
    </row>
    <row r="77" spans="6:7">
      <c r="F77" s="2" t="s">
        <v>148</v>
      </c>
      <c r="G77" s="1">
        <v>0.97457433344375644</v>
      </c>
    </row>
    <row r="78" spans="6:7">
      <c r="F78" s="2" t="s">
        <v>686</v>
      </c>
      <c r="G78" s="1">
        <v>0.97457433344375644</v>
      </c>
    </row>
    <row r="79" spans="6:7">
      <c r="F79" s="2" t="s">
        <v>152</v>
      </c>
      <c r="G79" s="1">
        <v>0.97457433344375644</v>
      </c>
    </row>
    <row r="80" spans="6:7">
      <c r="F80" s="2" t="s">
        <v>906</v>
      </c>
      <c r="G80" s="1">
        <v>0.97457433344375644</v>
      </c>
    </row>
    <row r="81" spans="6:7">
      <c r="F81" s="2" t="s">
        <v>136</v>
      </c>
      <c r="G81" s="1">
        <v>0.97457433344375644</v>
      </c>
    </row>
    <row r="82" spans="6:7">
      <c r="F82" s="2" t="s">
        <v>830</v>
      </c>
      <c r="G82" s="1">
        <v>0.97457433344375644</v>
      </c>
    </row>
    <row r="83" spans="6:7">
      <c r="F83" s="2" t="s">
        <v>160</v>
      </c>
      <c r="G83" s="1">
        <v>0.97457433344375644</v>
      </c>
    </row>
    <row r="84" spans="6:7">
      <c r="F84" s="2" t="s">
        <v>832</v>
      </c>
      <c r="G84" s="1">
        <v>0.97457433344375644</v>
      </c>
    </row>
    <row r="85" spans="6:7">
      <c r="F85" s="2" t="s">
        <v>122</v>
      </c>
      <c r="G85" s="1">
        <v>0.97457433344375644</v>
      </c>
    </row>
    <row r="86" spans="6:7">
      <c r="F86" s="2" t="s">
        <v>834</v>
      </c>
      <c r="G86" s="1">
        <v>0.97457433344375644</v>
      </c>
    </row>
    <row r="87" spans="6:7">
      <c r="F87" s="2" t="s">
        <v>130</v>
      </c>
      <c r="G87" s="1">
        <v>0.97457433344375644</v>
      </c>
    </row>
    <row r="88" spans="6:7">
      <c r="F88" s="2" t="s">
        <v>654</v>
      </c>
      <c r="G88" s="1">
        <v>0.97457433344375644</v>
      </c>
    </row>
    <row r="89" spans="6:7">
      <c r="F89" s="2" t="s">
        <v>774</v>
      </c>
      <c r="G89" s="1">
        <v>0.97457433344375644</v>
      </c>
    </row>
    <row r="90" spans="6:7">
      <c r="F90" s="2" t="s">
        <v>640</v>
      </c>
      <c r="G90" s="1">
        <v>0.97457433344375644</v>
      </c>
    </row>
    <row r="91" spans="6:7">
      <c r="F91" s="2" t="s">
        <v>28</v>
      </c>
      <c r="G91" s="1">
        <v>0.97457433344375644</v>
      </c>
    </row>
    <row r="92" spans="6:7">
      <c r="F92" s="2" t="s">
        <v>894</v>
      </c>
      <c r="G92" s="1">
        <v>0.97457433344375644</v>
      </c>
    </row>
    <row r="93" spans="6:7">
      <c r="F93" s="2" t="s">
        <v>630</v>
      </c>
      <c r="G93" s="1">
        <v>0.97457433344375644</v>
      </c>
    </row>
    <row r="94" spans="6:7">
      <c r="F94" s="2" t="s">
        <v>670</v>
      </c>
      <c r="G94" s="1">
        <v>0.97457433344375644</v>
      </c>
    </row>
    <row r="95" spans="6:7">
      <c r="F95" s="2" t="s">
        <v>636</v>
      </c>
      <c r="G95" s="1">
        <v>0.97457433344375644</v>
      </c>
    </row>
    <row r="96" spans="6:7">
      <c r="F96" s="2" t="s">
        <v>374</v>
      </c>
      <c r="G96" s="1">
        <v>0.97457433344375644</v>
      </c>
    </row>
    <row r="97" spans="6:7">
      <c r="F97" s="2" t="s">
        <v>516</v>
      </c>
      <c r="G97" s="1">
        <v>0.97457433344375644</v>
      </c>
    </row>
    <row r="98" spans="6:7">
      <c r="F98" s="2" t="s">
        <v>388</v>
      </c>
      <c r="G98" s="1">
        <v>0.97457433344375644</v>
      </c>
    </row>
    <row r="99" spans="6:7">
      <c r="F99" s="2" t="s">
        <v>510</v>
      </c>
      <c r="G99" s="1">
        <v>0.97457433344375644</v>
      </c>
    </row>
    <row r="100" spans="6:7">
      <c r="F100" s="2" t="s">
        <v>840</v>
      </c>
      <c r="G100" s="1">
        <v>0.97457433344375644</v>
      </c>
    </row>
    <row r="101" spans="6:7">
      <c r="F101" s="2" t="s">
        <v>512</v>
      </c>
      <c r="G101" s="1">
        <v>0.97457433344375644</v>
      </c>
    </row>
    <row r="102" spans="6:7">
      <c r="F102" s="2" t="s">
        <v>880</v>
      </c>
      <c r="G102" s="1">
        <v>0.97457433344375644</v>
      </c>
    </row>
    <row r="103" spans="6:7">
      <c r="F103" s="2" t="s">
        <v>500</v>
      </c>
      <c r="G103" s="1">
        <v>0.97457433344375644</v>
      </c>
    </row>
    <row r="104" spans="6:7">
      <c r="F104" s="2" t="s">
        <v>484</v>
      </c>
      <c r="G104" s="1">
        <v>0.97457433344375644</v>
      </c>
    </row>
    <row r="105" spans="6:7">
      <c r="F105" s="2" t="s">
        <v>506</v>
      </c>
      <c r="G105" s="1">
        <v>0.97457433344375644</v>
      </c>
    </row>
    <row r="106" spans="6:7">
      <c r="F106" s="2" t="s">
        <v>486</v>
      </c>
      <c r="G106" s="1">
        <v>0.97457433344375644</v>
      </c>
    </row>
    <row r="107" spans="6:7">
      <c r="F107" s="2" t="s">
        <v>656</v>
      </c>
      <c r="G107" s="1">
        <v>0.97457433344375644</v>
      </c>
    </row>
    <row r="108" spans="6:7">
      <c r="F108" s="2" t="s">
        <v>488</v>
      </c>
      <c r="G108" s="1">
        <v>0.97457433344375644</v>
      </c>
    </row>
    <row r="109" spans="6:7">
      <c r="F109" s="2" t="s">
        <v>896</v>
      </c>
      <c r="G109" s="1">
        <v>0.97457433344375644</v>
      </c>
    </row>
    <row r="110" spans="6:7">
      <c r="F110" s="2" t="s">
        <v>490</v>
      </c>
      <c r="G110" s="1">
        <v>0.97457433344375644</v>
      </c>
    </row>
    <row r="111" spans="6:7">
      <c r="F111" s="2" t="s">
        <v>376</v>
      </c>
      <c r="G111" s="1">
        <v>0.97457433344375644</v>
      </c>
    </row>
    <row r="112" spans="6:7">
      <c r="F112" s="2" t="s">
        <v>492</v>
      </c>
      <c r="G112" s="1">
        <v>0.97457433344375644</v>
      </c>
    </row>
    <row r="113" spans="6:7">
      <c r="F113" s="2" t="s">
        <v>842</v>
      </c>
      <c r="G113" s="1">
        <v>0.97457433344375644</v>
      </c>
    </row>
    <row r="114" spans="6:7">
      <c r="F114" s="2" t="s">
        <v>666</v>
      </c>
      <c r="G114" s="1">
        <v>0.97457433344375644</v>
      </c>
    </row>
    <row r="115" spans="6:7">
      <c r="F115" s="2" t="s">
        <v>352</v>
      </c>
      <c r="G115" s="1">
        <v>0.97457433344375644</v>
      </c>
    </row>
    <row r="116" spans="6:7">
      <c r="F116" s="2" t="s">
        <v>688</v>
      </c>
      <c r="G116" s="1">
        <v>0.97457433344375644</v>
      </c>
    </row>
    <row r="117" spans="6:7">
      <c r="F117" s="2" t="s">
        <v>700</v>
      </c>
      <c r="G117" s="1">
        <v>0.97457433344375644</v>
      </c>
    </row>
    <row r="118" spans="6:7">
      <c r="F118" s="2" t="s">
        <v>690</v>
      </c>
      <c r="G118" s="1">
        <v>0.97457433344375644</v>
      </c>
    </row>
    <row r="119" spans="6:7">
      <c r="F119" s="2" t="s">
        <v>432</v>
      </c>
      <c r="G119" s="1">
        <v>0.97457433344375644</v>
      </c>
    </row>
    <row r="120" spans="6:7">
      <c r="F120" s="2" t="s">
        <v>692</v>
      </c>
      <c r="G120" s="1">
        <v>0.97457433344375644</v>
      </c>
    </row>
    <row r="121" spans="6:7">
      <c r="F121" s="2" t="s">
        <v>458</v>
      </c>
      <c r="G121" s="1">
        <v>0.97457433344375644</v>
      </c>
    </row>
    <row r="122" spans="6:7">
      <c r="F122" s="2" t="s">
        <v>694</v>
      </c>
      <c r="G122" s="1">
        <v>0.97457433344375644</v>
      </c>
    </row>
    <row r="123" spans="6:7">
      <c r="F123" s="2" t="s">
        <v>462</v>
      </c>
      <c r="G123" s="1">
        <v>0.97457433344375644</v>
      </c>
    </row>
    <row r="124" spans="6:7">
      <c r="F124" s="2" t="s">
        <v>660</v>
      </c>
      <c r="G124" s="1">
        <v>0.97457433344375644</v>
      </c>
    </row>
    <row r="125" spans="6:7">
      <c r="F125" s="2" t="s">
        <v>434</v>
      </c>
      <c r="G125" s="1">
        <v>0.97457433344375644</v>
      </c>
    </row>
    <row r="126" spans="6:7">
      <c r="F126" s="2" t="s">
        <v>646</v>
      </c>
      <c r="G126" s="1">
        <v>0.97457433344375644</v>
      </c>
    </row>
    <row r="127" spans="6:7">
      <c r="F127" s="2" t="s">
        <v>662</v>
      </c>
      <c r="G127" s="1">
        <v>0.97457433344375644</v>
      </c>
    </row>
    <row r="128" spans="6:7">
      <c r="F128" s="2" t="s">
        <v>900</v>
      </c>
      <c r="G128" s="1">
        <v>0.97457433344375644</v>
      </c>
    </row>
    <row r="129" spans="6:7">
      <c r="F129" s="2" t="s">
        <v>902</v>
      </c>
      <c r="G129" s="1">
        <v>0.97457433344375644</v>
      </c>
    </row>
    <row r="130" spans="6:7">
      <c r="F130" s="2" t="s">
        <v>676</v>
      </c>
      <c r="G130" s="1">
        <v>0.97457433344375644</v>
      </c>
    </row>
    <row r="131" spans="6:7">
      <c r="F131" s="2" t="s">
        <v>382</v>
      </c>
      <c r="G131" s="1">
        <v>0.97457433344375644</v>
      </c>
    </row>
    <row r="132" spans="6:7">
      <c r="F132" s="2" t="s">
        <v>380</v>
      </c>
      <c r="G132" s="1">
        <v>0.97457433344375644</v>
      </c>
    </row>
    <row r="133" spans="6:7">
      <c r="F133" s="2" t="s">
        <v>848</v>
      </c>
      <c r="G133" s="1">
        <v>0.97457433344375644</v>
      </c>
    </row>
    <row r="134" spans="6:7">
      <c r="F134" s="2" t="s">
        <v>394</v>
      </c>
      <c r="G134" s="1">
        <v>0.97457433344375644</v>
      </c>
    </row>
    <row r="135" spans="6:7">
      <c r="F135" s="2" t="s">
        <v>410</v>
      </c>
      <c r="G135" s="1">
        <v>0.97457433344375644</v>
      </c>
    </row>
    <row r="136" spans="6:7">
      <c r="F136" s="2" t="s">
        <v>846</v>
      </c>
      <c r="G136" s="1">
        <v>0.97457433344375644</v>
      </c>
    </row>
    <row r="137" spans="6:7">
      <c r="F137" s="2" t="s">
        <v>802</v>
      </c>
      <c r="G137" s="1">
        <v>0.97457433344375644</v>
      </c>
    </row>
    <row r="138" spans="6:7">
      <c r="F138" s="2" t="s">
        <v>886</v>
      </c>
      <c r="G138" s="1">
        <v>0.97457433344375644</v>
      </c>
    </row>
    <row r="139" spans="6:7">
      <c r="F139" s="2" t="s">
        <v>806</v>
      </c>
      <c r="G139" s="1">
        <v>0.97457433344375644</v>
      </c>
    </row>
    <row r="140" spans="6:7">
      <c r="F140" s="2" t="s">
        <v>400</v>
      </c>
      <c r="G140" s="1">
        <v>0.97457433344375644</v>
      </c>
    </row>
    <row r="141" spans="6:7">
      <c r="F141" s="2" t="s">
        <v>796</v>
      </c>
      <c r="G141" s="1">
        <v>0.97457433344375644</v>
      </c>
    </row>
    <row r="142" spans="6:7">
      <c r="F142" s="2" t="s">
        <v>852</v>
      </c>
      <c r="G142" s="1">
        <v>0.97457433344375644</v>
      </c>
    </row>
    <row r="143" spans="6:7">
      <c r="F143" s="2" t="s">
        <v>800</v>
      </c>
      <c r="G143" s="1">
        <v>0.97457433344375644</v>
      </c>
    </row>
    <row r="144" spans="6:7">
      <c r="F144" s="2" t="s">
        <v>442</v>
      </c>
      <c r="G144" s="1">
        <v>0.97457433344375644</v>
      </c>
    </row>
    <row r="145" spans="6:7">
      <c r="F145" s="2" t="s">
        <v>916</v>
      </c>
      <c r="G145" s="1">
        <v>0.97457433344375644</v>
      </c>
    </row>
    <row r="146" spans="6:7">
      <c r="F146" s="2" t="s">
        <v>440</v>
      </c>
      <c r="G146" s="1">
        <v>0.97457433344375644</v>
      </c>
    </row>
    <row r="147" spans="6:7">
      <c r="F147" s="2" t="s">
        <v>854</v>
      </c>
      <c r="G147" s="1">
        <v>0.97457433344375644</v>
      </c>
    </row>
    <row r="148" spans="6:7">
      <c r="F148" s="2" t="s">
        <v>764</v>
      </c>
      <c r="G148" s="1">
        <v>0.97457433344375644</v>
      </c>
    </row>
    <row r="149" spans="6:7">
      <c r="F149" s="2" t="s">
        <v>208</v>
      </c>
      <c r="G149" s="1">
        <v>0.97457433344375644</v>
      </c>
    </row>
    <row r="150" spans="6:7">
      <c r="F150" s="2" t="s">
        <v>46</v>
      </c>
      <c r="G150" s="1">
        <v>0.97457433344375644</v>
      </c>
    </row>
    <row r="151" spans="6:7">
      <c r="F151" s="2" t="s">
        <v>212</v>
      </c>
      <c r="G151" s="1">
        <v>0.97457433344375644</v>
      </c>
    </row>
    <row r="152" spans="6:7">
      <c r="F152" s="2" t="s">
        <v>712</v>
      </c>
      <c r="G152" s="1">
        <v>0.97457433344375644</v>
      </c>
    </row>
    <row r="153" spans="6:7">
      <c r="F153" s="2" t="s">
        <v>196</v>
      </c>
      <c r="G153" s="1">
        <v>0.97457433344375644</v>
      </c>
    </row>
    <row r="154" spans="6:7">
      <c r="F154" s="2" t="s">
        <v>864</v>
      </c>
      <c r="G154" s="1">
        <v>0.97457433344375644</v>
      </c>
    </row>
    <row r="155" spans="6:7">
      <c r="F155" s="2" t="s">
        <v>204</v>
      </c>
      <c r="G155" s="1">
        <v>0.97457433344375644</v>
      </c>
    </row>
    <row r="156" spans="6:7">
      <c r="F156" s="2" t="s">
        <v>572</v>
      </c>
      <c r="G156" s="1">
        <v>0.97457433344375644</v>
      </c>
    </row>
    <row r="157" spans="6:7">
      <c r="F157" s="2" t="s">
        <v>210</v>
      </c>
      <c r="G157" s="1">
        <v>0.97457433344375644</v>
      </c>
    </row>
    <row r="158" spans="6:7">
      <c r="F158" s="2" t="s">
        <v>574</v>
      </c>
      <c r="G158" s="1">
        <v>0.97457433344375644</v>
      </c>
    </row>
    <row r="159" spans="6:7">
      <c r="F159" s="2" t="s">
        <v>174</v>
      </c>
      <c r="G159" s="1">
        <v>0.97457433344375644</v>
      </c>
    </row>
    <row r="160" spans="6:7">
      <c r="F160" s="2" t="s">
        <v>576</v>
      </c>
      <c r="G160" s="1">
        <v>0.97457433344375644</v>
      </c>
    </row>
    <row r="161" spans="6:7">
      <c r="F161" s="2" t="s">
        <v>24</v>
      </c>
      <c r="G161" s="1">
        <v>0.97457433344375644</v>
      </c>
    </row>
    <row r="162" spans="6:7">
      <c r="F162" s="2" t="s">
        <v>578</v>
      </c>
      <c r="G162" s="1">
        <v>0.97457433344375644</v>
      </c>
    </row>
    <row r="163" spans="6:7">
      <c r="F163" s="2" t="s">
        <v>626</v>
      </c>
      <c r="G163" s="1">
        <v>0.97457433344375644</v>
      </c>
    </row>
    <row r="164" spans="6:7">
      <c r="F164" s="2" t="s">
        <v>564</v>
      </c>
      <c r="G164" s="1">
        <v>0.97457433344375644</v>
      </c>
    </row>
    <row r="165" spans="6:7">
      <c r="F165" s="2" t="s">
        <v>632</v>
      </c>
      <c r="G165" s="1">
        <v>0.97457433344375644</v>
      </c>
    </row>
    <row r="166" spans="6:7">
      <c r="F166" s="2" t="s">
        <v>566</v>
      </c>
      <c r="G166" s="1">
        <v>0.97457433344375644</v>
      </c>
    </row>
    <row r="167" spans="6:7">
      <c r="F167" s="2" t="s">
        <v>908</v>
      </c>
      <c r="G167" s="1">
        <v>0.97457433344375644</v>
      </c>
    </row>
    <row r="168" spans="6:7">
      <c r="F168" s="2" t="s">
        <v>568</v>
      </c>
      <c r="G168" s="1">
        <v>0.97457433344375644</v>
      </c>
    </row>
    <row r="169" spans="6:7">
      <c r="F169" s="2" t="s">
        <v>872</v>
      </c>
      <c r="G169" s="1">
        <v>0.97457433344375644</v>
      </c>
    </row>
    <row r="170" spans="6:7">
      <c r="F170" s="2" t="s">
        <v>570</v>
      </c>
      <c r="G170" s="1">
        <v>0.97457433344375644</v>
      </c>
    </row>
    <row r="171" spans="6:7">
      <c r="F171" s="2" t="s">
        <v>876</v>
      </c>
      <c r="G171" s="1">
        <v>0.97457433344375644</v>
      </c>
    </row>
    <row r="172" spans="6:7">
      <c r="F172" s="2" t="s">
        <v>586</v>
      </c>
      <c r="G172" s="1">
        <v>0.97457433344375644</v>
      </c>
    </row>
    <row r="173" spans="6:7">
      <c r="F173" s="2" t="s">
        <v>856</v>
      </c>
      <c r="G173" s="1">
        <v>0.97457433344375644</v>
      </c>
    </row>
    <row r="174" spans="6:7">
      <c r="F174" s="2" t="s">
        <v>588</v>
      </c>
      <c r="G174" s="1">
        <v>0.97457433344375644</v>
      </c>
    </row>
    <row r="175" spans="6:7">
      <c r="F175" s="2" t="s">
        <v>860</v>
      </c>
      <c r="G175" s="1">
        <v>0.97457433344375644</v>
      </c>
    </row>
    <row r="176" spans="6:7">
      <c r="F176" s="2" t="s">
        <v>590</v>
      </c>
      <c r="G176" s="1">
        <v>0.97457433344375644</v>
      </c>
    </row>
    <row r="177" spans="6:7">
      <c r="F177" s="2" t="s">
        <v>652</v>
      </c>
      <c r="G177" s="1">
        <v>0.97457433344375644</v>
      </c>
    </row>
    <row r="178" spans="6:7">
      <c r="F178" s="2" t="s">
        <v>580</v>
      </c>
      <c r="G178" s="1">
        <v>0.97457433344375644</v>
      </c>
    </row>
    <row r="179" spans="6:7">
      <c r="F179" s="2" t="s">
        <v>892</v>
      </c>
      <c r="G179" s="1">
        <v>0.97457433344375644</v>
      </c>
    </row>
    <row r="180" spans="6:7">
      <c r="F180" s="2" t="s">
        <v>582</v>
      </c>
      <c r="G180" s="1">
        <v>0.97457433344375644</v>
      </c>
    </row>
    <row r="181" spans="6:7">
      <c r="F181" s="2" t="s">
        <v>372</v>
      </c>
      <c r="G181" s="1">
        <v>0.97457433344375644</v>
      </c>
    </row>
    <row r="182" spans="6:7">
      <c r="F182" s="2" t="s">
        <v>584</v>
      </c>
      <c r="G182" s="1">
        <v>0.97457433344375644</v>
      </c>
    </row>
    <row r="183" spans="6:7">
      <c r="F183" s="2" t="s">
        <v>838</v>
      </c>
      <c r="G183" s="1">
        <v>0.97457433344375644</v>
      </c>
    </row>
    <row r="184" spans="6:7">
      <c r="F184" s="2" t="s">
        <v>592</v>
      </c>
      <c r="G184" s="1">
        <v>0.97457433344375644</v>
      </c>
    </row>
    <row r="185" spans="6:7">
      <c r="F185" s="2" t="s">
        <v>350</v>
      </c>
      <c r="G185" s="1">
        <v>0.97457433344375644</v>
      </c>
    </row>
    <row r="186" spans="6:7">
      <c r="F186" s="2" t="s">
        <v>594</v>
      </c>
      <c r="G186" s="1">
        <v>0.97457433344375644</v>
      </c>
    </row>
    <row r="187" spans="6:7">
      <c r="F187" s="2" t="s">
        <v>496</v>
      </c>
      <c r="G187" s="1">
        <v>0.97457433344375644</v>
      </c>
    </row>
    <row r="188" spans="6:7">
      <c r="F188" s="2" t="s">
        <v>596</v>
      </c>
      <c r="G188" s="1">
        <v>0.97457433344375644</v>
      </c>
    </row>
    <row r="189" spans="6:7">
      <c r="F189" s="2" t="s">
        <v>466</v>
      </c>
      <c r="G189" s="1">
        <v>0.97457433344375644</v>
      </c>
    </row>
    <row r="190" spans="6:7">
      <c r="F190" s="2" t="s">
        <v>598</v>
      </c>
      <c r="G190" s="1">
        <v>0.97457433344375644</v>
      </c>
    </row>
    <row r="191" spans="6:7">
      <c r="F191" s="2" t="s">
        <v>470</v>
      </c>
      <c r="G191" s="1">
        <v>0.97457433344375644</v>
      </c>
    </row>
    <row r="192" spans="6:7">
      <c r="F192" s="2" t="s">
        <v>982</v>
      </c>
      <c r="G192" s="1">
        <v>0.97457433344375644</v>
      </c>
    </row>
    <row r="193" spans="6:7">
      <c r="F193" s="2" t="s">
        <v>474</v>
      </c>
      <c r="G193" s="1">
        <v>0.97457433344375644</v>
      </c>
    </row>
    <row r="194" spans="6:7">
      <c r="F194" s="2" t="s">
        <v>984</v>
      </c>
      <c r="G194" s="1">
        <v>0.97457433344375644</v>
      </c>
    </row>
    <row r="195" spans="6:7">
      <c r="F195" s="2" t="s">
        <v>478</v>
      </c>
      <c r="G195" s="1">
        <v>0.97457433344375644</v>
      </c>
    </row>
    <row r="196" spans="6:7">
      <c r="F196" s="2" t="s">
        <v>986</v>
      </c>
      <c r="G196" s="1">
        <v>0.97457433344375644</v>
      </c>
    </row>
    <row r="197" spans="6:7">
      <c r="F197" s="2" t="s">
        <v>482</v>
      </c>
      <c r="G197" s="1">
        <v>0.97457433344375644</v>
      </c>
    </row>
    <row r="198" spans="6:7">
      <c r="F198" s="2" t="s">
        <v>988</v>
      </c>
      <c r="G198" s="1">
        <v>0.97457433344375644</v>
      </c>
    </row>
    <row r="199" spans="6:7">
      <c r="F199" s="2" t="s">
        <v>644</v>
      </c>
      <c r="G199" s="1">
        <v>0.97457433344375644</v>
      </c>
    </row>
    <row r="200" spans="6:7">
      <c r="F200" s="2" t="s">
        <v>1000</v>
      </c>
      <c r="G200" s="1">
        <v>0.97457433344375644</v>
      </c>
    </row>
    <row r="201" spans="6:7">
      <c r="F201" s="2" t="s">
        <v>674</v>
      </c>
      <c r="G201" s="1">
        <v>0.97457433344375644</v>
      </c>
    </row>
    <row r="202" spans="6:7">
      <c r="F202" s="2" t="s">
        <v>1002</v>
      </c>
      <c r="G202" s="1">
        <v>0.97457433344375644</v>
      </c>
    </row>
    <row r="203" spans="6:7">
      <c r="F203" s="2" t="s">
        <v>392</v>
      </c>
      <c r="G203" s="1">
        <v>0.97457433344375644</v>
      </c>
    </row>
    <row r="204" spans="6:7">
      <c r="F204" s="2" t="s">
        <v>1004</v>
      </c>
      <c r="G204" s="1">
        <v>0.97457433344375644</v>
      </c>
    </row>
    <row r="205" spans="6:7">
      <c r="F205" s="2" t="s">
        <v>884</v>
      </c>
      <c r="G205" s="1">
        <v>0.97457433344375644</v>
      </c>
    </row>
    <row r="206" spans="6:7">
      <c r="F206" s="2" t="s">
        <v>1006</v>
      </c>
      <c r="G206" s="1">
        <v>0.97457433344375644</v>
      </c>
    </row>
    <row r="207" spans="6:7">
      <c r="F207" s="2" t="s">
        <v>404</v>
      </c>
      <c r="G207" s="1">
        <v>0.97457433344375644</v>
      </c>
    </row>
    <row r="208" spans="6:7">
      <c r="F208" s="2" t="s">
        <v>1008</v>
      </c>
      <c r="G208" s="1">
        <v>0.97457433344375644</v>
      </c>
    </row>
    <row r="209" spans="6:7">
      <c r="F209" s="2" t="s">
        <v>812</v>
      </c>
      <c r="G209" s="1">
        <v>0.97457433344375644</v>
      </c>
    </row>
    <row r="210" spans="6:7">
      <c r="F210" s="2" t="s">
        <v>990</v>
      </c>
      <c r="G210" s="1">
        <v>0.97457433344375644</v>
      </c>
    </row>
    <row r="211" spans="6:7">
      <c r="F211" s="2" t="s">
        <v>816</v>
      </c>
      <c r="G211" s="1">
        <v>0.97457433344375644</v>
      </c>
    </row>
    <row r="212" spans="6:7">
      <c r="F212" s="2" t="s">
        <v>992</v>
      </c>
      <c r="G212" s="1">
        <v>0.97457433344375644</v>
      </c>
    </row>
    <row r="213" spans="6:7">
      <c r="F213" s="2" t="s">
        <v>820</v>
      </c>
      <c r="G213" s="1">
        <v>0.97457433344375644</v>
      </c>
    </row>
    <row r="214" spans="6:7">
      <c r="F214" s="2" t="s">
        <v>994</v>
      </c>
      <c r="G214" s="1">
        <v>0.97457433344375644</v>
      </c>
    </row>
    <row r="215" spans="6:7">
      <c r="F215" s="2" t="s">
        <v>824</v>
      </c>
      <c r="G215" s="1">
        <v>0.97457433344375644</v>
      </c>
    </row>
    <row r="216" spans="6:7">
      <c r="F216" s="2" t="s">
        <v>996</v>
      </c>
      <c r="G216" s="1">
        <v>0.97457433344375644</v>
      </c>
    </row>
    <row r="217" spans="6:7">
      <c r="F217" s="2" t="s">
        <v>794</v>
      </c>
      <c r="G217" s="1">
        <v>0.97457433344375644</v>
      </c>
    </row>
    <row r="218" spans="6:7">
      <c r="F218" s="2" t="s">
        <v>998</v>
      </c>
      <c r="G218" s="1">
        <v>0.97457433344375644</v>
      </c>
    </row>
    <row r="219" spans="6:7">
      <c r="F219" s="2" t="s">
        <v>398</v>
      </c>
      <c r="G219" s="1">
        <v>0.97457433344375644</v>
      </c>
    </row>
    <row r="220" spans="6:7">
      <c r="F220" s="2" t="s">
        <v>354</v>
      </c>
      <c r="G220" s="1">
        <v>0.97457433344375644</v>
      </c>
    </row>
    <row r="221" spans="6:7">
      <c r="F221" s="2" t="s">
        <v>268</v>
      </c>
      <c r="G221" s="1">
        <v>0.97457433344375644</v>
      </c>
    </row>
    <row r="222" spans="6:7">
      <c r="F222" s="2" t="s">
        <v>360</v>
      </c>
      <c r="G222" s="1">
        <v>0.97457433344375644</v>
      </c>
    </row>
    <row r="223" spans="6:7">
      <c r="F223" s="2" t="s">
        <v>272</v>
      </c>
      <c r="G223" s="1">
        <v>0.97457433344375644</v>
      </c>
    </row>
    <row r="224" spans="6:7">
      <c r="F224" s="2" t="s">
        <v>356</v>
      </c>
      <c r="G224" s="1">
        <v>0.97457433344375644</v>
      </c>
    </row>
    <row r="225" spans="6:7">
      <c r="F225" s="2" t="s">
        <v>266</v>
      </c>
      <c r="G225" s="1">
        <v>0.97457433344375644</v>
      </c>
    </row>
    <row r="226" spans="6:7">
      <c r="F226" s="2" t="s">
        <v>358</v>
      </c>
      <c r="G226" s="1">
        <v>0.97457433344375644</v>
      </c>
    </row>
    <row r="227" spans="6:7">
      <c r="F227" s="2" t="s">
        <v>284</v>
      </c>
      <c r="G227" s="1">
        <v>0.97457433344375644</v>
      </c>
    </row>
    <row r="228" spans="6:7">
      <c r="F228" s="2" t="s">
        <v>362</v>
      </c>
      <c r="G228" s="1">
        <v>0.97457433344375644</v>
      </c>
    </row>
    <row r="229" spans="6:7">
      <c r="F229" s="2" t="s">
        <v>252</v>
      </c>
      <c r="G229" s="1">
        <v>0.97457433344375644</v>
      </c>
    </row>
    <row r="230" spans="6:7">
      <c r="F230" s="2" t="s">
        <v>768</v>
      </c>
      <c r="G230" s="1">
        <v>0.97457433344375644</v>
      </c>
    </row>
    <row r="231" spans="6:7">
      <c r="F231" s="2" t="s">
        <v>288</v>
      </c>
      <c r="G231" s="1">
        <v>0.97457433344375644</v>
      </c>
    </row>
    <row r="232" spans="6:7">
      <c r="F232" s="2" t="s">
        <v>364</v>
      </c>
      <c r="G232" s="1">
        <v>0.97457433344375644</v>
      </c>
    </row>
    <row r="233" spans="6:7">
      <c r="F233" s="2" t="s">
        <v>276</v>
      </c>
      <c r="G233" s="1">
        <v>0.97457433344375644</v>
      </c>
    </row>
    <row r="234" spans="6:7">
      <c r="F234" s="2" t="s">
        <v>772</v>
      </c>
      <c r="G234" s="1">
        <v>0.97457433344375644</v>
      </c>
    </row>
    <row r="235" spans="6:7">
      <c r="F235" s="2" t="s">
        <v>260</v>
      </c>
      <c r="G235" s="1">
        <v>0.97457433344375644</v>
      </c>
    </row>
    <row r="236" spans="6:7">
      <c r="F236" s="2" t="s">
        <v>770</v>
      </c>
      <c r="G236" s="1">
        <v>0.97457433344375644</v>
      </c>
    </row>
    <row r="237" spans="6:7">
      <c r="F237" s="2" t="s">
        <v>280</v>
      </c>
      <c r="G237" s="1">
        <v>0.97457433344375644</v>
      </c>
    </row>
    <row r="238" spans="6:7">
      <c r="F238" s="2" t="s">
        <v>836</v>
      </c>
      <c r="G238" s="1">
        <v>0.97457433344375644</v>
      </c>
    </row>
    <row r="239" spans="6:7">
      <c r="F239" s="2" t="s">
        <v>246</v>
      </c>
      <c r="G239" s="1">
        <v>0.97457433344375644</v>
      </c>
    </row>
    <row r="240" spans="6:7">
      <c r="F240" s="2" t="s">
        <v>810</v>
      </c>
      <c r="G240" s="1">
        <v>0.97457433344375644</v>
      </c>
    </row>
    <row r="241" spans="6:7">
      <c r="F241" s="2" t="s">
        <v>254</v>
      </c>
      <c r="G241" s="1">
        <v>0.97457433344375644</v>
      </c>
    </row>
    <row r="242" spans="6:7">
      <c r="F242" s="2" t="s">
        <v>430</v>
      </c>
      <c r="G242" s="1">
        <v>0.97457433344375644</v>
      </c>
    </row>
    <row r="243" spans="6:7">
      <c r="F243" s="2" t="s">
        <v>258</v>
      </c>
      <c r="G243" s="1">
        <v>0.97457433344375644</v>
      </c>
    </row>
    <row r="244" spans="6:7">
      <c r="F244" s="2" t="s">
        <v>370</v>
      </c>
      <c r="G244" s="1">
        <v>0.97457433344375644</v>
      </c>
    </row>
    <row r="245" spans="6:7">
      <c r="F245" s="2" t="s">
        <v>308</v>
      </c>
      <c r="G245" s="1">
        <v>0.97457433344375644</v>
      </c>
    </row>
    <row r="246" spans="6:7">
      <c r="F246" s="2" t="s">
        <v>766</v>
      </c>
      <c r="G246" s="1">
        <v>0.97457433344375644</v>
      </c>
    </row>
    <row r="247" spans="6:7">
      <c r="F247" s="2" t="s">
        <v>320</v>
      </c>
      <c r="G247" s="1">
        <v>0.97457433344375644</v>
      </c>
    </row>
    <row r="248" spans="6:7">
      <c r="F248" s="2" t="s">
        <v>48</v>
      </c>
      <c r="G248" s="1">
        <v>0.97457433344375644</v>
      </c>
    </row>
    <row r="249" spans="6:7">
      <c r="F249" s="2" t="s">
        <v>304</v>
      </c>
      <c r="G249" s="1">
        <v>0.97457433344375644</v>
      </c>
    </row>
    <row r="250" spans="6:7">
      <c r="F250" s="2" t="s">
        <v>866</v>
      </c>
      <c r="G250" s="1">
        <v>0.97457433344375644</v>
      </c>
    </row>
    <row r="251" spans="6:7">
      <c r="F251" s="2" t="s">
        <v>318</v>
      </c>
      <c r="G251" s="1">
        <v>0.97457433344375644</v>
      </c>
    </row>
    <row r="252" spans="6:7">
      <c r="F252" s="2" t="s">
        <v>522</v>
      </c>
      <c r="G252" s="1">
        <v>0.97457433344375644</v>
      </c>
    </row>
    <row r="253" spans="6:7">
      <c r="F253" s="2" t="s">
        <v>298</v>
      </c>
      <c r="G253" s="1">
        <v>0.97457433344375644</v>
      </c>
    </row>
    <row r="254" spans="6:7">
      <c r="F254" s="2" t="s">
        <v>524</v>
      </c>
      <c r="G254" s="1">
        <v>0.97457433344375644</v>
      </c>
    </row>
    <row r="255" spans="6:7">
      <c r="F255" s="2" t="s">
        <v>310</v>
      </c>
      <c r="G255" s="1">
        <v>0.97457433344375644</v>
      </c>
    </row>
    <row r="256" spans="6:7">
      <c r="F256" s="2" t="s">
        <v>526</v>
      </c>
      <c r="G256" s="1">
        <v>0.97457433344375644</v>
      </c>
    </row>
    <row r="257" spans="6:7">
      <c r="F257" s="2" t="s">
        <v>14</v>
      </c>
      <c r="G257" s="1">
        <v>0.97457433344375644</v>
      </c>
    </row>
    <row r="258" spans="6:7">
      <c r="F258" s="2" t="s">
        <v>528</v>
      </c>
      <c r="G258" s="1">
        <v>0.97457433344375644</v>
      </c>
    </row>
    <row r="259" spans="6:7">
      <c r="F259" s="2" t="s">
        <v>16</v>
      </c>
      <c r="G259" s="1">
        <v>0.97457433344375644</v>
      </c>
    </row>
    <row r="260" spans="6:7">
      <c r="F260" s="2" t="s">
        <v>520</v>
      </c>
      <c r="G260" s="1">
        <v>0.97457433344375644</v>
      </c>
    </row>
    <row r="261" spans="6:7">
      <c r="F261" s="2" t="s">
        <v>926</v>
      </c>
      <c r="G261" s="1">
        <v>0.97457433344375644</v>
      </c>
    </row>
    <row r="262" spans="6:7">
      <c r="F262" s="2" t="s">
        <v>608</v>
      </c>
      <c r="G262" s="1">
        <v>0.97457433344375644</v>
      </c>
    </row>
    <row r="263" spans="6:7">
      <c r="F263" s="2" t="s">
        <v>32</v>
      </c>
      <c r="G263" s="1">
        <v>0.97457433344375644</v>
      </c>
    </row>
    <row r="264" spans="6:7">
      <c r="F264" s="2" t="s">
        <v>610</v>
      </c>
      <c r="G264" s="1">
        <v>0.97457433344375644</v>
      </c>
    </row>
    <row r="265" spans="6:7">
      <c r="F265" s="2" t="s">
        <v>368</v>
      </c>
      <c r="G265" s="1">
        <v>0.97457433344375644</v>
      </c>
    </row>
    <row r="266" spans="6:7">
      <c r="F266" s="2" t="s">
        <v>612</v>
      </c>
      <c r="G266" s="1">
        <v>0.97457433344375644</v>
      </c>
    </row>
    <row r="267" spans="6:7">
      <c r="F267" s="2" t="s">
        <v>42</v>
      </c>
      <c r="G267" s="1">
        <v>0.97457433344375644</v>
      </c>
    </row>
    <row r="268" spans="6:7">
      <c r="F268" s="2" t="s">
        <v>614</v>
      </c>
      <c r="G268" s="1">
        <v>0.97457433344375644</v>
      </c>
    </row>
    <row r="269" spans="6:7">
      <c r="F269" s="2" t="s">
        <v>176</v>
      </c>
      <c r="G269" s="1">
        <v>0.97457433344375644</v>
      </c>
    </row>
    <row r="270" spans="6:7">
      <c r="F270" s="2" t="s">
        <v>600</v>
      </c>
      <c r="G270" s="1">
        <v>0.97457433344375644</v>
      </c>
    </row>
    <row r="271" spans="6:7">
      <c r="F271" s="2" t="s">
        <v>184</v>
      </c>
      <c r="G271" s="1">
        <v>0.97457433344375644</v>
      </c>
    </row>
    <row r="272" spans="6:7">
      <c r="F272" s="2" t="s">
        <v>602</v>
      </c>
      <c r="G272" s="1">
        <v>0.97457433344375644</v>
      </c>
    </row>
    <row r="273" spans="6:7">
      <c r="F273" s="2" t="s">
        <v>56</v>
      </c>
      <c r="G273" s="1">
        <v>0.97457433344375644</v>
      </c>
    </row>
    <row r="274" spans="6:7">
      <c r="F274" s="2" t="s">
        <v>604</v>
      </c>
      <c r="G274" s="1">
        <v>0.97457433344375644</v>
      </c>
    </row>
    <row r="275" spans="6:7">
      <c r="F275" s="2" t="s">
        <v>70</v>
      </c>
      <c r="G275" s="1">
        <v>0.97457433344375644</v>
      </c>
    </row>
    <row r="276" spans="6:7">
      <c r="F276" s="2" t="s">
        <v>606</v>
      </c>
      <c r="G276" s="1">
        <v>0.97457433344375644</v>
      </c>
    </row>
    <row r="277" spans="6:7">
      <c r="F277" s="2" t="s">
        <v>62</v>
      </c>
      <c r="G277" s="1">
        <v>0.97457433344375644</v>
      </c>
    </row>
    <row r="278" spans="6:7">
      <c r="F278" s="2" t="s">
        <v>968</v>
      </c>
      <c r="G278" s="1">
        <v>0.97457433344375644</v>
      </c>
    </row>
    <row r="279" spans="6:7">
      <c r="F279" s="2" t="s">
        <v>918</v>
      </c>
      <c r="G279" s="1">
        <v>0.97457433344375644</v>
      </c>
    </row>
    <row r="280" spans="6:7">
      <c r="F280" s="2" t="s">
        <v>970</v>
      </c>
      <c r="G280" s="1">
        <v>0.97457433344375644</v>
      </c>
    </row>
    <row r="281" spans="6:7">
      <c r="F281" s="2" t="s">
        <v>748</v>
      </c>
      <c r="G281" s="1">
        <v>0.97457433344375644</v>
      </c>
    </row>
    <row r="282" spans="6:7">
      <c r="F282" s="2" t="s">
        <v>972</v>
      </c>
      <c r="G282" s="1">
        <v>0.97457433344375644</v>
      </c>
    </row>
    <row r="283" spans="6:7">
      <c r="F283" s="2" t="s">
        <v>742</v>
      </c>
      <c r="G283" s="1">
        <v>0.97457433344375644</v>
      </c>
    </row>
    <row r="284" spans="6:7">
      <c r="F284" s="2" t="s">
        <v>974</v>
      </c>
      <c r="G284" s="1">
        <v>0.97457433344375644</v>
      </c>
    </row>
    <row r="285" spans="6:7">
      <c r="F285" s="2" t="s">
        <v>168</v>
      </c>
      <c r="G285" s="1">
        <v>0.97457433344375644</v>
      </c>
    </row>
    <row r="286" spans="6:7">
      <c r="F286" s="2" t="s">
        <v>534</v>
      </c>
      <c r="G286" s="1">
        <v>0.97457433344375644</v>
      </c>
    </row>
    <row r="287" spans="6:7">
      <c r="F287" s="2" t="s">
        <v>142</v>
      </c>
      <c r="G287" s="1">
        <v>0.97457433344375644</v>
      </c>
    </row>
    <row r="288" spans="6:7">
      <c r="F288" s="2" t="s">
        <v>536</v>
      </c>
      <c r="G288" s="1">
        <v>0.97457433344375644</v>
      </c>
    </row>
    <row r="289" spans="6:7">
      <c r="F289" s="2" t="s">
        <v>140</v>
      </c>
      <c r="G289" s="1">
        <v>0.97457433344375644</v>
      </c>
    </row>
    <row r="290" spans="6:7">
      <c r="F290" s="2" t="s">
        <v>538</v>
      </c>
      <c r="G290" s="1">
        <v>0.97457433344375644</v>
      </c>
    </row>
    <row r="291" spans="6:7">
      <c r="F291" s="2" t="s">
        <v>126</v>
      </c>
      <c r="G291" s="1">
        <v>0.97457433344375644</v>
      </c>
    </row>
    <row r="292" spans="6:7">
      <c r="F292" s="2" t="s">
        <v>530</v>
      </c>
      <c r="G292" s="1">
        <v>0.97457433344375644</v>
      </c>
    </row>
    <row r="293" spans="6:7">
      <c r="F293" s="2" t="s">
        <v>150</v>
      </c>
      <c r="G293" s="1">
        <v>0.97457433344375644</v>
      </c>
    </row>
    <row r="294" spans="6:7">
      <c r="F294" s="2" t="s">
        <v>532</v>
      </c>
      <c r="G294" s="1">
        <v>0.97457433344375644</v>
      </c>
    </row>
    <row r="295" spans="6:7">
      <c r="F295" s="2" t="s">
        <v>154</v>
      </c>
      <c r="G295" s="1">
        <v>0.97457433344375644</v>
      </c>
    </row>
    <row r="296" spans="6:7">
      <c r="F296" s="2" t="s">
        <v>616</v>
      </c>
      <c r="G296" s="1">
        <v>0.97457433344375644</v>
      </c>
    </row>
    <row r="297" spans="6:7">
      <c r="F297" s="2" t="s">
        <v>128</v>
      </c>
      <c r="G297" s="1">
        <v>0.97457433344375644</v>
      </c>
    </row>
    <row r="298" spans="6:7">
      <c r="F298" s="2" t="s">
        <v>618</v>
      </c>
      <c r="G298" s="1">
        <v>0.97457433344375644</v>
      </c>
    </row>
    <row r="299" spans="6:7">
      <c r="F299" s="2" t="s">
        <v>1014</v>
      </c>
      <c r="G299" s="1">
        <v>0.97457433344375644</v>
      </c>
    </row>
    <row r="300" spans="6:7">
      <c r="F300" s="2" t="s">
        <v>620</v>
      </c>
      <c r="G300" s="1">
        <v>0.97457433344375644</v>
      </c>
    </row>
    <row r="301" spans="6:7">
      <c r="F301" s="2" t="s">
        <v>86</v>
      </c>
      <c r="G301" s="1">
        <v>0.97457433344375644</v>
      </c>
    </row>
    <row r="302" spans="6:7">
      <c r="F302" s="2" t="s">
        <v>622</v>
      </c>
      <c r="G302" s="1">
        <v>0.97457433344375644</v>
      </c>
    </row>
    <row r="303" spans="6:7">
      <c r="F303" s="2" t="s">
        <v>508</v>
      </c>
      <c r="G303" s="1">
        <v>0.97457433344375644</v>
      </c>
    </row>
    <row r="304" spans="6:7">
      <c r="F304" s="2" t="s">
        <v>624</v>
      </c>
      <c r="G304" s="1">
        <v>0.97457433344375644</v>
      </c>
    </row>
    <row r="305" spans="6:7">
      <c r="F305" s="2" t="s">
        <v>518</v>
      </c>
      <c r="G305" s="1">
        <v>0.97457433344375644</v>
      </c>
    </row>
    <row r="306" spans="6:7">
      <c r="F306" s="2" t="s">
        <v>558</v>
      </c>
      <c r="G306" s="1">
        <v>0.97457433344375644</v>
      </c>
    </row>
    <row r="307" spans="6:7">
      <c r="F307" s="2" t="s">
        <v>504</v>
      </c>
      <c r="G307" s="1">
        <v>0.97457433344375644</v>
      </c>
    </row>
    <row r="308" spans="6:7">
      <c r="F308" s="2" t="s">
        <v>560</v>
      </c>
      <c r="G308" s="1">
        <v>0.97457433344375644</v>
      </c>
    </row>
    <row r="309" spans="6:7">
      <c r="F309" s="2" t="s">
        <v>672</v>
      </c>
      <c r="G309" s="1">
        <v>0.97457433344375644</v>
      </c>
    </row>
    <row r="310" spans="6:7">
      <c r="F310" s="2" t="s">
        <v>562</v>
      </c>
      <c r="G310" s="1">
        <v>0.97457433344375644</v>
      </c>
    </row>
    <row r="311" spans="6:7">
      <c r="F311" s="2" t="s">
        <v>882</v>
      </c>
      <c r="G311" s="1">
        <v>0.97457433344375644</v>
      </c>
    </row>
    <row r="312" spans="6:7">
      <c r="F312" s="2" t="s">
        <v>552</v>
      </c>
      <c r="G312" s="1">
        <v>0.97457433344375644</v>
      </c>
    </row>
    <row r="313" spans="6:7">
      <c r="F313" s="2" t="s">
        <v>702</v>
      </c>
      <c r="G313" s="1">
        <v>0.97457433344375644</v>
      </c>
    </row>
    <row r="314" spans="6:7">
      <c r="F314" s="2" t="s">
        <v>554</v>
      </c>
      <c r="G314" s="1">
        <v>0.97457433344375644</v>
      </c>
    </row>
    <row r="315" spans="6:7">
      <c r="F315" s="2" t="s">
        <v>460</v>
      </c>
      <c r="G315" s="1">
        <v>0.97457433344375644</v>
      </c>
    </row>
    <row r="316" spans="6:7">
      <c r="F316" s="2" t="s">
        <v>556</v>
      </c>
      <c r="G316" s="1">
        <v>0.97457433344375644</v>
      </c>
    </row>
    <row r="317" spans="6:7">
      <c r="F317" s="2" t="s">
        <v>456</v>
      </c>
      <c r="G317" s="1">
        <v>0.97457433344375644</v>
      </c>
    </row>
    <row r="318" spans="6:7">
      <c r="F318" s="2" t="s">
        <v>546</v>
      </c>
      <c r="G318" s="1">
        <v>0.97457433344375644</v>
      </c>
    </row>
    <row r="319" spans="6:7">
      <c r="F319" s="2" t="s">
        <v>678</v>
      </c>
      <c r="G319" s="1">
        <v>0.97457433344375644</v>
      </c>
    </row>
    <row r="320" spans="6:7">
      <c r="F320" s="2" t="s">
        <v>548</v>
      </c>
      <c r="G320" s="1">
        <v>0.97457433344375644</v>
      </c>
    </row>
    <row r="321" spans="6:7">
      <c r="F321" s="2" t="s">
        <v>888</v>
      </c>
      <c r="G321" s="1">
        <v>0.97457433344375644</v>
      </c>
    </row>
    <row r="322" spans="6:7">
      <c r="F322" s="2" t="s">
        <v>550</v>
      </c>
      <c r="G322" s="1">
        <v>0.97457433344375644</v>
      </c>
    </row>
    <row r="323" spans="6:7">
      <c r="F323" s="2" t="s">
        <v>804</v>
      </c>
      <c r="G323" s="1">
        <v>0.97457433344375644</v>
      </c>
    </row>
    <row r="324" spans="6:7">
      <c r="F324" s="2" t="s">
        <v>540</v>
      </c>
      <c r="G324" s="1">
        <v>0.97457433344375644</v>
      </c>
    </row>
    <row r="325" spans="6:7">
      <c r="F325" s="2" t="s">
        <v>798</v>
      </c>
      <c r="G325" s="1">
        <v>0.97457433344375644</v>
      </c>
    </row>
    <row r="326" spans="6:7">
      <c r="F326" s="2" t="s">
        <v>542</v>
      </c>
      <c r="G326" s="1">
        <v>0.97457433344375644</v>
      </c>
    </row>
    <row r="327" spans="6:7">
      <c r="F327" s="2" t="s">
        <v>402</v>
      </c>
      <c r="G327" s="1">
        <v>0.97457433344375644</v>
      </c>
    </row>
    <row r="328" spans="6:7">
      <c r="F328" s="2" t="s">
        <v>544</v>
      </c>
      <c r="G328" s="1">
        <v>0.97457433344375644</v>
      </c>
    </row>
    <row r="329" spans="6:7">
      <c r="F329" s="2" t="s">
        <v>206</v>
      </c>
      <c r="G329" s="1">
        <v>0.97457433344375644</v>
      </c>
    </row>
    <row r="330" spans="6:7">
      <c r="F330" s="2" t="s">
        <v>1016</v>
      </c>
      <c r="G330" s="1">
        <v>0.97457433344375644</v>
      </c>
    </row>
    <row r="331" spans="6:7">
      <c r="F331" s="2" t="s">
        <v>200</v>
      </c>
      <c r="G331" s="1">
        <v>0.97457433344375644</v>
      </c>
    </row>
    <row r="332" spans="6:7">
      <c r="F332" s="2" t="s">
        <v>1018</v>
      </c>
      <c r="G332" s="1">
        <v>0.97457433344375644</v>
      </c>
    </row>
    <row r="333" spans="6:7">
      <c r="F333" s="2" t="s">
        <v>198</v>
      </c>
      <c r="G333" s="1">
        <v>0.97457433344375644</v>
      </c>
    </row>
    <row r="334" spans="6:7">
      <c r="F334" s="2" t="s">
        <v>1020</v>
      </c>
      <c r="G334" s="1">
        <v>0.97457433344375644</v>
      </c>
    </row>
    <row r="335" spans="6:7">
      <c r="F335" s="2" t="s">
        <v>920</v>
      </c>
      <c r="G335" s="1">
        <v>0.97457433344375644</v>
      </c>
    </row>
    <row r="336" spans="6:7">
      <c r="F336" s="2" t="s">
        <v>976</v>
      </c>
      <c r="G336" s="1">
        <v>0.97457433344375644</v>
      </c>
    </row>
    <row r="337" spans="6:7">
      <c r="F337" s="2" t="s">
        <v>170</v>
      </c>
      <c r="G337" s="1">
        <v>0.97457433344375644</v>
      </c>
    </row>
    <row r="338" spans="6:7">
      <c r="F338" s="2" t="s">
        <v>414</v>
      </c>
      <c r="G338" s="1">
        <v>0.97457433344375644</v>
      </c>
    </row>
    <row r="339" spans="6:7">
      <c r="F339" s="2" t="s">
        <v>874</v>
      </c>
      <c r="G339" s="1">
        <v>0.97457433344375644</v>
      </c>
    </row>
    <row r="340" spans="6:7">
      <c r="F340" s="2" t="s">
        <v>418</v>
      </c>
      <c r="G340" s="1">
        <v>0.97457433344375644</v>
      </c>
    </row>
    <row r="341" spans="6:7">
      <c r="F341" s="2" t="s">
        <v>858</v>
      </c>
      <c r="G341" s="1">
        <v>0.97457433344375644</v>
      </c>
    </row>
    <row r="342" spans="6:7">
      <c r="F342" s="2" t="s">
        <v>422</v>
      </c>
      <c r="G342" s="1">
        <v>0.97457433344375644</v>
      </c>
    </row>
    <row r="343" spans="6:7">
      <c r="F343" s="2" t="s">
        <v>638</v>
      </c>
      <c r="G343" s="1">
        <v>0.97457433344375644</v>
      </c>
    </row>
    <row r="344" spans="6:7">
      <c r="F344" s="2" t="s">
        <v>424</v>
      </c>
      <c r="G344" s="1">
        <v>0.97457433344375644</v>
      </c>
    </row>
    <row r="345" spans="6:7">
      <c r="F345" s="2" t="s">
        <v>386</v>
      </c>
      <c r="G345" s="1">
        <v>0.97457433344375644</v>
      </c>
    </row>
    <row r="346" spans="6:7">
      <c r="F346" s="2" t="s">
        <v>788</v>
      </c>
      <c r="G346" s="1">
        <v>0.97457433344375644</v>
      </c>
    </row>
    <row r="347" spans="6:7">
      <c r="F347" s="2" t="s">
        <v>494</v>
      </c>
      <c r="G347" s="1">
        <v>0.97457433344375644</v>
      </c>
    </row>
    <row r="348" spans="6:7">
      <c r="F348" s="2" t="s">
        <v>786</v>
      </c>
      <c r="G348" s="1">
        <v>0.97457433344375644</v>
      </c>
    </row>
    <row r="349" spans="6:7">
      <c r="F349" s="2" t="s">
        <v>468</v>
      </c>
      <c r="G349" s="1">
        <v>0.97457433344375644</v>
      </c>
    </row>
    <row r="350" spans="6:7">
      <c r="F350" s="2" t="s">
        <v>784</v>
      </c>
      <c r="G350" s="1">
        <v>0.97457433344375644</v>
      </c>
    </row>
    <row r="351" spans="6:7">
      <c r="F351" s="2" t="s">
        <v>476</v>
      </c>
      <c r="G351" s="1">
        <v>0.97457433344375644</v>
      </c>
    </row>
    <row r="352" spans="6:7">
      <c r="F352" s="2" t="s">
        <v>790</v>
      </c>
      <c r="G352" s="1">
        <v>0.97457433344375644</v>
      </c>
    </row>
    <row r="353" spans="6:7">
      <c r="F353" s="2" t="s">
        <v>658</v>
      </c>
      <c r="G353" s="1">
        <v>0.97457433344375644</v>
      </c>
    </row>
    <row r="354" spans="6:7">
      <c r="F354" s="2" t="s">
        <v>412</v>
      </c>
      <c r="G354" s="1">
        <v>0.97457433344375644</v>
      </c>
    </row>
    <row r="355" spans="6:7">
      <c r="F355" s="2" t="s">
        <v>378</v>
      </c>
      <c r="G355" s="1">
        <v>0.97457433344375644</v>
      </c>
    </row>
    <row r="356" spans="6:7">
      <c r="F356" s="2" t="s">
        <v>438</v>
      </c>
      <c r="G356" s="1">
        <v>0.97457433344375644</v>
      </c>
    </row>
    <row r="357" spans="6:7">
      <c r="F357" s="2" t="s">
        <v>408</v>
      </c>
      <c r="G357" s="1">
        <v>0.97457433344375644</v>
      </c>
    </row>
    <row r="358" spans="6:7">
      <c r="F358" s="2" t="s">
        <v>444</v>
      </c>
      <c r="G358" s="1">
        <v>0.97457433344375644</v>
      </c>
    </row>
    <row r="359" spans="6:7">
      <c r="F359" s="2" t="s">
        <v>814</v>
      </c>
      <c r="G359" s="1">
        <v>0.97457433344375644</v>
      </c>
    </row>
    <row r="360" spans="6:7">
      <c r="F360" s="2" t="s">
        <v>436</v>
      </c>
      <c r="G360" s="1">
        <v>0.97457433344375644</v>
      </c>
    </row>
    <row r="361" spans="6:7">
      <c r="F361" s="2" t="s">
        <v>822</v>
      </c>
      <c r="G361" s="1">
        <v>0.97457433344375644</v>
      </c>
    </row>
    <row r="362" spans="6:7">
      <c r="F362" s="2" t="s">
        <v>420</v>
      </c>
      <c r="G362" s="1">
        <v>0.97457433344375644</v>
      </c>
    </row>
    <row r="363" spans="6:7">
      <c r="F363" s="2" t="s">
        <v>914</v>
      </c>
      <c r="G363" s="1">
        <v>0.97457433344375644</v>
      </c>
    </row>
    <row r="364" spans="6:7">
      <c r="F364" s="2" t="s">
        <v>416</v>
      </c>
      <c r="G364" s="1">
        <v>0.97457433344375644</v>
      </c>
    </row>
    <row r="365" spans="6:7">
      <c r="F365" s="2" t="s">
        <v>270</v>
      </c>
      <c r="G365" s="1">
        <v>0.97457433344375644</v>
      </c>
    </row>
    <row r="366" spans="6:7">
      <c r="F366" s="2" t="s">
        <v>714</v>
      </c>
      <c r="G366" s="1">
        <v>0.97457433344375644</v>
      </c>
    </row>
    <row r="367" spans="6:7">
      <c r="F367" s="2" t="s">
        <v>282</v>
      </c>
      <c r="G367" s="1">
        <v>0.97457433344375644</v>
      </c>
    </row>
    <row r="368" spans="6:7">
      <c r="F368" s="2" t="s">
        <v>428</v>
      </c>
      <c r="G368" s="1">
        <v>0.97457433344375644</v>
      </c>
    </row>
    <row r="369" spans="6:7">
      <c r="F369" s="2" t="s">
        <v>290</v>
      </c>
      <c r="G369" s="1">
        <v>0.97457433344375644</v>
      </c>
    </row>
    <row r="370" spans="6:7">
      <c r="F370" s="2" t="s">
        <v>92</v>
      </c>
      <c r="G370" s="1">
        <v>0.97457433344375644</v>
      </c>
    </row>
    <row r="371" spans="6:7">
      <c r="F371" s="2" t="s">
        <v>278</v>
      </c>
      <c r="G371" s="1">
        <v>0.97457433344375644</v>
      </c>
    </row>
    <row r="372" spans="6:7">
      <c r="F372" s="2" t="s">
        <v>90</v>
      </c>
      <c r="G372" s="1">
        <v>0.97457433344375644</v>
      </c>
    </row>
    <row r="373" spans="6:7">
      <c r="F373" s="2" t="s">
        <v>286</v>
      </c>
      <c r="G373" s="1">
        <v>0.97457433344375644</v>
      </c>
    </row>
    <row r="374" spans="6:7">
      <c r="F374" s="2" t="s">
        <v>118</v>
      </c>
      <c r="G374" s="1">
        <v>0.97457433344375644</v>
      </c>
    </row>
    <row r="375" spans="6:7">
      <c r="F375" s="2" t="s">
        <v>256</v>
      </c>
      <c r="G375" s="1">
        <v>0.97457433344375644</v>
      </c>
    </row>
    <row r="376" spans="6:7">
      <c r="F376" s="2" t="s">
        <v>116</v>
      </c>
      <c r="G376" s="1">
        <v>0.97457433344375644</v>
      </c>
    </row>
    <row r="377" spans="6:7">
      <c r="F377" s="2" t="s">
        <v>300</v>
      </c>
      <c r="G377" s="1">
        <v>0.97457433344375644</v>
      </c>
    </row>
    <row r="378" spans="6:7">
      <c r="F378" s="2" t="s">
        <v>108</v>
      </c>
      <c r="G378" s="1">
        <v>0.97457433344375644</v>
      </c>
    </row>
    <row r="379" spans="6:7">
      <c r="F379" s="2" t="s">
        <v>314</v>
      </c>
      <c r="G379" s="1">
        <v>0.97457433344375644</v>
      </c>
    </row>
    <row r="380" spans="6:7">
      <c r="F380" s="2" t="s">
        <v>110</v>
      </c>
      <c r="G380" s="1">
        <v>0.97457433344375644</v>
      </c>
    </row>
    <row r="381" spans="6:7">
      <c r="F381" s="2" t="s">
        <v>302</v>
      </c>
      <c r="G381" s="1">
        <v>0.97457433344375644</v>
      </c>
    </row>
    <row r="382" spans="6:7">
      <c r="F382" s="2" t="s">
        <v>96</v>
      </c>
      <c r="G382" s="1">
        <v>0.97457433344375644</v>
      </c>
    </row>
    <row r="383" spans="6:7">
      <c r="F383" s="2" t="s">
        <v>446</v>
      </c>
      <c r="G383" s="1">
        <v>0.97457433344375644</v>
      </c>
    </row>
    <row r="384" spans="6:7">
      <c r="F384" s="2" t="s">
        <v>98</v>
      </c>
      <c r="G384" s="1">
        <v>0.97457433344375644</v>
      </c>
    </row>
    <row r="385" spans="6:7">
      <c r="F385" s="2" t="s">
        <v>34</v>
      </c>
      <c r="G385" s="1">
        <v>0.97457433344375644</v>
      </c>
    </row>
    <row r="386" spans="6:7">
      <c r="F386" s="2" t="s">
        <v>94</v>
      </c>
      <c r="G386" s="1">
        <v>0.97457433344375644</v>
      </c>
    </row>
    <row r="387" spans="6:7">
      <c r="F387" s="2" t="s">
        <v>366</v>
      </c>
      <c r="G387" s="1">
        <v>0.97457433344375644</v>
      </c>
    </row>
    <row r="388" spans="6:7">
      <c r="F388" s="2" t="s">
        <v>104</v>
      </c>
      <c r="G388" s="1">
        <v>0.97457433344375644</v>
      </c>
    </row>
    <row r="389" spans="6:7">
      <c r="F389" s="2" t="s">
        <v>182</v>
      </c>
      <c r="G389" s="1">
        <v>0.97457433344375644</v>
      </c>
    </row>
    <row r="390" spans="6:7">
      <c r="F390" s="2" t="s">
        <v>106</v>
      </c>
      <c r="G390" s="1">
        <v>0.97457433344375644</v>
      </c>
    </row>
    <row r="391" spans="6:7">
      <c r="F391" s="2" t="s">
        <v>66</v>
      </c>
      <c r="G391" s="1">
        <v>0.97457433344375644</v>
      </c>
    </row>
    <row r="392" spans="6:7">
      <c r="F392" s="2" t="s">
        <v>100</v>
      </c>
      <c r="G392" s="1">
        <v>0.97457433344375644</v>
      </c>
    </row>
    <row r="393" spans="6:7">
      <c r="F393" s="2" t="s">
        <v>52</v>
      </c>
      <c r="G393" s="1">
        <v>0.97457433344375644</v>
      </c>
    </row>
    <row r="394" spans="6:7">
      <c r="F394" s="2" t="s">
        <v>102</v>
      </c>
      <c r="G394" s="1">
        <v>0.97457433344375644</v>
      </c>
    </row>
    <row r="395" spans="6:7">
      <c r="F395" s="2" t="s">
        <v>744</v>
      </c>
      <c r="G395" s="1">
        <v>0.97457433344375644</v>
      </c>
    </row>
    <row r="396" spans="6:7">
      <c r="F396" s="2" t="s">
        <v>112</v>
      </c>
      <c r="G396" s="1">
        <v>0.97457433344375644</v>
      </c>
    </row>
    <row r="397" spans="6:7">
      <c r="F397" s="2" t="s">
        <v>718</v>
      </c>
      <c r="G397" s="1">
        <v>0.97457433344375644</v>
      </c>
    </row>
    <row r="398" spans="6:7">
      <c r="F398" s="2" t="s">
        <v>114</v>
      </c>
      <c r="G398" s="1">
        <v>0.97457433344375644</v>
      </c>
    </row>
    <row r="399" spans="6:7">
      <c r="F399" s="2" t="s">
        <v>158</v>
      </c>
      <c r="G399" s="1">
        <v>0.97457433344375644</v>
      </c>
    </row>
    <row r="400" spans="6:7">
      <c r="F400" s="2" t="s">
        <v>88</v>
      </c>
      <c r="G400" s="1">
        <v>0.97457433344375644</v>
      </c>
    </row>
    <row r="401" spans="6:7">
      <c r="F401" s="2" t="s">
        <v>134</v>
      </c>
      <c r="G401" s="1">
        <v>0.97457433344375644</v>
      </c>
    </row>
    <row r="402" spans="6:7">
      <c r="F402" s="2" t="s">
        <v>218</v>
      </c>
      <c r="G402" s="1">
        <v>0.97457433344375644</v>
      </c>
    </row>
    <row r="403" spans="6:7">
      <c r="F403" s="2" t="s">
        <v>132</v>
      </c>
      <c r="G403" s="1">
        <v>0.97457433344375644</v>
      </c>
    </row>
    <row r="404" spans="6:7">
      <c r="F404" s="2" t="s">
        <v>216</v>
      </c>
      <c r="G404" s="1">
        <v>0.97457433344375644</v>
      </c>
    </row>
    <row r="405" spans="6:7">
      <c r="F405" s="2" t="s">
        <v>172</v>
      </c>
      <c r="G405" s="1">
        <v>0.97457433344375644</v>
      </c>
    </row>
    <row r="406" spans="6:7">
      <c r="F406" s="2" t="s">
        <v>244</v>
      </c>
      <c r="G406" s="1">
        <v>0.97457433344375644</v>
      </c>
    </row>
    <row r="407" spans="6:7">
      <c r="F407" s="2" t="s">
        <v>502</v>
      </c>
      <c r="G407" s="1">
        <v>0.97457433344375644</v>
      </c>
    </row>
    <row r="408" spans="6:7">
      <c r="F408" s="2" t="s">
        <v>242</v>
      </c>
      <c r="G408" s="1">
        <v>0.97457433344375644</v>
      </c>
    </row>
    <row r="409" spans="6:7">
      <c r="F409" s="2" t="s">
        <v>390</v>
      </c>
      <c r="G409" s="1">
        <v>0.97457433344375644</v>
      </c>
    </row>
    <row r="410" spans="6:7">
      <c r="F410" s="2" t="s">
        <v>234</v>
      </c>
      <c r="G410" s="1">
        <v>0.97457433344375644</v>
      </c>
    </row>
    <row r="411" spans="6:7">
      <c r="F411" s="2" t="s">
        <v>696</v>
      </c>
      <c r="G411" s="1">
        <v>0.97457433344375644</v>
      </c>
    </row>
    <row r="412" spans="6:7">
      <c r="F412" s="2" t="s">
        <v>236</v>
      </c>
      <c r="G412" s="1">
        <v>0.97457433344375644</v>
      </c>
    </row>
    <row r="413" spans="6:7">
      <c r="F413" s="2" t="s">
        <v>648</v>
      </c>
      <c r="G413" s="1">
        <v>0.97457433344375644</v>
      </c>
    </row>
    <row r="414" spans="6:7">
      <c r="F414" s="2" t="s">
        <v>222</v>
      </c>
      <c r="G414" s="1">
        <v>0.97457433344375644</v>
      </c>
    </row>
    <row r="415" spans="6:7">
      <c r="F415" s="2" t="s">
        <v>406</v>
      </c>
      <c r="G415" s="1">
        <v>0.97457433344375644</v>
      </c>
    </row>
    <row r="416" spans="6:7">
      <c r="F416" s="2" t="s">
        <v>224</v>
      </c>
      <c r="G416" s="1">
        <v>0.97457433344375644</v>
      </c>
    </row>
    <row r="417" spans="6:7">
      <c r="F417" s="2" t="s">
        <v>792</v>
      </c>
      <c r="G417" s="1">
        <v>0.97457433344375644</v>
      </c>
    </row>
    <row r="418" spans="6:7">
      <c r="F418" s="2" t="s">
        <v>220</v>
      </c>
      <c r="G418" s="1">
        <v>0.97457433344375644</v>
      </c>
    </row>
    <row r="419" spans="6:7">
      <c r="F419" s="2" t="s">
        <v>194</v>
      </c>
      <c r="G419" s="1">
        <v>0.97457433344375644</v>
      </c>
    </row>
    <row r="420" spans="6:7">
      <c r="F420" s="2" t="s">
        <v>230</v>
      </c>
      <c r="G420" s="1">
        <v>0.97457433344375644</v>
      </c>
    </row>
    <row r="421" spans="6:7">
      <c r="F421" s="2" t="s">
        <v>1010</v>
      </c>
      <c r="G421" s="1">
        <v>0.97457433344375644</v>
      </c>
    </row>
    <row r="422" spans="6:7">
      <c r="F422" s="2" t="s">
        <v>232</v>
      </c>
      <c r="G422" s="1">
        <v>0.97457433344375644</v>
      </c>
    </row>
    <row r="423" spans="6:7">
      <c r="F423" s="2" t="s">
        <v>870</v>
      </c>
      <c r="G423" s="1">
        <v>0.97457433344375644</v>
      </c>
    </row>
    <row r="424" spans="6:7">
      <c r="F424" s="2" t="s">
        <v>226</v>
      </c>
      <c r="G424" s="1">
        <v>0.97457433344375644</v>
      </c>
    </row>
    <row r="425" spans="6:7">
      <c r="F425" s="2" t="s">
        <v>862</v>
      </c>
      <c r="G425" s="1">
        <v>0.97457433344375644</v>
      </c>
    </row>
    <row r="426" spans="6:7">
      <c r="F426" s="2" t="s">
        <v>228</v>
      </c>
      <c r="G426" s="1">
        <v>0.97457433344375644</v>
      </c>
    </row>
    <row r="427" spans="6:7">
      <c r="F427" s="2" t="s">
        <v>878</v>
      </c>
      <c r="G427" s="1">
        <v>0.97457433344375644</v>
      </c>
    </row>
    <row r="428" spans="6:7">
      <c r="F428" s="2" t="s">
        <v>238</v>
      </c>
      <c r="G428" s="1">
        <v>0.97457433344375644</v>
      </c>
    </row>
    <row r="429" spans="6:7">
      <c r="F429" s="2" t="s">
        <v>472</v>
      </c>
      <c r="G429" s="1">
        <v>0.97457433344375644</v>
      </c>
    </row>
    <row r="430" spans="6:7">
      <c r="F430" s="2" t="s">
        <v>240</v>
      </c>
      <c r="G430" s="1">
        <v>0.97457433344375644</v>
      </c>
    </row>
    <row r="431" spans="6:7">
      <c r="F431" s="2" t="s">
        <v>898</v>
      </c>
      <c r="G431" s="1">
        <v>0.97457433344375644</v>
      </c>
    </row>
    <row r="432" spans="6:7">
      <c r="F432" s="2" t="s">
        <v>214</v>
      </c>
      <c r="G432" s="1">
        <v>0.97457433344375644</v>
      </c>
    </row>
    <row r="433" spans="6:7">
      <c r="F433" s="2" t="s">
        <v>828</v>
      </c>
      <c r="G433" s="1">
        <v>0.97457433344375644</v>
      </c>
    </row>
    <row r="434" spans="6:7">
      <c r="F434" s="2" t="s">
        <v>426</v>
      </c>
      <c r="G434" s="1">
        <v>0.97457433344375644</v>
      </c>
    </row>
    <row r="435" spans="6:7">
      <c r="F435" s="2" t="s">
        <v>826</v>
      </c>
      <c r="G435" s="1">
        <v>0.97457433344375644</v>
      </c>
    </row>
    <row r="436" spans="6:7">
      <c r="F436" s="2" t="s">
        <v>50</v>
      </c>
      <c r="G436" s="1">
        <v>0.97457433344375644</v>
      </c>
    </row>
    <row r="437" spans="6:7">
      <c r="F437" s="2" t="s">
        <v>264</v>
      </c>
      <c r="G437" s="1">
        <v>0.97457433344375644</v>
      </c>
    </row>
    <row r="438" spans="6:7">
      <c r="F438" s="2" t="s">
        <v>664</v>
      </c>
      <c r="G438" s="1">
        <v>0.97457433344375644</v>
      </c>
    </row>
    <row r="439" spans="6:7">
      <c r="F439" s="2" t="s">
        <v>274</v>
      </c>
      <c r="G439" s="1">
        <v>0.97457433344375644</v>
      </c>
    </row>
    <row r="440" spans="6:7">
      <c r="F440" s="2" t="s">
        <v>904</v>
      </c>
      <c r="G440" s="1">
        <v>0.97457433344375644</v>
      </c>
    </row>
    <row r="441" spans="6:7">
      <c r="F441" s="2" t="s">
        <v>248</v>
      </c>
      <c r="G441" s="1">
        <v>0.97457433344375644</v>
      </c>
    </row>
    <row r="442" spans="6:7">
      <c r="F442" s="2" t="s">
        <v>680</v>
      </c>
      <c r="G442" s="1">
        <v>0.97457433344375644</v>
      </c>
    </row>
    <row r="443" spans="6:7">
      <c r="F443" s="2" t="s">
        <v>312</v>
      </c>
      <c r="G443" s="1">
        <v>0.97457433344375644</v>
      </c>
    </row>
    <row r="444" spans="6:7">
      <c r="F444" s="2" t="s">
        <v>384</v>
      </c>
      <c r="G444" s="1">
        <v>0.97457433344375644</v>
      </c>
    </row>
    <row r="445" spans="6:7">
      <c r="F445" s="2" t="s">
        <v>306</v>
      </c>
      <c r="G445" s="1">
        <v>0.97457433344375644</v>
      </c>
    </row>
    <row r="446" spans="6:7">
      <c r="F446" s="2" t="s">
        <v>890</v>
      </c>
      <c r="G446" s="1">
        <v>0.97457433344375644</v>
      </c>
    </row>
    <row r="447" spans="6:7">
      <c r="F447" s="2" t="s">
        <v>752</v>
      </c>
      <c r="G447" s="1">
        <v>0.97457433344375644</v>
      </c>
    </row>
    <row r="448" spans="6:7">
      <c r="F448" s="2" t="s">
        <v>868</v>
      </c>
      <c r="G448" s="1">
        <v>0.97457433344375644</v>
      </c>
    </row>
    <row r="449" spans="6:7">
      <c r="F449" s="2" t="s">
        <v>180</v>
      </c>
      <c r="G449" s="1">
        <v>0.97457433344375644</v>
      </c>
    </row>
    <row r="450" spans="6:7">
      <c r="F450" s="2" t="s">
        <v>954</v>
      </c>
      <c r="G450" s="1">
        <v>0.97457433344375644</v>
      </c>
    </row>
    <row r="451" spans="6:7">
      <c r="F451" s="2" t="s">
        <v>76</v>
      </c>
      <c r="G451" s="1">
        <v>0.97457433344375644</v>
      </c>
    </row>
    <row r="452" spans="6:7">
      <c r="F452" s="2" t="s">
        <v>956</v>
      </c>
      <c r="G452" s="1">
        <v>0.97457433344375644</v>
      </c>
    </row>
    <row r="453" spans="6:7">
      <c r="F453" s="2" t="s">
        <v>146</v>
      </c>
      <c r="G453" s="1">
        <v>0.97457433344375644</v>
      </c>
    </row>
    <row r="454" spans="6:7">
      <c r="F454" s="2" t="s">
        <v>958</v>
      </c>
      <c r="G454" s="1">
        <v>0.97457433344375644</v>
      </c>
    </row>
    <row r="455" spans="6:7">
      <c r="F455" s="2" t="s">
        <v>120</v>
      </c>
      <c r="G455" s="1">
        <v>0.97457433344375644</v>
      </c>
    </row>
    <row r="456" spans="6:7">
      <c r="F456" s="2" t="s">
        <v>960</v>
      </c>
      <c r="G456" s="1">
        <v>0.97457433344375644</v>
      </c>
    </row>
    <row r="457" spans="6:7">
      <c r="F457" s="2" t="s">
        <v>514</v>
      </c>
      <c r="G457" s="1">
        <v>0.97457433344375644</v>
      </c>
    </row>
    <row r="458" spans="6:7">
      <c r="F458" s="2" t="s">
        <v>930</v>
      </c>
      <c r="G458" s="1">
        <v>0.97457433344375644</v>
      </c>
    </row>
    <row r="459" spans="6:7">
      <c r="F459" s="2" t="s">
        <v>698</v>
      </c>
      <c r="G459" s="1">
        <v>0.97457433344375644</v>
      </c>
    </row>
    <row r="460" spans="6:7">
      <c r="F460" s="2" t="s">
        <v>932</v>
      </c>
      <c r="G460" s="1">
        <v>0.97457433344375644</v>
      </c>
    </row>
    <row r="461" spans="6:7">
      <c r="F461" s="2" t="s">
        <v>396</v>
      </c>
      <c r="G461" s="1">
        <v>0.97457433344375644</v>
      </c>
    </row>
    <row r="462" spans="6:7">
      <c r="F462" s="2" t="s">
        <v>934</v>
      </c>
      <c r="G462" s="1">
        <v>0.97457433344375644</v>
      </c>
    </row>
    <row r="463" spans="6:7">
      <c r="F463" s="2" t="s">
        <v>782</v>
      </c>
      <c r="G463" s="1">
        <v>0.97457433344375644</v>
      </c>
    </row>
    <row r="464" spans="6:7">
      <c r="F464" s="2" t="s">
        <v>936</v>
      </c>
      <c r="G464" s="1">
        <v>0.97457433344375644</v>
      </c>
    </row>
    <row r="465" spans="6:7">
      <c r="F465" s="2" t="s">
        <v>82</v>
      </c>
      <c r="G465" s="1">
        <v>0.97457433344375644</v>
      </c>
    </row>
    <row r="466" spans="6:7">
      <c r="F466" s="2" t="s">
        <v>962</v>
      </c>
      <c r="G466" s="1">
        <v>0.97457433344375644</v>
      </c>
    </row>
    <row r="467" spans="6:7">
      <c r="F467" s="2" t="s">
        <v>668</v>
      </c>
      <c r="G467" s="1">
        <v>0.97457433344375644</v>
      </c>
    </row>
    <row r="468" spans="6:7">
      <c r="F468" s="2" t="s">
        <v>964</v>
      </c>
      <c r="G468" s="1">
        <v>0.97457433344375644</v>
      </c>
    </row>
    <row r="469" spans="6:7">
      <c r="F469" s="2" t="s">
        <v>480</v>
      </c>
      <c r="G469" s="1">
        <v>0.97457433344375644</v>
      </c>
    </row>
    <row r="470" spans="6:7">
      <c r="F470" s="2" t="s">
        <v>966</v>
      </c>
      <c r="G470" s="1">
        <v>0.97457433344375644</v>
      </c>
    </row>
    <row r="471" spans="6:7">
      <c r="F471" s="2" t="s">
        <v>818</v>
      </c>
      <c r="G471" s="1">
        <v>0.97457433344375644</v>
      </c>
    </row>
    <row r="472" spans="6:7">
      <c r="F472" s="2" t="s">
        <v>928</v>
      </c>
      <c r="G472" s="1">
        <v>0.97457433344375644</v>
      </c>
    </row>
    <row r="473" spans="6:7">
      <c r="F473" s="2" t="s">
        <v>250</v>
      </c>
      <c r="G473" s="1">
        <v>0.97457433344375644</v>
      </c>
    </row>
    <row r="474" spans="6:7">
      <c r="F474" s="2" t="s">
        <v>978</v>
      </c>
      <c r="G474" s="1">
        <v>0.97457433344375644</v>
      </c>
    </row>
    <row r="475" spans="6:7">
      <c r="F475" s="2" t="s">
        <v>292</v>
      </c>
      <c r="G475" s="1">
        <v>0.97457433344375644</v>
      </c>
    </row>
    <row r="476" spans="6:7">
      <c r="F476" s="2" t="s">
        <v>980</v>
      </c>
      <c r="G476" s="1">
        <v>0.97457433344375644</v>
      </c>
    </row>
    <row r="477" spans="6:7">
      <c r="F477" s="2" t="s">
        <v>22</v>
      </c>
      <c r="G477" s="1">
        <v>0.97457433344375644</v>
      </c>
    </row>
    <row r="478" spans="6:7">
      <c r="F478" s="2" t="s">
        <v>938</v>
      </c>
      <c r="G478" s="1">
        <v>0.97457433344375644</v>
      </c>
    </row>
    <row r="479" spans="6:7">
      <c r="F479" s="2" t="s">
        <v>72</v>
      </c>
      <c r="G479" s="1">
        <v>0.97457433344375644</v>
      </c>
    </row>
    <row r="480" spans="6:7">
      <c r="F480" s="2" t="s">
        <v>940</v>
      </c>
      <c r="G480" s="1">
        <v>0.97457433344375644</v>
      </c>
    </row>
    <row r="481" spans="6:7">
      <c r="F481" s="2" t="s">
        <v>164</v>
      </c>
      <c r="G481" s="1">
        <v>0.97457433344375644</v>
      </c>
    </row>
    <row r="482" spans="6:7">
      <c r="F482" s="2" t="s">
        <v>942</v>
      </c>
      <c r="G482" s="1">
        <v>0.97457433344375644</v>
      </c>
    </row>
    <row r="483" spans="6:7">
      <c r="F483" s="2" t="s">
        <v>642</v>
      </c>
      <c r="G483" s="1">
        <v>0.97457433344375644</v>
      </c>
    </row>
    <row r="484" spans="6:7">
      <c r="F484" s="2" t="s">
        <v>944</v>
      </c>
      <c r="G484" s="1">
        <v>0.97457433344375644</v>
      </c>
    </row>
    <row r="485" spans="6:7">
      <c r="F485" s="2" t="s">
        <v>808</v>
      </c>
      <c r="G485" s="1">
        <v>0.97457433344375644</v>
      </c>
    </row>
    <row r="486" spans="6:7">
      <c r="F486" s="2" t="s">
        <v>946</v>
      </c>
      <c r="G486" s="1">
        <v>0.97457433344375644</v>
      </c>
    </row>
    <row r="487" spans="6:7">
      <c r="F487" s="2" t="s">
        <v>910</v>
      </c>
      <c r="G487" s="1">
        <v>0.97457433344375644</v>
      </c>
    </row>
    <row r="488" spans="6:7">
      <c r="F488" s="2" t="s">
        <v>948</v>
      </c>
      <c r="G488" s="1">
        <v>0.97457433344375644</v>
      </c>
    </row>
    <row r="489" spans="6:7">
      <c r="F489" s="2" t="s">
        <v>844</v>
      </c>
      <c r="G489" s="1">
        <v>0.97457433344375644</v>
      </c>
    </row>
    <row r="490" spans="6:7">
      <c r="F490" s="2" t="s">
        <v>950</v>
      </c>
      <c r="G490" s="1">
        <v>0.97457433344375644</v>
      </c>
    </row>
    <row r="491" spans="6:7">
      <c r="F491" s="2" t="s">
        <v>262</v>
      </c>
      <c r="G491" s="1">
        <v>0.97457433344375644</v>
      </c>
    </row>
    <row r="492" spans="6:7">
      <c r="F492" s="2" t="s">
        <v>952</v>
      </c>
      <c r="G492" s="1">
        <v>0.97457433344375644</v>
      </c>
    </row>
    <row r="493" spans="6:7">
      <c r="F493" s="2" t="s">
        <v>188</v>
      </c>
      <c r="G493" s="1">
        <v>0.97457433344375644</v>
      </c>
    </row>
    <row r="494" spans="6:7">
      <c r="F494" s="2" t="s">
        <v>706</v>
      </c>
      <c r="G494" s="1">
        <v>0.97457433344375644</v>
      </c>
    </row>
    <row r="495" spans="6:7">
      <c r="F495" s="2" t="s">
        <v>924</v>
      </c>
      <c r="G495" s="1">
        <v>0.97457433344375644</v>
      </c>
    </row>
    <row r="496" spans="6:7">
      <c r="F496" s="2" t="s">
        <v>762</v>
      </c>
      <c r="G496" s="1">
        <v>0.97457433344375644</v>
      </c>
    </row>
    <row r="497" spans="6:7">
      <c r="F497" s="2" t="s">
        <v>202</v>
      </c>
      <c r="G497" s="1">
        <v>0.97457433344375644</v>
      </c>
    </row>
    <row r="498" spans="6:7">
      <c r="F498" s="2" t="s">
        <v>760</v>
      </c>
      <c r="G498" s="1">
        <v>0.97457433344375644</v>
      </c>
    </row>
    <row r="499" spans="6:7">
      <c r="F499" s="2" t="s">
        <v>850</v>
      </c>
      <c r="G499" s="1">
        <v>0.97457433344375644</v>
      </c>
    </row>
    <row r="500" spans="6:7">
      <c r="F500" s="2" t="s">
        <v>758</v>
      </c>
      <c r="G500" s="1">
        <v>0.97457433344375644</v>
      </c>
    </row>
    <row r="501" spans="6:7">
      <c r="F501" s="2" t="s">
        <v>738</v>
      </c>
      <c r="G501" s="1">
        <v>0.97457433344375644</v>
      </c>
    </row>
    <row r="502" spans="6:7">
      <c r="F502" s="2" t="s">
        <v>756</v>
      </c>
      <c r="G502" s="1">
        <v>0.97457433344375644</v>
      </c>
    </row>
    <row r="503" spans="6:7">
      <c r="F503" s="2" t="s">
        <v>498</v>
      </c>
      <c r="G503" s="1">
        <v>0.97457433344375644</v>
      </c>
    </row>
    <row r="504" spans="6:7">
      <c r="F504" s="2" t="s">
        <v>730</v>
      </c>
      <c r="G504" s="1">
        <v>0.97457433344375644</v>
      </c>
    </row>
    <row r="505" spans="6:7">
      <c r="F505" s="2" t="s">
        <v>464</v>
      </c>
      <c r="G505" s="1">
        <v>0.97457433344375644</v>
      </c>
    </row>
    <row r="506" spans="6:7">
      <c r="F506" s="2" t="s">
        <v>728</v>
      </c>
      <c r="G506" s="1">
        <v>0.97457433344375644</v>
      </c>
    </row>
    <row r="507" spans="6:7">
      <c r="F507" s="2" t="s">
        <v>296</v>
      </c>
      <c r="G507" s="1">
        <v>0.97457433344375644</v>
      </c>
    </row>
    <row r="508" spans="6:7">
      <c r="F508" s="2" t="s">
        <v>726</v>
      </c>
      <c r="G508" s="1">
        <v>0.97457433344375644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FEED0-D793-4E05-9E43-7A963C3DF8F3}">
  <dimension ref="A1:E13"/>
  <sheetViews>
    <sheetView workbookViewId="0">
      <selection activeCell="B14" sqref="B14"/>
    </sheetView>
  </sheetViews>
  <sheetFormatPr defaultRowHeight="14.5"/>
  <cols>
    <col min="1" max="1" width="15" bestFit="1" customWidth="1"/>
  </cols>
  <sheetData>
    <row r="1" spans="1:5">
      <c r="A1">
        <f>ROWS(tbl_inventory[])</f>
        <v>1069</v>
      </c>
      <c r="B1">
        <f>ROWS(tbl_model[])</f>
        <v>1069</v>
      </c>
    </row>
    <row r="2" spans="1:5">
      <c r="C2">
        <f>COUNTIF(tbl_model[ProductName], "UNMAPPED_PRODUCT")</f>
        <v>0</v>
      </c>
      <c r="D2">
        <f>COUNTIF(tbl_model[LocationName],"UNMAPPED_PRODUCT")</f>
        <v>0</v>
      </c>
      <c r="E2">
        <f>ROWS(tbl_model[]) - ROWS(_xlfn.UNIQUE(tbl_model[key]))</f>
        <v>0</v>
      </c>
    </row>
    <row r="6" spans="1:5">
      <c r="A6" t="s">
        <v>1035</v>
      </c>
      <c r="B6">
        <f>COUNTIF(tbl_kpi[AccuracyPct],"&lt;0") + COUNTIF(tbl_kpi[AccuracyPct],"&gt;1")</f>
        <v>0</v>
      </c>
    </row>
    <row r="8" spans="1:5">
      <c r="A8" t="s">
        <v>1036</v>
      </c>
      <c r="B8">
        <f>COUNTIF(tbl_kpi[HighRiskFlag],"Y")</f>
        <v>345</v>
      </c>
    </row>
    <row r="10" spans="1:5">
      <c r="A10" t="s">
        <v>1037</v>
      </c>
      <c r="B10">
        <f>COUNTIF(tbl_kpi[VarianceQty],"&lt;&gt;0")</f>
        <v>939</v>
      </c>
    </row>
    <row r="13" spans="1:5">
      <c r="A13" t="s">
        <v>1027</v>
      </c>
      <c r="B13">
        <f>COUNTIF(tbl_kpi[LocationName],"UNMAPPED_LOCATION")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6C3115F-47C1-4146-B653-C6D865F7E10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00_Readme</vt:lpstr>
      <vt:lpstr>01_Source_Inventory</vt:lpstr>
      <vt:lpstr>02_Source_Product</vt:lpstr>
      <vt:lpstr>03_Source_Location</vt:lpstr>
      <vt:lpstr>Sheet18</vt:lpstr>
      <vt:lpstr>Sheet20</vt:lpstr>
      <vt:lpstr>05_KPI_Calcs</vt:lpstr>
      <vt:lpstr>04_Model_SKU_Location</vt:lpstr>
      <vt:lpstr>Sheet16</vt:lpstr>
      <vt:lpstr>06_Pivots</vt:lpstr>
      <vt:lpstr>07_Dashboard</vt:lpstr>
      <vt:lpstr>99_Controls_Tests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Vasanth K</dc:creator>
  <cp:lastModifiedBy>Vasanth K</cp:lastModifiedBy>
  <dcterms:created xsi:type="dcterms:W3CDTF">2026-01-05T03:16:03Z</dcterms:created>
  <dcterms:modified xsi:type="dcterms:W3CDTF">2026-01-05T20:53:51Z</dcterms:modified>
</cp:coreProperties>
</file>